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39579dcabef46cc/Beca IA Talent - 2G/2. Referencias/Automatización de cotizaciones y selección de proveedores/Respuesta de entrevistas/Geovanni/"/>
    </mc:Choice>
  </mc:AlternateContent>
  <xr:revisionPtr revIDLastSave="0" documentId="13_ncr:1_{9FC64BEE-109C-4380-A7D8-FDB4025C3ECF}" xr6:coauthVersionLast="47" xr6:coauthVersionMax="47" xr10:uidLastSave="{00000000-0000-0000-0000-000000000000}"/>
  <bookViews>
    <workbookView xWindow="-120" yWindow="-120" windowWidth="51840" windowHeight="21120" tabRatio="525" activeTab="1" xr2:uid="{936A38A6-3603-495A-BF25-1302ECAB1D4A}"/>
  </bookViews>
  <sheets>
    <sheet name="M4-E3" sheetId="20" r:id="rId1"/>
    <sheet name="Comparo" sheetId="21" r:id="rId2"/>
    <sheet name="HITOS" sheetId="9" r:id="rId3"/>
    <sheet name="CRONOG 4.3" sheetId="22" r:id="rId4"/>
  </sheets>
  <definedNames>
    <definedName name="_xlnm._FilterDatabase" localSheetId="0" hidden="1">'M4-E3'!$A$2:$Q$67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A82" i="22" l="1"/>
  <c r="PB82" i="22" s="1"/>
  <c r="PC82" i="22" s="1"/>
  <c r="PD82" i="22" s="1"/>
  <c r="PE82" i="22" s="1"/>
  <c r="PF82" i="22" s="1"/>
  <c r="PG82" i="22" s="1"/>
  <c r="PH82" i="22" s="1"/>
  <c r="PI82" i="22" s="1"/>
  <c r="PJ82" i="22" s="1"/>
  <c r="PK82" i="22" s="1"/>
  <c r="PL82" i="22" s="1"/>
  <c r="PM82" i="22" s="1"/>
  <c r="PN82" i="22" s="1"/>
  <c r="PO82" i="22" s="1"/>
  <c r="PP82" i="22" s="1"/>
  <c r="PQ82" i="22" s="1"/>
  <c r="PR82" i="22" s="1"/>
  <c r="PS82" i="22" s="1"/>
  <c r="PT82" i="22" s="1"/>
  <c r="PU82" i="22" s="1"/>
  <c r="PV82" i="22" s="1"/>
  <c r="PW82" i="22" s="1"/>
  <c r="PX82" i="22" s="1"/>
  <c r="PY82" i="22" s="1"/>
  <c r="PZ82" i="22" s="1"/>
  <c r="QA82" i="22" s="1"/>
  <c r="QB82" i="22" s="1"/>
  <c r="QC82" i="22" s="1"/>
  <c r="OZ81" i="22"/>
  <c r="PA81" i="22" s="1"/>
  <c r="PB81" i="22" s="1"/>
  <c r="PC81" i="22" s="1"/>
  <c r="PD81" i="22" s="1"/>
  <c r="PE81" i="22" s="1"/>
  <c r="PF81" i="22" s="1"/>
  <c r="PG81" i="22" s="1"/>
  <c r="PH81" i="22" s="1"/>
  <c r="PI81" i="22" s="1"/>
  <c r="PJ81" i="22" s="1"/>
  <c r="PK81" i="22" s="1"/>
  <c r="PL81" i="22" s="1"/>
  <c r="PM81" i="22" s="1"/>
  <c r="PN81" i="22" s="1"/>
  <c r="PO81" i="22" s="1"/>
  <c r="PP81" i="22" s="1"/>
  <c r="PQ81" i="22" s="1"/>
  <c r="PR81" i="22" s="1"/>
  <c r="PS81" i="22" s="1"/>
  <c r="PT81" i="22" s="1"/>
  <c r="PU81" i="22" s="1"/>
  <c r="PV81" i="22" s="1"/>
  <c r="PW81" i="22" s="1"/>
  <c r="PX81" i="22" s="1"/>
  <c r="PY81" i="22" s="1"/>
  <c r="LD80" i="22"/>
  <c r="LL80" i="22" s="1"/>
  <c r="LT80" i="22" s="1"/>
  <c r="MB80" i="22" s="1"/>
  <c r="MK80" i="22" s="1"/>
  <c r="MS80" i="22" s="1"/>
  <c r="NB80" i="22" s="1"/>
  <c r="NJ80" i="22" s="1"/>
  <c r="NR80" i="22" s="1"/>
  <c r="NZ80" i="22" s="1"/>
  <c r="OJ80" i="22" s="1"/>
  <c r="OR80" i="22" s="1"/>
  <c r="PB80" i="22" s="1"/>
  <c r="PJ80" i="22" s="1"/>
  <c r="PR80" i="22" s="1"/>
  <c r="PZ80" i="22" s="1"/>
  <c r="LC80" i="22"/>
  <c r="LK80" i="22" s="1"/>
  <c r="LS80" i="22" s="1"/>
  <c r="MA80" i="22" s="1"/>
  <c r="MJ80" i="22" s="1"/>
  <c r="MR80" i="22" s="1"/>
  <c r="NA80" i="22" s="1"/>
  <c r="NI80" i="22" s="1"/>
  <c r="NQ80" i="22" s="1"/>
  <c r="NY80" i="22" s="1"/>
  <c r="OI80" i="22" s="1"/>
  <c r="OQ80" i="22" s="1"/>
  <c r="PA80" i="22" s="1"/>
  <c r="PI80" i="22" s="1"/>
  <c r="PQ80" i="22" s="1"/>
  <c r="PY80" i="22" s="1"/>
  <c r="LB80" i="22"/>
  <c r="LJ80" i="22" s="1"/>
  <c r="LR80" i="22" s="1"/>
  <c r="LZ80" i="22" s="1"/>
  <c r="MI80" i="22" s="1"/>
  <c r="MQ80" i="22" s="1"/>
  <c r="MZ80" i="22" s="1"/>
  <c r="NH80" i="22" s="1"/>
  <c r="NP80" i="22" s="1"/>
  <c r="NX80" i="22" s="1"/>
  <c r="OH80" i="22" s="1"/>
  <c r="OP80" i="22" s="1"/>
  <c r="OZ80" i="22" s="1"/>
  <c r="PH80" i="22" s="1"/>
  <c r="PP80" i="22" s="1"/>
  <c r="PX80" i="22" s="1"/>
  <c r="LA80" i="22"/>
  <c r="LI80" i="22" s="1"/>
  <c r="LQ80" i="22" s="1"/>
  <c r="LY80" i="22" s="1"/>
  <c r="MH80" i="22" s="1"/>
  <c r="MP80" i="22" s="1"/>
  <c r="MY80" i="22" s="1"/>
  <c r="NG80" i="22" s="1"/>
  <c r="NO80" i="22" s="1"/>
  <c r="NW80" i="22" s="1"/>
  <c r="OG80" i="22" s="1"/>
  <c r="OO80" i="22" s="1"/>
  <c r="OX80" i="22" s="1"/>
  <c r="PG80" i="22" s="1"/>
  <c r="PO80" i="22" s="1"/>
  <c r="PW80" i="22" s="1"/>
  <c r="KZ80" i="22"/>
  <c r="LH80" i="22" s="1"/>
  <c r="LP80" i="22" s="1"/>
  <c r="LX80" i="22" s="1"/>
  <c r="MG80" i="22" s="1"/>
  <c r="MO80" i="22" s="1"/>
  <c r="MW80" i="22" s="1"/>
  <c r="NF80" i="22" s="1"/>
  <c r="NN80" i="22" s="1"/>
  <c r="NV80" i="22" s="1"/>
  <c r="OF80" i="22" s="1"/>
  <c r="ON80" i="22" s="1"/>
  <c r="OW80" i="22" s="1"/>
  <c r="PF80" i="22" s="1"/>
  <c r="PN80" i="22" s="1"/>
  <c r="PV80" i="22" s="1"/>
  <c r="KY80" i="22"/>
  <c r="LG80" i="22" s="1"/>
  <c r="LO80" i="22" s="1"/>
  <c r="LW80" i="22" s="1"/>
  <c r="MF80" i="22" s="1"/>
  <c r="MN80" i="22" s="1"/>
  <c r="MV80" i="22" s="1"/>
  <c r="NE80" i="22" s="1"/>
  <c r="NM80" i="22" s="1"/>
  <c r="NU80" i="22" s="1"/>
  <c r="OC80" i="22" s="1"/>
  <c r="OM80" i="22" s="1"/>
  <c r="OV80" i="22" s="1"/>
  <c r="PE80" i="22" s="1"/>
  <c r="PM80" i="22" s="1"/>
  <c r="PU80" i="22" s="1"/>
  <c r="KX80" i="22"/>
  <c r="LF80" i="22" s="1"/>
  <c r="LN80" i="22" s="1"/>
  <c r="LV80" i="22" s="1"/>
  <c r="ME80" i="22" s="1"/>
  <c r="MM80" i="22" s="1"/>
  <c r="MU80" i="22" s="1"/>
  <c r="ND80" i="22" s="1"/>
  <c r="NL80" i="22" s="1"/>
  <c r="NT80" i="22" s="1"/>
  <c r="OB80" i="22" s="1"/>
  <c r="OL80" i="22" s="1"/>
  <c r="OU80" i="22" s="1"/>
  <c r="PD80" i="22" s="1"/>
  <c r="PL80" i="22" s="1"/>
  <c r="PT80" i="22" s="1"/>
  <c r="KW80" i="22"/>
  <c r="LE80" i="22" s="1"/>
  <c r="LM80" i="22" s="1"/>
  <c r="LU80" i="22" s="1"/>
  <c r="MC80" i="22" s="1"/>
  <c r="ML80" i="22" s="1"/>
  <c r="MT80" i="22" s="1"/>
  <c r="NC80" i="22" s="1"/>
  <c r="NK80" i="22" s="1"/>
  <c r="NS80" i="22" s="1"/>
  <c r="OA80" i="22" s="1"/>
  <c r="OK80" i="22" s="1"/>
  <c r="OT80" i="22" s="1"/>
  <c r="PC80" i="22" s="1"/>
  <c r="PK80" i="22" s="1"/>
  <c r="PS80" i="22" s="1"/>
  <c r="KM79" i="22"/>
  <c r="KU79" i="22" s="1"/>
  <c r="LD79" i="22" s="1"/>
  <c r="LL79" i="22" s="1"/>
  <c r="LT79" i="22" s="1"/>
  <c r="MB79" i="22" s="1"/>
  <c r="MK79" i="22" s="1"/>
  <c r="MS79" i="22" s="1"/>
  <c r="NB79" i="22" s="1"/>
  <c r="NJ79" i="22" s="1"/>
  <c r="NR79" i="22" s="1"/>
  <c r="NZ79" i="22" s="1"/>
  <c r="OJ79" i="22" s="1"/>
  <c r="OR79" i="22" s="1"/>
  <c r="PB79" i="22" s="1"/>
  <c r="PJ79" i="22" s="1"/>
  <c r="KL79" i="22"/>
  <c r="KT79" i="22" s="1"/>
  <c r="LC79" i="22" s="1"/>
  <c r="LK79" i="22" s="1"/>
  <c r="LS79" i="22" s="1"/>
  <c r="MA79" i="22" s="1"/>
  <c r="MJ79" i="22" s="1"/>
  <c r="MR79" i="22" s="1"/>
  <c r="NA79" i="22" s="1"/>
  <c r="NI79" i="22" s="1"/>
  <c r="NQ79" i="22" s="1"/>
  <c r="NY79" i="22" s="1"/>
  <c r="OI79" i="22" s="1"/>
  <c r="OQ79" i="22" s="1"/>
  <c r="PA79" i="22" s="1"/>
  <c r="PI79" i="22" s="1"/>
  <c r="KK79" i="22"/>
  <c r="KS79" i="22" s="1"/>
  <c r="LB79" i="22" s="1"/>
  <c r="LJ79" i="22" s="1"/>
  <c r="LR79" i="22" s="1"/>
  <c r="LZ79" i="22" s="1"/>
  <c r="MI79" i="22" s="1"/>
  <c r="MQ79" i="22" s="1"/>
  <c r="MZ79" i="22" s="1"/>
  <c r="NH79" i="22" s="1"/>
  <c r="NP79" i="22" s="1"/>
  <c r="NX79" i="22" s="1"/>
  <c r="OH79" i="22" s="1"/>
  <c r="OP79" i="22" s="1"/>
  <c r="OZ79" i="22" s="1"/>
  <c r="PH79" i="22" s="1"/>
  <c r="KJ79" i="22"/>
  <c r="KR79" i="22" s="1"/>
  <c r="LA79" i="22" s="1"/>
  <c r="LI79" i="22" s="1"/>
  <c r="LQ79" i="22" s="1"/>
  <c r="LY79" i="22" s="1"/>
  <c r="MH79" i="22" s="1"/>
  <c r="MP79" i="22" s="1"/>
  <c r="MY79" i="22" s="1"/>
  <c r="NG79" i="22" s="1"/>
  <c r="NO79" i="22" s="1"/>
  <c r="NW79" i="22" s="1"/>
  <c r="OG79" i="22" s="1"/>
  <c r="OO79" i="22" s="1"/>
  <c r="OX79" i="22" s="1"/>
  <c r="PG79" i="22" s="1"/>
  <c r="KI79" i="22"/>
  <c r="KQ79" i="22" s="1"/>
  <c r="KZ79" i="22" s="1"/>
  <c r="LH79" i="22" s="1"/>
  <c r="LP79" i="22" s="1"/>
  <c r="LX79" i="22" s="1"/>
  <c r="MG79" i="22" s="1"/>
  <c r="MO79" i="22" s="1"/>
  <c r="MW79" i="22" s="1"/>
  <c r="NF79" i="22" s="1"/>
  <c r="NN79" i="22" s="1"/>
  <c r="NV79" i="22" s="1"/>
  <c r="OF79" i="22" s="1"/>
  <c r="ON79" i="22" s="1"/>
  <c r="OW79" i="22" s="1"/>
  <c r="PF79" i="22" s="1"/>
  <c r="KH79" i="22"/>
  <c r="KP79" i="22" s="1"/>
  <c r="KY79" i="22" s="1"/>
  <c r="LG79" i="22" s="1"/>
  <c r="LO79" i="22" s="1"/>
  <c r="LW79" i="22" s="1"/>
  <c r="MF79" i="22" s="1"/>
  <c r="MN79" i="22" s="1"/>
  <c r="MV79" i="22" s="1"/>
  <c r="NE79" i="22" s="1"/>
  <c r="NM79" i="22" s="1"/>
  <c r="NU79" i="22" s="1"/>
  <c r="OC79" i="22" s="1"/>
  <c r="OM79" i="22" s="1"/>
  <c r="OV79" i="22" s="1"/>
  <c r="PE79" i="22" s="1"/>
  <c r="KG79" i="22"/>
  <c r="KO79" i="22" s="1"/>
  <c r="KX79" i="22" s="1"/>
  <c r="LF79" i="22" s="1"/>
  <c r="LN79" i="22" s="1"/>
  <c r="LV79" i="22" s="1"/>
  <c r="ME79" i="22" s="1"/>
  <c r="MM79" i="22" s="1"/>
  <c r="MU79" i="22" s="1"/>
  <c r="ND79" i="22" s="1"/>
  <c r="NL79" i="22" s="1"/>
  <c r="NT79" i="22" s="1"/>
  <c r="OB79" i="22" s="1"/>
  <c r="OL79" i="22" s="1"/>
  <c r="OU79" i="22" s="1"/>
  <c r="PD79" i="22" s="1"/>
  <c r="KF79" i="22"/>
  <c r="KN79" i="22" s="1"/>
  <c r="KW79" i="22" s="1"/>
  <c r="LE79" i="22" s="1"/>
  <c r="LM79" i="22" s="1"/>
  <c r="LU79" i="22" s="1"/>
  <c r="MC79" i="22" s="1"/>
  <c r="ML79" i="22" s="1"/>
  <c r="MT79" i="22" s="1"/>
  <c r="NC79" i="22" s="1"/>
  <c r="NK79" i="22" s="1"/>
  <c r="NS79" i="22" s="1"/>
  <c r="OA79" i="22" s="1"/>
  <c r="OK79" i="22" s="1"/>
  <c r="OT79" i="22" s="1"/>
  <c r="PC79" i="22" s="1"/>
  <c r="LH78" i="22"/>
  <c r="LP78" i="22" s="1"/>
  <c r="LX78" i="22" s="1"/>
  <c r="MG78" i="22" s="1"/>
  <c r="MO78" i="22" s="1"/>
  <c r="MW78" i="22" s="1"/>
  <c r="NF78" i="22" s="1"/>
  <c r="NN78" i="22" s="1"/>
  <c r="NV78" i="22" s="1"/>
  <c r="OF78" i="22" s="1"/>
  <c r="ON78" i="22" s="1"/>
  <c r="OW78" i="22" s="1"/>
  <c r="PF78" i="22" s="1"/>
  <c r="PN78" i="22" s="1"/>
  <c r="LE78" i="22"/>
  <c r="LM78" i="22" s="1"/>
  <c r="LU78" i="22" s="1"/>
  <c r="MC78" i="22" s="1"/>
  <c r="ML78" i="22" s="1"/>
  <c r="MT78" i="22" s="1"/>
  <c r="NC78" i="22" s="1"/>
  <c r="NK78" i="22" s="1"/>
  <c r="NS78" i="22" s="1"/>
  <c r="OA78" i="22" s="1"/>
  <c r="OK78" i="22" s="1"/>
  <c r="OT78" i="22" s="1"/>
  <c r="PC78" i="22" s="1"/>
  <c r="PK78" i="22" s="1"/>
  <c r="LB78" i="22"/>
  <c r="LJ78" i="22" s="1"/>
  <c r="LR78" i="22" s="1"/>
  <c r="LZ78" i="22" s="1"/>
  <c r="MI78" i="22" s="1"/>
  <c r="MQ78" i="22" s="1"/>
  <c r="MZ78" i="22" s="1"/>
  <c r="NH78" i="22" s="1"/>
  <c r="NP78" i="22" s="1"/>
  <c r="NX78" i="22" s="1"/>
  <c r="OH78" i="22" s="1"/>
  <c r="OP78" i="22" s="1"/>
  <c r="OZ78" i="22" s="1"/>
  <c r="PH78" i="22" s="1"/>
  <c r="LA78" i="22"/>
  <c r="LI78" i="22" s="1"/>
  <c r="LQ78" i="22" s="1"/>
  <c r="LY78" i="22" s="1"/>
  <c r="MH78" i="22" s="1"/>
  <c r="MP78" i="22" s="1"/>
  <c r="MY78" i="22" s="1"/>
  <c r="NG78" i="22" s="1"/>
  <c r="NO78" i="22" s="1"/>
  <c r="NW78" i="22" s="1"/>
  <c r="OG78" i="22" s="1"/>
  <c r="OO78" i="22" s="1"/>
  <c r="OX78" i="22" s="1"/>
  <c r="PG78" i="22" s="1"/>
  <c r="PO78" i="22" s="1"/>
  <c r="KZ78" i="22"/>
  <c r="KW78" i="22"/>
  <c r="KU78" i="22"/>
  <c r="LD78" i="22" s="1"/>
  <c r="LL78" i="22" s="1"/>
  <c r="LT78" i="22" s="1"/>
  <c r="MB78" i="22" s="1"/>
  <c r="MK78" i="22" s="1"/>
  <c r="MS78" i="22" s="1"/>
  <c r="NB78" i="22" s="1"/>
  <c r="NJ78" i="22" s="1"/>
  <c r="NR78" i="22" s="1"/>
  <c r="NZ78" i="22" s="1"/>
  <c r="OJ78" i="22" s="1"/>
  <c r="OR78" i="22" s="1"/>
  <c r="PB78" i="22" s="1"/>
  <c r="PJ78" i="22" s="1"/>
  <c r="KT78" i="22"/>
  <c r="LC78" i="22" s="1"/>
  <c r="LK78" i="22" s="1"/>
  <c r="LS78" i="22" s="1"/>
  <c r="MA78" i="22" s="1"/>
  <c r="MJ78" i="22" s="1"/>
  <c r="MR78" i="22" s="1"/>
  <c r="NA78" i="22" s="1"/>
  <c r="NI78" i="22" s="1"/>
  <c r="NQ78" i="22" s="1"/>
  <c r="NY78" i="22" s="1"/>
  <c r="OI78" i="22" s="1"/>
  <c r="OQ78" i="22" s="1"/>
  <c r="PA78" i="22" s="1"/>
  <c r="PI78" i="22" s="1"/>
  <c r="KS78" i="22"/>
  <c r="KP78" i="22"/>
  <c r="KY78" i="22" s="1"/>
  <c r="LG78" i="22" s="1"/>
  <c r="LO78" i="22" s="1"/>
  <c r="LW78" i="22" s="1"/>
  <c r="MF78" i="22" s="1"/>
  <c r="MN78" i="22" s="1"/>
  <c r="MV78" i="22" s="1"/>
  <c r="NE78" i="22" s="1"/>
  <c r="NM78" i="22" s="1"/>
  <c r="NU78" i="22" s="1"/>
  <c r="OC78" i="22" s="1"/>
  <c r="OM78" i="22" s="1"/>
  <c r="OV78" i="22" s="1"/>
  <c r="PE78" i="22" s="1"/>
  <c r="PM78" i="22" s="1"/>
  <c r="KO78" i="22"/>
  <c r="KX78" i="22" s="1"/>
  <c r="LF78" i="22" s="1"/>
  <c r="LN78" i="22" s="1"/>
  <c r="LV78" i="22" s="1"/>
  <c r="ME78" i="22" s="1"/>
  <c r="MM78" i="22" s="1"/>
  <c r="MU78" i="22" s="1"/>
  <c r="ND78" i="22" s="1"/>
  <c r="NL78" i="22" s="1"/>
  <c r="NT78" i="22" s="1"/>
  <c r="OB78" i="22" s="1"/>
  <c r="OL78" i="22" s="1"/>
  <c r="OU78" i="22" s="1"/>
  <c r="PD78" i="22" s="1"/>
  <c r="PL78" i="22" s="1"/>
  <c r="KE77" i="22"/>
  <c r="KM77" i="22" s="1"/>
  <c r="KU77" i="22" s="1"/>
  <c r="LD77" i="22" s="1"/>
  <c r="LL77" i="22" s="1"/>
  <c r="LT77" i="22" s="1"/>
  <c r="MB77" i="22" s="1"/>
  <c r="MK77" i="22" s="1"/>
  <c r="MS77" i="22" s="1"/>
  <c r="NB77" i="22" s="1"/>
  <c r="NJ77" i="22" s="1"/>
  <c r="NR77" i="22" s="1"/>
  <c r="NZ77" i="22" s="1"/>
  <c r="OJ77" i="22" s="1"/>
  <c r="OR77" i="22" s="1"/>
  <c r="KD77" i="22"/>
  <c r="KL77" i="22" s="1"/>
  <c r="KT77" i="22" s="1"/>
  <c r="LC77" i="22" s="1"/>
  <c r="LK77" i="22" s="1"/>
  <c r="LS77" i="22" s="1"/>
  <c r="MA77" i="22" s="1"/>
  <c r="MJ77" i="22" s="1"/>
  <c r="MR77" i="22" s="1"/>
  <c r="NA77" i="22" s="1"/>
  <c r="NI77" i="22" s="1"/>
  <c r="NQ77" i="22" s="1"/>
  <c r="NY77" i="22" s="1"/>
  <c r="OI77" i="22" s="1"/>
  <c r="OQ77" i="22" s="1"/>
  <c r="JZ77" i="22"/>
  <c r="KI77" i="22" s="1"/>
  <c r="KQ77" i="22" s="1"/>
  <c r="KZ77" i="22" s="1"/>
  <c r="LH77" i="22" s="1"/>
  <c r="LP77" i="22" s="1"/>
  <c r="LX77" i="22" s="1"/>
  <c r="MG77" i="22" s="1"/>
  <c r="MO77" i="22" s="1"/>
  <c r="MW77" i="22" s="1"/>
  <c r="NF77" i="22" s="1"/>
  <c r="NN77" i="22" s="1"/>
  <c r="NV77" i="22" s="1"/>
  <c r="OF77" i="22" s="1"/>
  <c r="ON77" i="22" s="1"/>
  <c r="OW77" i="22" s="1"/>
  <c r="JY77" i="22"/>
  <c r="KH77" i="22" s="1"/>
  <c r="KP77" i="22" s="1"/>
  <c r="KY77" i="22" s="1"/>
  <c r="LG77" i="22" s="1"/>
  <c r="LO77" i="22" s="1"/>
  <c r="LW77" i="22" s="1"/>
  <c r="MF77" i="22" s="1"/>
  <c r="MN77" i="22" s="1"/>
  <c r="MV77" i="22" s="1"/>
  <c r="NE77" i="22" s="1"/>
  <c r="NM77" i="22" s="1"/>
  <c r="NU77" i="22" s="1"/>
  <c r="OC77" i="22" s="1"/>
  <c r="OM77" i="22" s="1"/>
  <c r="OV77" i="22" s="1"/>
  <c r="JX77" i="22"/>
  <c r="KG77" i="22" s="1"/>
  <c r="KO77" i="22" s="1"/>
  <c r="KX77" i="22" s="1"/>
  <c r="LF77" i="22" s="1"/>
  <c r="LN77" i="22" s="1"/>
  <c r="LV77" i="22" s="1"/>
  <c r="ME77" i="22" s="1"/>
  <c r="MM77" i="22" s="1"/>
  <c r="MU77" i="22" s="1"/>
  <c r="ND77" i="22" s="1"/>
  <c r="NL77" i="22" s="1"/>
  <c r="NT77" i="22" s="1"/>
  <c r="OB77" i="22" s="1"/>
  <c r="OL77" i="22" s="1"/>
  <c r="OU77" i="22" s="1"/>
  <c r="JW77" i="22"/>
  <c r="KF77" i="22" s="1"/>
  <c r="KN77" i="22" s="1"/>
  <c r="KW77" i="22" s="1"/>
  <c r="LE77" i="22" s="1"/>
  <c r="LM77" i="22" s="1"/>
  <c r="LU77" i="22" s="1"/>
  <c r="MC77" i="22" s="1"/>
  <c r="ML77" i="22" s="1"/>
  <c r="MT77" i="22" s="1"/>
  <c r="NC77" i="22" s="1"/>
  <c r="NK77" i="22" s="1"/>
  <c r="NS77" i="22" s="1"/>
  <c r="OA77" i="22" s="1"/>
  <c r="OK77" i="22" s="1"/>
  <c r="OT77" i="22" s="1"/>
  <c r="JR77" i="22"/>
  <c r="KC77" i="22" s="1"/>
  <c r="KK77" i="22" s="1"/>
  <c r="KS77" i="22" s="1"/>
  <c r="LB77" i="22" s="1"/>
  <c r="LJ77" i="22" s="1"/>
  <c r="LR77" i="22" s="1"/>
  <c r="LZ77" i="22" s="1"/>
  <c r="MI77" i="22" s="1"/>
  <c r="MQ77" i="22" s="1"/>
  <c r="MZ77" i="22" s="1"/>
  <c r="NH77" i="22" s="1"/>
  <c r="NP77" i="22" s="1"/>
  <c r="NX77" i="22" s="1"/>
  <c r="OH77" i="22" s="1"/>
  <c r="OP77" i="22" s="1"/>
  <c r="JQ77" i="22"/>
  <c r="KA77" i="22" s="1"/>
  <c r="KJ77" i="22" s="1"/>
  <c r="KR77" i="22" s="1"/>
  <c r="LA77" i="22" s="1"/>
  <c r="LI77" i="22" s="1"/>
  <c r="LQ77" i="22" s="1"/>
  <c r="LY77" i="22" s="1"/>
  <c r="MH77" i="22" s="1"/>
  <c r="MP77" i="22" s="1"/>
  <c r="MY77" i="22" s="1"/>
  <c r="NG77" i="22" s="1"/>
  <c r="NO77" i="22" s="1"/>
  <c r="NW77" i="22" s="1"/>
  <c r="OG77" i="22" s="1"/>
  <c r="OO77" i="22" s="1"/>
  <c r="KE76" i="22"/>
  <c r="KM76" i="22" s="1"/>
  <c r="KU76" i="22" s="1"/>
  <c r="LD76" i="22" s="1"/>
  <c r="LL76" i="22" s="1"/>
  <c r="LT76" i="22" s="1"/>
  <c r="MB76" i="22" s="1"/>
  <c r="MK76" i="22" s="1"/>
  <c r="MS76" i="22" s="1"/>
  <c r="NB76" i="22" s="1"/>
  <c r="NJ76" i="22" s="1"/>
  <c r="NR76" i="22" s="1"/>
  <c r="NZ76" i="22" s="1"/>
  <c r="OJ76" i="22" s="1"/>
  <c r="OR76" i="22" s="1"/>
  <c r="KD76" i="22"/>
  <c r="KL76" i="22" s="1"/>
  <c r="KT76" i="22" s="1"/>
  <c r="LC76" i="22" s="1"/>
  <c r="LK76" i="22" s="1"/>
  <c r="LS76" i="22" s="1"/>
  <c r="MA76" i="22" s="1"/>
  <c r="MJ76" i="22" s="1"/>
  <c r="MR76" i="22" s="1"/>
  <c r="NA76" i="22" s="1"/>
  <c r="NI76" i="22" s="1"/>
  <c r="NQ76" i="22" s="1"/>
  <c r="NY76" i="22" s="1"/>
  <c r="OI76" i="22" s="1"/>
  <c r="OQ76" i="22" s="1"/>
  <c r="JZ76" i="22"/>
  <c r="KI76" i="22" s="1"/>
  <c r="KQ76" i="22" s="1"/>
  <c r="KZ76" i="22" s="1"/>
  <c r="LH76" i="22" s="1"/>
  <c r="LP76" i="22" s="1"/>
  <c r="LX76" i="22" s="1"/>
  <c r="MG76" i="22" s="1"/>
  <c r="MO76" i="22" s="1"/>
  <c r="MW76" i="22" s="1"/>
  <c r="NF76" i="22" s="1"/>
  <c r="NN76" i="22" s="1"/>
  <c r="NV76" i="22" s="1"/>
  <c r="OF76" i="22" s="1"/>
  <c r="ON76" i="22" s="1"/>
  <c r="OW76" i="22" s="1"/>
  <c r="JY76" i="22"/>
  <c r="KH76" i="22" s="1"/>
  <c r="KP76" i="22" s="1"/>
  <c r="KY76" i="22" s="1"/>
  <c r="LG76" i="22" s="1"/>
  <c r="LO76" i="22" s="1"/>
  <c r="LW76" i="22" s="1"/>
  <c r="MF76" i="22" s="1"/>
  <c r="MN76" i="22" s="1"/>
  <c r="MV76" i="22" s="1"/>
  <c r="NE76" i="22" s="1"/>
  <c r="NM76" i="22" s="1"/>
  <c r="NU76" i="22" s="1"/>
  <c r="OC76" i="22" s="1"/>
  <c r="OM76" i="22" s="1"/>
  <c r="OV76" i="22" s="1"/>
  <c r="JX76" i="22"/>
  <c r="KG76" i="22" s="1"/>
  <c r="KO76" i="22" s="1"/>
  <c r="KX76" i="22" s="1"/>
  <c r="LF76" i="22" s="1"/>
  <c r="LN76" i="22" s="1"/>
  <c r="LV76" i="22" s="1"/>
  <c r="ME76" i="22" s="1"/>
  <c r="MM76" i="22" s="1"/>
  <c r="MU76" i="22" s="1"/>
  <c r="ND76" i="22" s="1"/>
  <c r="NL76" i="22" s="1"/>
  <c r="NT76" i="22" s="1"/>
  <c r="OB76" i="22" s="1"/>
  <c r="OL76" i="22" s="1"/>
  <c r="OU76" i="22" s="1"/>
  <c r="JW76" i="22"/>
  <c r="KF76" i="22" s="1"/>
  <c r="KN76" i="22" s="1"/>
  <c r="KW76" i="22" s="1"/>
  <c r="LE76" i="22" s="1"/>
  <c r="LM76" i="22" s="1"/>
  <c r="LU76" i="22" s="1"/>
  <c r="MC76" i="22" s="1"/>
  <c r="ML76" i="22" s="1"/>
  <c r="MT76" i="22" s="1"/>
  <c r="NC76" i="22" s="1"/>
  <c r="NK76" i="22" s="1"/>
  <c r="NS76" i="22" s="1"/>
  <c r="OA76" i="22" s="1"/>
  <c r="OK76" i="22" s="1"/>
  <c r="OT76" i="22" s="1"/>
  <c r="JR76" i="22"/>
  <c r="KC76" i="22" s="1"/>
  <c r="KK76" i="22" s="1"/>
  <c r="KS76" i="22" s="1"/>
  <c r="LB76" i="22" s="1"/>
  <c r="LJ76" i="22" s="1"/>
  <c r="LR76" i="22" s="1"/>
  <c r="LZ76" i="22" s="1"/>
  <c r="MI76" i="22" s="1"/>
  <c r="MQ76" i="22" s="1"/>
  <c r="MZ76" i="22" s="1"/>
  <c r="NH76" i="22" s="1"/>
  <c r="NP76" i="22" s="1"/>
  <c r="NX76" i="22" s="1"/>
  <c r="OH76" i="22" s="1"/>
  <c r="OP76" i="22" s="1"/>
  <c r="JQ76" i="22"/>
  <c r="KA76" i="22" s="1"/>
  <c r="KJ76" i="22" s="1"/>
  <c r="KR76" i="22" s="1"/>
  <c r="LA76" i="22" s="1"/>
  <c r="LI76" i="22" s="1"/>
  <c r="LQ76" i="22" s="1"/>
  <c r="LY76" i="22" s="1"/>
  <c r="MH76" i="22" s="1"/>
  <c r="MP76" i="22" s="1"/>
  <c r="MY76" i="22" s="1"/>
  <c r="NG76" i="22" s="1"/>
  <c r="NO76" i="22" s="1"/>
  <c r="NW76" i="22" s="1"/>
  <c r="OG76" i="22" s="1"/>
  <c r="OO76" i="22" s="1"/>
  <c r="KR74" i="22"/>
  <c r="LA74" i="22" s="1"/>
  <c r="LI74" i="22" s="1"/>
  <c r="LQ74" i="22" s="1"/>
  <c r="LY74" i="22" s="1"/>
  <c r="MH74" i="22" s="1"/>
  <c r="MP74" i="22" s="1"/>
  <c r="MY74" i="22" s="1"/>
  <c r="NG74" i="22" s="1"/>
  <c r="NO74" i="22" s="1"/>
  <c r="NW74" i="22" s="1"/>
  <c r="OG74" i="22" s="1"/>
  <c r="OO74" i="22" s="1"/>
  <c r="OX74" i="22" s="1"/>
  <c r="PG74" i="22" s="1"/>
  <c r="KQ74" i="22"/>
  <c r="KZ74" i="22" s="1"/>
  <c r="LH74" i="22" s="1"/>
  <c r="LP74" i="22" s="1"/>
  <c r="LX74" i="22" s="1"/>
  <c r="MG74" i="22" s="1"/>
  <c r="MO74" i="22" s="1"/>
  <c r="MW74" i="22" s="1"/>
  <c r="NF74" i="22" s="1"/>
  <c r="NN74" i="22" s="1"/>
  <c r="NV74" i="22" s="1"/>
  <c r="OF74" i="22" s="1"/>
  <c r="ON74" i="22" s="1"/>
  <c r="OW74" i="22" s="1"/>
  <c r="PF74" i="22" s="1"/>
  <c r="KN74" i="22"/>
  <c r="KW74" i="22" s="1"/>
  <c r="LE74" i="22" s="1"/>
  <c r="LM74" i="22" s="1"/>
  <c r="LU74" i="22" s="1"/>
  <c r="MC74" i="22" s="1"/>
  <c r="ML74" i="22" s="1"/>
  <c r="MT74" i="22" s="1"/>
  <c r="NC74" i="22" s="1"/>
  <c r="NK74" i="22" s="1"/>
  <c r="NS74" i="22" s="1"/>
  <c r="OA74" i="22" s="1"/>
  <c r="OK74" i="22" s="1"/>
  <c r="OT74" i="22" s="1"/>
  <c r="PC74" i="22" s="1"/>
  <c r="PK74" i="22" s="1"/>
  <c r="KM74" i="22"/>
  <c r="KU74" i="22" s="1"/>
  <c r="LD74" i="22" s="1"/>
  <c r="LL74" i="22" s="1"/>
  <c r="LT74" i="22" s="1"/>
  <c r="MB74" i="22" s="1"/>
  <c r="MK74" i="22" s="1"/>
  <c r="MS74" i="22" s="1"/>
  <c r="NB74" i="22" s="1"/>
  <c r="NJ74" i="22" s="1"/>
  <c r="NR74" i="22" s="1"/>
  <c r="NZ74" i="22" s="1"/>
  <c r="OJ74" i="22" s="1"/>
  <c r="OR74" i="22" s="1"/>
  <c r="PB74" i="22" s="1"/>
  <c r="PJ74" i="22" s="1"/>
  <c r="KL74" i="22"/>
  <c r="KT74" i="22" s="1"/>
  <c r="LC74" i="22" s="1"/>
  <c r="LK74" i="22" s="1"/>
  <c r="LS74" i="22" s="1"/>
  <c r="MA74" i="22" s="1"/>
  <c r="MJ74" i="22" s="1"/>
  <c r="MR74" i="22" s="1"/>
  <c r="NA74" i="22" s="1"/>
  <c r="NI74" i="22" s="1"/>
  <c r="NQ74" i="22" s="1"/>
  <c r="NY74" i="22" s="1"/>
  <c r="OI74" i="22" s="1"/>
  <c r="OQ74" i="22" s="1"/>
  <c r="PA74" i="22" s="1"/>
  <c r="PI74" i="22" s="1"/>
  <c r="KK74" i="22"/>
  <c r="KS74" i="22" s="1"/>
  <c r="LB74" i="22" s="1"/>
  <c r="LJ74" i="22" s="1"/>
  <c r="LR74" i="22" s="1"/>
  <c r="LZ74" i="22" s="1"/>
  <c r="MI74" i="22" s="1"/>
  <c r="MQ74" i="22" s="1"/>
  <c r="MZ74" i="22" s="1"/>
  <c r="NH74" i="22" s="1"/>
  <c r="NP74" i="22" s="1"/>
  <c r="NX74" i="22" s="1"/>
  <c r="OH74" i="22" s="1"/>
  <c r="OP74" i="22" s="1"/>
  <c r="OZ74" i="22" s="1"/>
  <c r="PH74" i="22" s="1"/>
  <c r="KH74" i="22"/>
  <c r="KP74" i="22" s="1"/>
  <c r="KY74" i="22" s="1"/>
  <c r="LG74" i="22" s="1"/>
  <c r="LO74" i="22" s="1"/>
  <c r="LW74" i="22" s="1"/>
  <c r="MF74" i="22" s="1"/>
  <c r="MN74" i="22" s="1"/>
  <c r="MV74" i="22" s="1"/>
  <c r="NE74" i="22" s="1"/>
  <c r="NM74" i="22" s="1"/>
  <c r="NU74" i="22" s="1"/>
  <c r="OC74" i="22" s="1"/>
  <c r="OM74" i="22" s="1"/>
  <c r="OV74" i="22" s="1"/>
  <c r="PE74" i="22" s="1"/>
  <c r="KG74" i="22"/>
  <c r="KO74" i="22" s="1"/>
  <c r="KX74" i="22" s="1"/>
  <c r="LF74" i="22" s="1"/>
  <c r="LN74" i="22" s="1"/>
  <c r="LV74" i="22" s="1"/>
  <c r="ME74" i="22" s="1"/>
  <c r="MM74" i="22" s="1"/>
  <c r="MU74" i="22" s="1"/>
  <c r="ND74" i="22" s="1"/>
  <c r="NL74" i="22" s="1"/>
  <c r="NT74" i="22" s="1"/>
  <c r="OB74" i="22" s="1"/>
  <c r="OL74" i="22" s="1"/>
  <c r="OU74" i="22" s="1"/>
  <c r="PD74" i="22" s="1"/>
  <c r="LI73" i="22"/>
  <c r="LQ73" i="22" s="1"/>
  <c r="LY73" i="22" s="1"/>
  <c r="MH73" i="22" s="1"/>
  <c r="MP73" i="22" s="1"/>
  <c r="MY73" i="22" s="1"/>
  <c r="NG73" i="22" s="1"/>
  <c r="NO73" i="22" s="1"/>
  <c r="NW73" i="22" s="1"/>
  <c r="OG73" i="22" s="1"/>
  <c r="OO73" i="22" s="1"/>
  <c r="OX73" i="22" s="1"/>
  <c r="PG73" i="22" s="1"/>
  <c r="KR73" i="22"/>
  <c r="LA73" i="22" s="1"/>
  <c r="KQ73" i="22"/>
  <c r="KZ73" i="22" s="1"/>
  <c r="LH73" i="22" s="1"/>
  <c r="LP73" i="22" s="1"/>
  <c r="LX73" i="22" s="1"/>
  <c r="MG73" i="22" s="1"/>
  <c r="MO73" i="22" s="1"/>
  <c r="MW73" i="22" s="1"/>
  <c r="NF73" i="22" s="1"/>
  <c r="NN73" i="22" s="1"/>
  <c r="NV73" i="22" s="1"/>
  <c r="OF73" i="22" s="1"/>
  <c r="ON73" i="22" s="1"/>
  <c r="OW73" i="22" s="1"/>
  <c r="PF73" i="22" s="1"/>
  <c r="KN73" i="22"/>
  <c r="KW73" i="22" s="1"/>
  <c r="LE73" i="22" s="1"/>
  <c r="LM73" i="22" s="1"/>
  <c r="LU73" i="22" s="1"/>
  <c r="MC73" i="22" s="1"/>
  <c r="ML73" i="22" s="1"/>
  <c r="MT73" i="22" s="1"/>
  <c r="NC73" i="22" s="1"/>
  <c r="NK73" i="22" s="1"/>
  <c r="NS73" i="22" s="1"/>
  <c r="OA73" i="22" s="1"/>
  <c r="OK73" i="22" s="1"/>
  <c r="OT73" i="22" s="1"/>
  <c r="PC73" i="22" s="1"/>
  <c r="PK73" i="22" s="1"/>
  <c r="KM73" i="22"/>
  <c r="KU73" i="22" s="1"/>
  <c r="LD73" i="22" s="1"/>
  <c r="LL73" i="22" s="1"/>
  <c r="LT73" i="22" s="1"/>
  <c r="MB73" i="22" s="1"/>
  <c r="MK73" i="22" s="1"/>
  <c r="MS73" i="22" s="1"/>
  <c r="NB73" i="22" s="1"/>
  <c r="NJ73" i="22" s="1"/>
  <c r="NR73" i="22" s="1"/>
  <c r="NZ73" i="22" s="1"/>
  <c r="OJ73" i="22" s="1"/>
  <c r="OR73" i="22" s="1"/>
  <c r="PB73" i="22" s="1"/>
  <c r="PJ73" i="22" s="1"/>
  <c r="KL73" i="22"/>
  <c r="KT73" i="22" s="1"/>
  <c r="LC73" i="22" s="1"/>
  <c r="LK73" i="22" s="1"/>
  <c r="LS73" i="22" s="1"/>
  <c r="MA73" i="22" s="1"/>
  <c r="MJ73" i="22" s="1"/>
  <c r="MR73" i="22" s="1"/>
  <c r="NA73" i="22" s="1"/>
  <c r="NI73" i="22" s="1"/>
  <c r="NQ73" i="22" s="1"/>
  <c r="NY73" i="22" s="1"/>
  <c r="OI73" i="22" s="1"/>
  <c r="OQ73" i="22" s="1"/>
  <c r="PA73" i="22" s="1"/>
  <c r="PI73" i="22" s="1"/>
  <c r="KK73" i="22"/>
  <c r="KS73" i="22" s="1"/>
  <c r="LB73" i="22" s="1"/>
  <c r="LJ73" i="22" s="1"/>
  <c r="LR73" i="22" s="1"/>
  <c r="LZ73" i="22" s="1"/>
  <c r="MI73" i="22" s="1"/>
  <c r="MQ73" i="22" s="1"/>
  <c r="MZ73" i="22" s="1"/>
  <c r="NH73" i="22" s="1"/>
  <c r="NP73" i="22" s="1"/>
  <c r="NX73" i="22" s="1"/>
  <c r="OH73" i="22" s="1"/>
  <c r="OP73" i="22" s="1"/>
  <c r="OZ73" i="22" s="1"/>
  <c r="PH73" i="22" s="1"/>
  <c r="KH73" i="22"/>
  <c r="KP73" i="22" s="1"/>
  <c r="KY73" i="22" s="1"/>
  <c r="LG73" i="22" s="1"/>
  <c r="LO73" i="22" s="1"/>
  <c r="LW73" i="22" s="1"/>
  <c r="MF73" i="22" s="1"/>
  <c r="MN73" i="22" s="1"/>
  <c r="MV73" i="22" s="1"/>
  <c r="NE73" i="22" s="1"/>
  <c r="NM73" i="22" s="1"/>
  <c r="NU73" i="22" s="1"/>
  <c r="OC73" i="22" s="1"/>
  <c r="OM73" i="22" s="1"/>
  <c r="OV73" i="22" s="1"/>
  <c r="PE73" i="22" s="1"/>
  <c r="KG73" i="22"/>
  <c r="KO73" i="22" s="1"/>
  <c r="KX73" i="22" s="1"/>
  <c r="LF73" i="22" s="1"/>
  <c r="LN73" i="22" s="1"/>
  <c r="LV73" i="22" s="1"/>
  <c r="ME73" i="22" s="1"/>
  <c r="MM73" i="22" s="1"/>
  <c r="MU73" i="22" s="1"/>
  <c r="ND73" i="22" s="1"/>
  <c r="NL73" i="22" s="1"/>
  <c r="NT73" i="22" s="1"/>
  <c r="OB73" i="22" s="1"/>
  <c r="OL73" i="22" s="1"/>
  <c r="OU73" i="22" s="1"/>
  <c r="PD73" i="22" s="1"/>
  <c r="JZ72" i="22"/>
  <c r="KI72" i="22" s="1"/>
  <c r="KQ72" i="22" s="1"/>
  <c r="KZ72" i="22" s="1"/>
  <c r="LH72" i="22" s="1"/>
  <c r="LP72" i="22" s="1"/>
  <c r="LX72" i="22" s="1"/>
  <c r="MG72" i="22" s="1"/>
  <c r="MO72" i="22" s="1"/>
  <c r="MW72" i="22" s="1"/>
  <c r="NF72" i="22" s="1"/>
  <c r="NN72" i="22" s="1"/>
  <c r="NV72" i="22" s="1"/>
  <c r="OF72" i="22" s="1"/>
  <c r="ON72" i="22" s="1"/>
  <c r="JY72" i="22"/>
  <c r="KH72" i="22" s="1"/>
  <c r="KP72" i="22" s="1"/>
  <c r="KY72" i="22" s="1"/>
  <c r="LG72" i="22" s="1"/>
  <c r="LO72" i="22" s="1"/>
  <c r="LW72" i="22" s="1"/>
  <c r="MF72" i="22" s="1"/>
  <c r="MN72" i="22" s="1"/>
  <c r="MV72" i="22" s="1"/>
  <c r="NE72" i="22" s="1"/>
  <c r="NM72" i="22" s="1"/>
  <c r="NU72" i="22" s="1"/>
  <c r="OC72" i="22" s="1"/>
  <c r="OM72" i="22" s="1"/>
  <c r="JV72" i="22"/>
  <c r="KE72" i="22" s="1"/>
  <c r="KM72" i="22" s="1"/>
  <c r="KU72" i="22" s="1"/>
  <c r="LD72" i="22" s="1"/>
  <c r="LL72" i="22" s="1"/>
  <c r="LT72" i="22" s="1"/>
  <c r="MB72" i="22" s="1"/>
  <c r="MK72" i="22" s="1"/>
  <c r="MS72" i="22" s="1"/>
  <c r="NB72" i="22" s="1"/>
  <c r="NJ72" i="22" s="1"/>
  <c r="NR72" i="22" s="1"/>
  <c r="NZ72" i="22" s="1"/>
  <c r="OJ72" i="22" s="1"/>
  <c r="OR72" i="22" s="1"/>
  <c r="JS72" i="22"/>
  <c r="KD72" i="22" s="1"/>
  <c r="KL72" i="22" s="1"/>
  <c r="KT72" i="22" s="1"/>
  <c r="LC72" i="22" s="1"/>
  <c r="LK72" i="22" s="1"/>
  <c r="LS72" i="22" s="1"/>
  <c r="MA72" i="22" s="1"/>
  <c r="MJ72" i="22" s="1"/>
  <c r="MR72" i="22" s="1"/>
  <c r="NA72" i="22" s="1"/>
  <c r="NI72" i="22" s="1"/>
  <c r="NQ72" i="22" s="1"/>
  <c r="NY72" i="22" s="1"/>
  <c r="OI72" i="22" s="1"/>
  <c r="OQ72" i="22" s="1"/>
  <c r="JR72" i="22"/>
  <c r="KC72" i="22" s="1"/>
  <c r="KK72" i="22" s="1"/>
  <c r="KS72" i="22" s="1"/>
  <c r="LB72" i="22" s="1"/>
  <c r="LJ72" i="22" s="1"/>
  <c r="LR72" i="22" s="1"/>
  <c r="LZ72" i="22" s="1"/>
  <c r="MI72" i="22" s="1"/>
  <c r="MQ72" i="22" s="1"/>
  <c r="MZ72" i="22" s="1"/>
  <c r="NH72" i="22" s="1"/>
  <c r="NP72" i="22" s="1"/>
  <c r="NX72" i="22" s="1"/>
  <c r="OH72" i="22" s="1"/>
  <c r="OP72" i="22" s="1"/>
  <c r="JQ72" i="22"/>
  <c r="KA72" i="22" s="1"/>
  <c r="KJ72" i="22" s="1"/>
  <c r="KR72" i="22" s="1"/>
  <c r="LA72" i="22" s="1"/>
  <c r="LI72" i="22" s="1"/>
  <c r="LQ72" i="22" s="1"/>
  <c r="LY72" i="22" s="1"/>
  <c r="MH72" i="22" s="1"/>
  <c r="MP72" i="22" s="1"/>
  <c r="MY72" i="22" s="1"/>
  <c r="NG72" i="22" s="1"/>
  <c r="NO72" i="22" s="1"/>
  <c r="NW72" i="22" s="1"/>
  <c r="OG72" i="22" s="1"/>
  <c r="OO72" i="22" s="1"/>
  <c r="JM72" i="22"/>
  <c r="JX72" i="22" s="1"/>
  <c r="KG72" i="22" s="1"/>
  <c r="KO72" i="22" s="1"/>
  <c r="KX72" i="22" s="1"/>
  <c r="LF72" i="22" s="1"/>
  <c r="LN72" i="22" s="1"/>
  <c r="LV72" i="22" s="1"/>
  <c r="ME72" i="22" s="1"/>
  <c r="MM72" i="22" s="1"/>
  <c r="MU72" i="22" s="1"/>
  <c r="ND72" i="22" s="1"/>
  <c r="NL72" i="22" s="1"/>
  <c r="NT72" i="22" s="1"/>
  <c r="OB72" i="22" s="1"/>
  <c r="OL72" i="22" s="1"/>
  <c r="JL72" i="22"/>
  <c r="JW72" i="22" s="1"/>
  <c r="KF72" i="22" s="1"/>
  <c r="KN72" i="22" s="1"/>
  <c r="KW72" i="22" s="1"/>
  <c r="LE72" i="22" s="1"/>
  <c r="LM72" i="22" s="1"/>
  <c r="LU72" i="22" s="1"/>
  <c r="MC72" i="22" s="1"/>
  <c r="ML72" i="22" s="1"/>
  <c r="MT72" i="22" s="1"/>
  <c r="NC72" i="22" s="1"/>
  <c r="NK72" i="22" s="1"/>
  <c r="NS72" i="22" s="1"/>
  <c r="OA72" i="22" s="1"/>
  <c r="OK72" i="22" s="1"/>
  <c r="JY71" i="22"/>
  <c r="KH71" i="22" s="1"/>
  <c r="KP71" i="22" s="1"/>
  <c r="KY71" i="22" s="1"/>
  <c r="LG71" i="22" s="1"/>
  <c r="LO71" i="22" s="1"/>
  <c r="LW71" i="22" s="1"/>
  <c r="MF71" i="22" s="1"/>
  <c r="MN71" i="22" s="1"/>
  <c r="MV71" i="22" s="1"/>
  <c r="NE71" i="22" s="1"/>
  <c r="NM71" i="22" s="1"/>
  <c r="NU71" i="22" s="1"/>
  <c r="OC71" i="22" s="1"/>
  <c r="OM71" i="22" s="1"/>
  <c r="JX71" i="22"/>
  <c r="KG71" i="22" s="1"/>
  <c r="KO71" i="22" s="1"/>
  <c r="KX71" i="22" s="1"/>
  <c r="LF71" i="22" s="1"/>
  <c r="LN71" i="22" s="1"/>
  <c r="LV71" i="22" s="1"/>
  <c r="ME71" i="22" s="1"/>
  <c r="MM71" i="22" s="1"/>
  <c r="MU71" i="22" s="1"/>
  <c r="ND71" i="22" s="1"/>
  <c r="NL71" i="22" s="1"/>
  <c r="NT71" i="22" s="1"/>
  <c r="OB71" i="22" s="1"/>
  <c r="OL71" i="22" s="1"/>
  <c r="JS71" i="22"/>
  <c r="KD71" i="22" s="1"/>
  <c r="KL71" i="22" s="1"/>
  <c r="KT71" i="22" s="1"/>
  <c r="LC71" i="22" s="1"/>
  <c r="LK71" i="22" s="1"/>
  <c r="LS71" i="22" s="1"/>
  <c r="MA71" i="22" s="1"/>
  <c r="MJ71" i="22" s="1"/>
  <c r="MR71" i="22" s="1"/>
  <c r="NA71" i="22" s="1"/>
  <c r="NI71" i="22" s="1"/>
  <c r="NQ71" i="22" s="1"/>
  <c r="NY71" i="22" s="1"/>
  <c r="OI71" i="22" s="1"/>
  <c r="OQ71" i="22" s="1"/>
  <c r="JR71" i="22"/>
  <c r="KC71" i="22" s="1"/>
  <c r="KK71" i="22" s="1"/>
  <c r="KS71" i="22" s="1"/>
  <c r="LB71" i="22" s="1"/>
  <c r="LJ71" i="22" s="1"/>
  <c r="LR71" i="22" s="1"/>
  <c r="LZ71" i="22" s="1"/>
  <c r="MI71" i="22" s="1"/>
  <c r="MQ71" i="22" s="1"/>
  <c r="MZ71" i="22" s="1"/>
  <c r="NH71" i="22" s="1"/>
  <c r="NP71" i="22" s="1"/>
  <c r="NX71" i="22" s="1"/>
  <c r="OH71" i="22" s="1"/>
  <c r="OP71" i="22" s="1"/>
  <c r="JQ71" i="22"/>
  <c r="KA71" i="22" s="1"/>
  <c r="KJ71" i="22" s="1"/>
  <c r="KR71" i="22" s="1"/>
  <c r="LA71" i="22" s="1"/>
  <c r="LI71" i="22" s="1"/>
  <c r="LQ71" i="22" s="1"/>
  <c r="LY71" i="22" s="1"/>
  <c r="MH71" i="22" s="1"/>
  <c r="MP71" i="22" s="1"/>
  <c r="MY71" i="22" s="1"/>
  <c r="NG71" i="22" s="1"/>
  <c r="NO71" i="22" s="1"/>
  <c r="NW71" i="22" s="1"/>
  <c r="OG71" i="22" s="1"/>
  <c r="OO71" i="22" s="1"/>
  <c r="JO71" i="22"/>
  <c r="JZ71" i="22" s="1"/>
  <c r="KI71" i="22" s="1"/>
  <c r="KQ71" i="22" s="1"/>
  <c r="KZ71" i="22" s="1"/>
  <c r="LH71" i="22" s="1"/>
  <c r="LP71" i="22" s="1"/>
  <c r="LX71" i="22" s="1"/>
  <c r="MG71" i="22" s="1"/>
  <c r="MO71" i="22" s="1"/>
  <c r="MW71" i="22" s="1"/>
  <c r="NF71" i="22" s="1"/>
  <c r="NN71" i="22" s="1"/>
  <c r="NV71" i="22" s="1"/>
  <c r="OF71" i="22" s="1"/>
  <c r="ON71" i="22" s="1"/>
  <c r="JL71" i="22"/>
  <c r="JW71" i="22" s="1"/>
  <c r="KF71" i="22" s="1"/>
  <c r="KN71" i="22" s="1"/>
  <c r="KW71" i="22" s="1"/>
  <c r="LE71" i="22" s="1"/>
  <c r="LM71" i="22" s="1"/>
  <c r="LU71" i="22" s="1"/>
  <c r="MC71" i="22" s="1"/>
  <c r="ML71" i="22" s="1"/>
  <c r="MT71" i="22" s="1"/>
  <c r="NC71" i="22" s="1"/>
  <c r="NK71" i="22" s="1"/>
  <c r="NS71" i="22" s="1"/>
  <c r="OA71" i="22" s="1"/>
  <c r="OK71" i="22" s="1"/>
  <c r="JK71" i="22"/>
  <c r="JV71" i="22" s="1"/>
  <c r="KE71" i="22" s="1"/>
  <c r="KM71" i="22" s="1"/>
  <c r="KU71" i="22" s="1"/>
  <c r="LD71" i="22" s="1"/>
  <c r="LL71" i="22" s="1"/>
  <c r="LT71" i="22" s="1"/>
  <c r="MB71" i="22" s="1"/>
  <c r="MK71" i="22" s="1"/>
  <c r="MS71" i="22" s="1"/>
  <c r="NB71" i="22" s="1"/>
  <c r="NJ71" i="22" s="1"/>
  <c r="NR71" i="22" s="1"/>
  <c r="NZ71" i="22" s="1"/>
  <c r="OJ71" i="22" s="1"/>
  <c r="NL69" i="22"/>
  <c r="LQ69" i="22"/>
  <c r="LY69" i="22" s="1"/>
  <c r="MH69" i="22" s="1"/>
  <c r="MP69" i="22" s="1"/>
  <c r="MY69" i="22" s="1"/>
  <c r="NG69" i="22" s="1"/>
  <c r="IT69" i="22"/>
  <c r="JC69" i="22" s="1"/>
  <c r="JK69" i="22" s="1"/>
  <c r="JV69" i="22" s="1"/>
  <c r="KE69" i="22" s="1"/>
  <c r="KM69" i="22" s="1"/>
  <c r="KU69" i="22" s="1"/>
  <c r="LD69" i="22" s="1"/>
  <c r="LL69" i="22" s="1"/>
  <c r="LT69" i="22" s="1"/>
  <c r="MB69" i="22" s="1"/>
  <c r="MK69" i="22" s="1"/>
  <c r="MS69" i="22" s="1"/>
  <c r="NB69" i="22" s="1"/>
  <c r="NJ69" i="22" s="1"/>
  <c r="IS69" i="22"/>
  <c r="JB69" i="22" s="1"/>
  <c r="JJ69" i="22" s="1"/>
  <c r="JS69" i="22" s="1"/>
  <c r="KD69" i="22" s="1"/>
  <c r="KL69" i="22" s="1"/>
  <c r="KT69" i="22" s="1"/>
  <c r="LC69" i="22" s="1"/>
  <c r="LK69" i="22" s="1"/>
  <c r="LS69" i="22" s="1"/>
  <c r="MA69" i="22" s="1"/>
  <c r="MJ69" i="22" s="1"/>
  <c r="MR69" i="22" s="1"/>
  <c r="NA69" i="22" s="1"/>
  <c r="NI69" i="22" s="1"/>
  <c r="IP69" i="22"/>
  <c r="IY69" i="22" s="1"/>
  <c r="JG69" i="22" s="1"/>
  <c r="JO69" i="22" s="1"/>
  <c r="JZ69" i="22" s="1"/>
  <c r="KI69" i="22" s="1"/>
  <c r="KQ69" i="22" s="1"/>
  <c r="KZ69" i="22" s="1"/>
  <c r="LH69" i="22" s="1"/>
  <c r="LP69" i="22" s="1"/>
  <c r="LX69" i="22" s="1"/>
  <c r="MG69" i="22" s="1"/>
  <c r="MO69" i="22" s="1"/>
  <c r="MW69" i="22" s="1"/>
  <c r="NF69" i="22" s="1"/>
  <c r="NN69" i="22" s="1"/>
  <c r="IO69" i="22"/>
  <c r="IX69" i="22" s="1"/>
  <c r="JF69" i="22" s="1"/>
  <c r="JN69" i="22" s="1"/>
  <c r="JY69" i="22" s="1"/>
  <c r="KH69" i="22" s="1"/>
  <c r="KP69" i="22" s="1"/>
  <c r="KY69" i="22" s="1"/>
  <c r="LG69" i="22" s="1"/>
  <c r="LO69" i="22" s="1"/>
  <c r="LW69" i="22" s="1"/>
  <c r="MF69" i="22" s="1"/>
  <c r="MN69" i="22" s="1"/>
  <c r="MV69" i="22" s="1"/>
  <c r="NE69" i="22" s="1"/>
  <c r="NM69" i="22" s="1"/>
  <c r="IN69" i="22"/>
  <c r="IW69" i="22" s="1"/>
  <c r="JE69" i="22" s="1"/>
  <c r="JM69" i="22" s="1"/>
  <c r="JX69" i="22" s="1"/>
  <c r="KG69" i="22" s="1"/>
  <c r="KO69" i="22" s="1"/>
  <c r="KX69" i="22" s="1"/>
  <c r="LF69" i="22" s="1"/>
  <c r="LN69" i="22" s="1"/>
  <c r="LV69" i="22" s="1"/>
  <c r="ME69" i="22" s="1"/>
  <c r="MM69" i="22" s="1"/>
  <c r="MU69" i="22" s="1"/>
  <c r="ND69" i="22" s="1"/>
  <c r="IM69" i="22"/>
  <c r="IU69" i="22" s="1"/>
  <c r="JD69" i="22" s="1"/>
  <c r="JL69" i="22" s="1"/>
  <c r="JW69" i="22" s="1"/>
  <c r="KF69" i="22" s="1"/>
  <c r="KN69" i="22" s="1"/>
  <c r="KW69" i="22" s="1"/>
  <c r="LE69" i="22" s="1"/>
  <c r="LM69" i="22" s="1"/>
  <c r="LU69" i="22" s="1"/>
  <c r="MC69" i="22" s="1"/>
  <c r="ML69" i="22" s="1"/>
  <c r="MT69" i="22" s="1"/>
  <c r="NC69" i="22" s="1"/>
  <c r="NK69" i="22" s="1"/>
  <c r="IJ69" i="22"/>
  <c r="IR69" i="22" s="1"/>
  <c r="JA69" i="22" s="1"/>
  <c r="JI69" i="22" s="1"/>
  <c r="JR69" i="22" s="1"/>
  <c r="KC69" i="22" s="1"/>
  <c r="KK69" i="22" s="1"/>
  <c r="KS69" i="22" s="1"/>
  <c r="LB69" i="22" s="1"/>
  <c r="LJ69" i="22" s="1"/>
  <c r="LR69" i="22" s="1"/>
  <c r="LZ69" i="22" s="1"/>
  <c r="MI69" i="22" s="1"/>
  <c r="MQ69" i="22" s="1"/>
  <c r="MZ69" i="22" s="1"/>
  <c r="NH69" i="22" s="1"/>
  <c r="II69" i="22"/>
  <c r="IQ69" i="22" s="1"/>
  <c r="IZ69" i="22" s="1"/>
  <c r="JH69" i="22" s="1"/>
  <c r="JQ69" i="22" s="1"/>
  <c r="KA69" i="22" s="1"/>
  <c r="KJ69" i="22" s="1"/>
  <c r="KR69" i="22" s="1"/>
  <c r="LA69" i="22" s="1"/>
  <c r="LI69" i="22" s="1"/>
  <c r="JV68" i="22"/>
  <c r="KE68" i="22" s="1"/>
  <c r="KM68" i="22" s="1"/>
  <c r="KU68" i="22" s="1"/>
  <c r="LD68" i="22" s="1"/>
  <c r="LL68" i="22" s="1"/>
  <c r="LT68" i="22" s="1"/>
  <c r="MB68" i="22" s="1"/>
  <c r="MK68" i="22" s="1"/>
  <c r="MS68" i="22" s="1"/>
  <c r="NB68" i="22" s="1"/>
  <c r="NJ68" i="22" s="1"/>
  <c r="IT68" i="22"/>
  <c r="JC68" i="22" s="1"/>
  <c r="JK68" i="22" s="1"/>
  <c r="IS68" i="22"/>
  <c r="JB68" i="22" s="1"/>
  <c r="JJ68" i="22" s="1"/>
  <c r="JS68" i="22" s="1"/>
  <c r="KD68" i="22" s="1"/>
  <c r="KL68" i="22" s="1"/>
  <c r="KT68" i="22" s="1"/>
  <c r="LC68" i="22" s="1"/>
  <c r="LK68" i="22" s="1"/>
  <c r="LS68" i="22" s="1"/>
  <c r="MA68" i="22" s="1"/>
  <c r="MJ68" i="22" s="1"/>
  <c r="MR68" i="22" s="1"/>
  <c r="NA68" i="22" s="1"/>
  <c r="NI68" i="22" s="1"/>
  <c r="IP68" i="22"/>
  <c r="IY68" i="22" s="1"/>
  <c r="JG68" i="22" s="1"/>
  <c r="JO68" i="22" s="1"/>
  <c r="JZ68" i="22" s="1"/>
  <c r="KI68" i="22" s="1"/>
  <c r="KQ68" i="22" s="1"/>
  <c r="KZ68" i="22" s="1"/>
  <c r="LH68" i="22" s="1"/>
  <c r="LP68" i="22" s="1"/>
  <c r="LX68" i="22" s="1"/>
  <c r="MG68" i="22" s="1"/>
  <c r="MO68" i="22" s="1"/>
  <c r="MW68" i="22" s="1"/>
  <c r="NF68" i="22" s="1"/>
  <c r="NN68" i="22" s="1"/>
  <c r="IO68" i="22"/>
  <c r="IX68" i="22" s="1"/>
  <c r="JF68" i="22" s="1"/>
  <c r="JN68" i="22" s="1"/>
  <c r="JY68" i="22" s="1"/>
  <c r="KH68" i="22" s="1"/>
  <c r="KP68" i="22" s="1"/>
  <c r="KY68" i="22" s="1"/>
  <c r="LG68" i="22" s="1"/>
  <c r="LO68" i="22" s="1"/>
  <c r="LW68" i="22" s="1"/>
  <c r="MF68" i="22" s="1"/>
  <c r="MN68" i="22" s="1"/>
  <c r="MV68" i="22" s="1"/>
  <c r="NE68" i="22" s="1"/>
  <c r="NM68" i="22" s="1"/>
  <c r="IN68" i="22"/>
  <c r="IW68" i="22" s="1"/>
  <c r="JE68" i="22" s="1"/>
  <c r="JM68" i="22" s="1"/>
  <c r="JX68" i="22" s="1"/>
  <c r="KG68" i="22" s="1"/>
  <c r="KO68" i="22" s="1"/>
  <c r="KX68" i="22" s="1"/>
  <c r="LF68" i="22" s="1"/>
  <c r="LN68" i="22" s="1"/>
  <c r="LV68" i="22" s="1"/>
  <c r="ME68" i="22" s="1"/>
  <c r="MM68" i="22" s="1"/>
  <c r="MU68" i="22" s="1"/>
  <c r="ND68" i="22" s="1"/>
  <c r="NL68" i="22" s="1"/>
  <c r="IM68" i="22"/>
  <c r="IU68" i="22" s="1"/>
  <c r="JD68" i="22" s="1"/>
  <c r="JL68" i="22" s="1"/>
  <c r="JW68" i="22" s="1"/>
  <c r="KF68" i="22" s="1"/>
  <c r="KN68" i="22" s="1"/>
  <c r="KW68" i="22" s="1"/>
  <c r="LE68" i="22" s="1"/>
  <c r="LM68" i="22" s="1"/>
  <c r="LU68" i="22" s="1"/>
  <c r="MC68" i="22" s="1"/>
  <c r="ML68" i="22" s="1"/>
  <c r="MT68" i="22" s="1"/>
  <c r="NC68" i="22" s="1"/>
  <c r="NK68" i="22" s="1"/>
  <c r="IJ68" i="22"/>
  <c r="IR68" i="22" s="1"/>
  <c r="JA68" i="22" s="1"/>
  <c r="JI68" i="22" s="1"/>
  <c r="JR68" i="22" s="1"/>
  <c r="KC68" i="22" s="1"/>
  <c r="KK68" i="22" s="1"/>
  <c r="KS68" i="22" s="1"/>
  <c r="LB68" i="22" s="1"/>
  <c r="LJ68" i="22" s="1"/>
  <c r="LR68" i="22" s="1"/>
  <c r="LZ68" i="22" s="1"/>
  <c r="MI68" i="22" s="1"/>
  <c r="MQ68" i="22" s="1"/>
  <c r="MZ68" i="22" s="1"/>
  <c r="NH68" i="22" s="1"/>
  <c r="II68" i="22"/>
  <c r="IQ68" i="22" s="1"/>
  <c r="IZ68" i="22" s="1"/>
  <c r="JH68" i="22" s="1"/>
  <c r="JQ68" i="22" s="1"/>
  <c r="KA68" i="22" s="1"/>
  <c r="KJ68" i="22" s="1"/>
  <c r="KR68" i="22" s="1"/>
  <c r="LA68" i="22" s="1"/>
  <c r="LI68" i="22" s="1"/>
  <c r="LQ68" i="22" s="1"/>
  <c r="LY68" i="22" s="1"/>
  <c r="MH68" i="22" s="1"/>
  <c r="MP68" i="22" s="1"/>
  <c r="MY68" i="22" s="1"/>
  <c r="NG68" i="22" s="1"/>
  <c r="KA66" i="22"/>
  <c r="KJ66" i="22" s="1"/>
  <c r="KR66" i="22" s="1"/>
  <c r="LA66" i="22" s="1"/>
  <c r="LI66" i="22" s="1"/>
  <c r="LQ66" i="22" s="1"/>
  <c r="LY66" i="22" s="1"/>
  <c r="MH66" i="22" s="1"/>
  <c r="MP66" i="22" s="1"/>
  <c r="MY66" i="22" s="1"/>
  <c r="NG66" i="22" s="1"/>
  <c r="NO66" i="22" s="1"/>
  <c r="NW66" i="22" s="1"/>
  <c r="OG66" i="22" s="1"/>
  <c r="OO66" i="22" s="1"/>
  <c r="JZ66" i="22"/>
  <c r="KI66" i="22" s="1"/>
  <c r="KQ66" i="22" s="1"/>
  <c r="KZ66" i="22" s="1"/>
  <c r="LH66" i="22" s="1"/>
  <c r="LP66" i="22" s="1"/>
  <c r="LX66" i="22" s="1"/>
  <c r="MG66" i="22" s="1"/>
  <c r="MO66" i="22" s="1"/>
  <c r="MW66" i="22" s="1"/>
  <c r="NF66" i="22" s="1"/>
  <c r="NN66" i="22" s="1"/>
  <c r="NV66" i="22" s="1"/>
  <c r="OF66" i="22" s="1"/>
  <c r="ON66" i="22" s="1"/>
  <c r="JY66" i="22"/>
  <c r="KH66" i="22" s="1"/>
  <c r="KP66" i="22" s="1"/>
  <c r="KY66" i="22" s="1"/>
  <c r="LG66" i="22" s="1"/>
  <c r="LO66" i="22" s="1"/>
  <c r="LW66" i="22" s="1"/>
  <c r="MF66" i="22" s="1"/>
  <c r="MN66" i="22" s="1"/>
  <c r="MV66" i="22" s="1"/>
  <c r="NE66" i="22" s="1"/>
  <c r="NM66" i="22" s="1"/>
  <c r="NU66" i="22" s="1"/>
  <c r="OC66" i="22" s="1"/>
  <c r="OM66" i="22" s="1"/>
  <c r="JX66" i="22"/>
  <c r="KG66" i="22" s="1"/>
  <c r="KO66" i="22" s="1"/>
  <c r="KX66" i="22" s="1"/>
  <c r="LF66" i="22" s="1"/>
  <c r="LN66" i="22" s="1"/>
  <c r="LV66" i="22" s="1"/>
  <c r="ME66" i="22" s="1"/>
  <c r="MM66" i="22" s="1"/>
  <c r="MU66" i="22" s="1"/>
  <c r="ND66" i="22" s="1"/>
  <c r="NL66" i="22" s="1"/>
  <c r="NT66" i="22" s="1"/>
  <c r="OB66" i="22" s="1"/>
  <c r="OL66" i="22" s="1"/>
  <c r="JW66" i="22"/>
  <c r="KF66" i="22" s="1"/>
  <c r="KN66" i="22" s="1"/>
  <c r="KW66" i="22" s="1"/>
  <c r="LE66" i="22" s="1"/>
  <c r="LM66" i="22" s="1"/>
  <c r="LU66" i="22" s="1"/>
  <c r="MC66" i="22" s="1"/>
  <c r="ML66" i="22" s="1"/>
  <c r="MT66" i="22" s="1"/>
  <c r="NC66" i="22" s="1"/>
  <c r="NK66" i="22" s="1"/>
  <c r="NS66" i="22" s="1"/>
  <c r="OA66" i="22" s="1"/>
  <c r="OK66" i="22" s="1"/>
  <c r="OT66" i="22" s="1"/>
  <c r="JV66" i="22"/>
  <c r="KE66" i="22" s="1"/>
  <c r="KM66" i="22" s="1"/>
  <c r="KU66" i="22" s="1"/>
  <c r="LD66" i="22" s="1"/>
  <c r="LL66" i="22" s="1"/>
  <c r="LT66" i="22" s="1"/>
  <c r="MB66" i="22" s="1"/>
  <c r="MK66" i="22" s="1"/>
  <c r="MS66" i="22" s="1"/>
  <c r="NB66" i="22" s="1"/>
  <c r="NJ66" i="22" s="1"/>
  <c r="NR66" i="22" s="1"/>
  <c r="NZ66" i="22" s="1"/>
  <c r="OJ66" i="22" s="1"/>
  <c r="OR66" i="22" s="1"/>
  <c r="JS66" i="22"/>
  <c r="KD66" i="22" s="1"/>
  <c r="KL66" i="22" s="1"/>
  <c r="KT66" i="22" s="1"/>
  <c r="LC66" i="22" s="1"/>
  <c r="LK66" i="22" s="1"/>
  <c r="LS66" i="22" s="1"/>
  <c r="MA66" i="22" s="1"/>
  <c r="MJ66" i="22" s="1"/>
  <c r="MR66" i="22" s="1"/>
  <c r="NA66" i="22" s="1"/>
  <c r="NI66" i="22" s="1"/>
  <c r="NQ66" i="22" s="1"/>
  <c r="NY66" i="22" s="1"/>
  <c r="OI66" i="22" s="1"/>
  <c r="OQ66" i="22" s="1"/>
  <c r="JR66" i="22"/>
  <c r="KC66" i="22" s="1"/>
  <c r="KK66" i="22" s="1"/>
  <c r="KS66" i="22" s="1"/>
  <c r="LB66" i="22" s="1"/>
  <c r="LJ66" i="22" s="1"/>
  <c r="LR66" i="22" s="1"/>
  <c r="LZ66" i="22" s="1"/>
  <c r="MI66" i="22" s="1"/>
  <c r="MQ66" i="22" s="1"/>
  <c r="MZ66" i="22" s="1"/>
  <c r="NH66" i="22" s="1"/>
  <c r="NP66" i="22" s="1"/>
  <c r="NX66" i="22" s="1"/>
  <c r="OH66" i="22" s="1"/>
  <c r="OP66" i="22" s="1"/>
  <c r="JN66" i="22"/>
  <c r="JM66" i="22"/>
  <c r="JK64" i="22"/>
  <c r="JV64" i="22" s="1"/>
  <c r="KE64" i="22" s="1"/>
  <c r="KM64" i="22" s="1"/>
  <c r="KU64" i="22" s="1"/>
  <c r="LD64" i="22" s="1"/>
  <c r="LL64" i="22" s="1"/>
  <c r="LT64" i="22" s="1"/>
  <c r="MB64" i="22" s="1"/>
  <c r="MK64" i="22" s="1"/>
  <c r="MS64" i="22" s="1"/>
  <c r="NB64" i="22" s="1"/>
  <c r="NJ64" i="22" s="1"/>
  <c r="NR64" i="22" s="1"/>
  <c r="NZ64" i="22" s="1"/>
  <c r="JJ64" i="22"/>
  <c r="JS64" i="22" s="1"/>
  <c r="KD64" i="22" s="1"/>
  <c r="KL64" i="22" s="1"/>
  <c r="KT64" i="22" s="1"/>
  <c r="LC64" i="22" s="1"/>
  <c r="LK64" i="22" s="1"/>
  <c r="LS64" i="22" s="1"/>
  <c r="MA64" i="22" s="1"/>
  <c r="MJ64" i="22" s="1"/>
  <c r="MR64" i="22" s="1"/>
  <c r="NA64" i="22" s="1"/>
  <c r="NI64" i="22" s="1"/>
  <c r="NQ64" i="22" s="1"/>
  <c r="NY64" i="22" s="1"/>
  <c r="JG64" i="22"/>
  <c r="JO64" i="22" s="1"/>
  <c r="JZ64" i="22" s="1"/>
  <c r="KI64" i="22" s="1"/>
  <c r="KQ64" i="22" s="1"/>
  <c r="KZ64" i="22" s="1"/>
  <c r="LH64" i="22" s="1"/>
  <c r="LP64" i="22" s="1"/>
  <c r="LX64" i="22" s="1"/>
  <c r="MG64" i="22" s="1"/>
  <c r="MO64" i="22" s="1"/>
  <c r="MW64" i="22" s="1"/>
  <c r="NF64" i="22" s="1"/>
  <c r="NN64" i="22" s="1"/>
  <c r="NV64" i="22" s="1"/>
  <c r="OF64" i="22" s="1"/>
  <c r="JF64" i="22"/>
  <c r="JN64" i="22" s="1"/>
  <c r="JY64" i="22" s="1"/>
  <c r="KH64" i="22" s="1"/>
  <c r="KP64" i="22" s="1"/>
  <c r="KY64" i="22" s="1"/>
  <c r="LG64" i="22" s="1"/>
  <c r="LO64" i="22" s="1"/>
  <c r="LW64" i="22" s="1"/>
  <c r="MF64" i="22" s="1"/>
  <c r="MN64" i="22" s="1"/>
  <c r="MV64" i="22" s="1"/>
  <c r="NE64" i="22" s="1"/>
  <c r="NM64" i="22" s="1"/>
  <c r="NU64" i="22" s="1"/>
  <c r="OC64" i="22" s="1"/>
  <c r="JE64" i="22"/>
  <c r="JM64" i="22" s="1"/>
  <c r="JX64" i="22" s="1"/>
  <c r="KG64" i="22" s="1"/>
  <c r="KO64" i="22" s="1"/>
  <c r="KX64" i="22" s="1"/>
  <c r="LF64" i="22" s="1"/>
  <c r="LN64" i="22" s="1"/>
  <c r="LV64" i="22" s="1"/>
  <c r="ME64" i="22" s="1"/>
  <c r="MM64" i="22" s="1"/>
  <c r="MU64" i="22" s="1"/>
  <c r="ND64" i="22" s="1"/>
  <c r="NL64" i="22" s="1"/>
  <c r="NT64" i="22" s="1"/>
  <c r="OB64" i="22" s="1"/>
  <c r="JD64" i="22"/>
  <c r="JL64" i="22" s="1"/>
  <c r="JW64" i="22" s="1"/>
  <c r="KF64" i="22" s="1"/>
  <c r="KN64" i="22" s="1"/>
  <c r="KW64" i="22" s="1"/>
  <c r="LE64" i="22" s="1"/>
  <c r="LM64" i="22" s="1"/>
  <c r="LU64" i="22" s="1"/>
  <c r="MC64" i="22" s="1"/>
  <c r="ML64" i="22" s="1"/>
  <c r="MT64" i="22" s="1"/>
  <c r="NC64" i="22" s="1"/>
  <c r="NK64" i="22" s="1"/>
  <c r="NS64" i="22" s="1"/>
  <c r="OA64" i="22" s="1"/>
  <c r="JA64" i="22"/>
  <c r="JI64" i="22" s="1"/>
  <c r="JR64" i="22" s="1"/>
  <c r="KC64" i="22" s="1"/>
  <c r="KK64" i="22" s="1"/>
  <c r="KS64" i="22" s="1"/>
  <c r="LB64" i="22" s="1"/>
  <c r="LJ64" i="22" s="1"/>
  <c r="LR64" i="22" s="1"/>
  <c r="LZ64" i="22" s="1"/>
  <c r="MI64" i="22" s="1"/>
  <c r="MQ64" i="22" s="1"/>
  <c r="MZ64" i="22" s="1"/>
  <c r="NH64" i="22" s="1"/>
  <c r="NP64" i="22" s="1"/>
  <c r="NX64" i="22" s="1"/>
  <c r="IZ64" i="22"/>
  <c r="JH64" i="22" s="1"/>
  <c r="JQ64" i="22" s="1"/>
  <c r="KA64" i="22" s="1"/>
  <c r="KJ64" i="22" s="1"/>
  <c r="KR64" i="22" s="1"/>
  <c r="LA64" i="22" s="1"/>
  <c r="LI64" i="22" s="1"/>
  <c r="LQ64" i="22" s="1"/>
  <c r="LY64" i="22" s="1"/>
  <c r="MH64" i="22" s="1"/>
  <c r="MP64" i="22" s="1"/>
  <c r="MY64" i="22" s="1"/>
  <c r="NG64" i="22" s="1"/>
  <c r="NO64" i="22" s="1"/>
  <c r="NW64" i="22" s="1"/>
  <c r="JQ63" i="22"/>
  <c r="KA63" i="22" s="1"/>
  <c r="KJ63" i="22" s="1"/>
  <c r="KR63" i="22" s="1"/>
  <c r="LA63" i="22" s="1"/>
  <c r="LI63" i="22" s="1"/>
  <c r="LQ63" i="22" s="1"/>
  <c r="LY63" i="22" s="1"/>
  <c r="MH63" i="22" s="1"/>
  <c r="MP63" i="22" s="1"/>
  <c r="MY63" i="22" s="1"/>
  <c r="NG63" i="22" s="1"/>
  <c r="NO63" i="22" s="1"/>
  <c r="NW63" i="22" s="1"/>
  <c r="OG63" i="22" s="1"/>
  <c r="JO63" i="22"/>
  <c r="JZ63" i="22" s="1"/>
  <c r="KI63" i="22" s="1"/>
  <c r="KQ63" i="22" s="1"/>
  <c r="KZ63" i="22" s="1"/>
  <c r="LH63" i="22" s="1"/>
  <c r="LP63" i="22" s="1"/>
  <c r="LX63" i="22" s="1"/>
  <c r="MG63" i="22" s="1"/>
  <c r="MO63" i="22" s="1"/>
  <c r="MW63" i="22" s="1"/>
  <c r="NF63" i="22" s="1"/>
  <c r="NN63" i="22" s="1"/>
  <c r="NV63" i="22" s="1"/>
  <c r="OF63" i="22" s="1"/>
  <c r="JL63" i="22"/>
  <c r="JW63" i="22" s="1"/>
  <c r="KF63" i="22" s="1"/>
  <c r="KN63" i="22" s="1"/>
  <c r="KW63" i="22" s="1"/>
  <c r="LE63" i="22" s="1"/>
  <c r="LM63" i="22" s="1"/>
  <c r="LU63" i="22" s="1"/>
  <c r="MC63" i="22" s="1"/>
  <c r="ML63" i="22" s="1"/>
  <c r="MT63" i="22" s="1"/>
  <c r="NC63" i="22" s="1"/>
  <c r="NK63" i="22" s="1"/>
  <c r="NS63" i="22" s="1"/>
  <c r="OA63" i="22" s="1"/>
  <c r="OK63" i="22" s="1"/>
  <c r="JK63" i="22"/>
  <c r="JV63" i="22" s="1"/>
  <c r="KE63" i="22" s="1"/>
  <c r="KM63" i="22" s="1"/>
  <c r="KU63" i="22" s="1"/>
  <c r="LD63" i="22" s="1"/>
  <c r="LL63" i="22" s="1"/>
  <c r="LT63" i="22" s="1"/>
  <c r="MB63" i="22" s="1"/>
  <c r="MK63" i="22" s="1"/>
  <c r="MS63" i="22" s="1"/>
  <c r="NB63" i="22" s="1"/>
  <c r="NJ63" i="22" s="1"/>
  <c r="NR63" i="22" s="1"/>
  <c r="NZ63" i="22" s="1"/>
  <c r="OJ63" i="22" s="1"/>
  <c r="JJ63" i="22"/>
  <c r="JS63" i="22" s="1"/>
  <c r="KD63" i="22" s="1"/>
  <c r="KL63" i="22" s="1"/>
  <c r="KT63" i="22" s="1"/>
  <c r="LC63" i="22" s="1"/>
  <c r="LK63" i="22" s="1"/>
  <c r="LS63" i="22" s="1"/>
  <c r="MA63" i="22" s="1"/>
  <c r="MJ63" i="22" s="1"/>
  <c r="MR63" i="22" s="1"/>
  <c r="NA63" i="22" s="1"/>
  <c r="NI63" i="22" s="1"/>
  <c r="NQ63" i="22" s="1"/>
  <c r="NY63" i="22" s="1"/>
  <c r="OI63" i="22" s="1"/>
  <c r="JI63" i="22"/>
  <c r="JR63" i="22" s="1"/>
  <c r="KC63" i="22" s="1"/>
  <c r="KK63" i="22" s="1"/>
  <c r="KS63" i="22" s="1"/>
  <c r="LB63" i="22" s="1"/>
  <c r="LJ63" i="22" s="1"/>
  <c r="LR63" i="22" s="1"/>
  <c r="LZ63" i="22" s="1"/>
  <c r="MI63" i="22" s="1"/>
  <c r="MQ63" i="22" s="1"/>
  <c r="MZ63" i="22" s="1"/>
  <c r="NH63" i="22" s="1"/>
  <c r="NP63" i="22" s="1"/>
  <c r="NX63" i="22" s="1"/>
  <c r="OH63" i="22" s="1"/>
  <c r="JF63" i="22"/>
  <c r="JN63" i="22" s="1"/>
  <c r="JY63" i="22" s="1"/>
  <c r="KH63" i="22" s="1"/>
  <c r="KP63" i="22" s="1"/>
  <c r="KY63" i="22" s="1"/>
  <c r="LG63" i="22" s="1"/>
  <c r="LO63" i="22" s="1"/>
  <c r="LW63" i="22" s="1"/>
  <c r="MF63" i="22" s="1"/>
  <c r="MN63" i="22" s="1"/>
  <c r="MV63" i="22" s="1"/>
  <c r="NE63" i="22" s="1"/>
  <c r="NM63" i="22" s="1"/>
  <c r="NU63" i="22" s="1"/>
  <c r="OC63" i="22" s="1"/>
  <c r="JE63" i="22"/>
  <c r="JM63" i="22" s="1"/>
  <c r="JX63" i="22" s="1"/>
  <c r="KG63" i="22" s="1"/>
  <c r="KO63" i="22" s="1"/>
  <c r="KX63" i="22" s="1"/>
  <c r="LF63" i="22" s="1"/>
  <c r="LN63" i="22" s="1"/>
  <c r="LV63" i="22" s="1"/>
  <c r="ME63" i="22" s="1"/>
  <c r="MM63" i="22" s="1"/>
  <c r="MU63" i="22" s="1"/>
  <c r="ND63" i="22" s="1"/>
  <c r="NL63" i="22" s="1"/>
  <c r="NT63" i="22" s="1"/>
  <c r="OB63" i="22" s="1"/>
  <c r="HW61" i="22"/>
  <c r="IE61" i="22" s="1"/>
  <c r="IM61" i="22" s="1"/>
  <c r="IU61" i="22" s="1"/>
  <c r="JD61" i="22" s="1"/>
  <c r="JL61" i="22" s="1"/>
  <c r="JW61" i="22" s="1"/>
  <c r="KF61" i="22" s="1"/>
  <c r="KN61" i="22" s="1"/>
  <c r="KW61" i="22" s="1"/>
  <c r="LE61" i="22" s="1"/>
  <c r="LM61" i="22" s="1"/>
  <c r="LU61" i="22" s="1"/>
  <c r="MC61" i="22" s="1"/>
  <c r="ML61" i="22" s="1"/>
  <c r="HV61" i="22"/>
  <c r="ID61" i="22" s="1"/>
  <c r="IL61" i="22" s="1"/>
  <c r="IT61" i="22" s="1"/>
  <c r="JC61" i="22" s="1"/>
  <c r="JK61" i="22" s="1"/>
  <c r="JV61" i="22" s="1"/>
  <c r="KE61" i="22" s="1"/>
  <c r="KM61" i="22" s="1"/>
  <c r="KU61" i="22" s="1"/>
  <c r="LD61" i="22" s="1"/>
  <c r="LL61" i="22" s="1"/>
  <c r="LT61" i="22" s="1"/>
  <c r="MB61" i="22" s="1"/>
  <c r="MK61" i="22" s="1"/>
  <c r="HU61" i="22"/>
  <c r="IC61" i="22" s="1"/>
  <c r="IK61" i="22" s="1"/>
  <c r="IS61" i="22" s="1"/>
  <c r="JB61" i="22" s="1"/>
  <c r="JJ61" i="22" s="1"/>
  <c r="JS61" i="22" s="1"/>
  <c r="KD61" i="22" s="1"/>
  <c r="KL61" i="22" s="1"/>
  <c r="KT61" i="22" s="1"/>
  <c r="LC61" i="22" s="1"/>
  <c r="LK61" i="22" s="1"/>
  <c r="LS61" i="22" s="1"/>
  <c r="MA61" i="22" s="1"/>
  <c r="MJ61" i="22" s="1"/>
  <c r="HR61" i="22"/>
  <c r="HZ61" i="22" s="1"/>
  <c r="IH61" i="22" s="1"/>
  <c r="IP61" i="22" s="1"/>
  <c r="IY61" i="22" s="1"/>
  <c r="JG61" i="22" s="1"/>
  <c r="JO61" i="22" s="1"/>
  <c r="JZ61" i="22" s="1"/>
  <c r="KI61" i="22" s="1"/>
  <c r="KQ61" i="22" s="1"/>
  <c r="KZ61" i="22" s="1"/>
  <c r="LH61" i="22" s="1"/>
  <c r="LP61" i="22" s="1"/>
  <c r="LX61" i="22" s="1"/>
  <c r="MG61" i="22" s="1"/>
  <c r="MO61" i="22" s="1"/>
  <c r="HQ61" i="22"/>
  <c r="HY61" i="22" s="1"/>
  <c r="IG61" i="22" s="1"/>
  <c r="IO61" i="22" s="1"/>
  <c r="IX61" i="22" s="1"/>
  <c r="JF61" i="22" s="1"/>
  <c r="JN61" i="22" s="1"/>
  <c r="JY61" i="22" s="1"/>
  <c r="KH61" i="22" s="1"/>
  <c r="KP61" i="22" s="1"/>
  <c r="KY61" i="22" s="1"/>
  <c r="LG61" i="22" s="1"/>
  <c r="LO61" i="22" s="1"/>
  <c r="LW61" i="22" s="1"/>
  <c r="MF61" i="22" s="1"/>
  <c r="MN61" i="22" s="1"/>
  <c r="HP61" i="22"/>
  <c r="HX61" i="22" s="1"/>
  <c r="IF61" i="22" s="1"/>
  <c r="IN61" i="22" s="1"/>
  <c r="IW61" i="22" s="1"/>
  <c r="JE61" i="22" s="1"/>
  <c r="JM61" i="22" s="1"/>
  <c r="JX61" i="22" s="1"/>
  <c r="KG61" i="22" s="1"/>
  <c r="KO61" i="22" s="1"/>
  <c r="KX61" i="22" s="1"/>
  <c r="LF61" i="22" s="1"/>
  <c r="LN61" i="22" s="1"/>
  <c r="LV61" i="22" s="1"/>
  <c r="ME61" i="22" s="1"/>
  <c r="MM61" i="22" s="1"/>
  <c r="HO61" i="22"/>
  <c r="HL61" i="22"/>
  <c r="HT61" i="22" s="1"/>
  <c r="IB61" i="22" s="1"/>
  <c r="IJ61" i="22" s="1"/>
  <c r="IR61" i="22" s="1"/>
  <c r="JA61" i="22" s="1"/>
  <c r="JI61" i="22" s="1"/>
  <c r="JR61" i="22" s="1"/>
  <c r="KC61" i="22" s="1"/>
  <c r="KK61" i="22" s="1"/>
  <c r="KS61" i="22" s="1"/>
  <c r="LB61" i="22" s="1"/>
  <c r="LJ61" i="22" s="1"/>
  <c r="LR61" i="22" s="1"/>
  <c r="LZ61" i="22" s="1"/>
  <c r="MI61" i="22" s="1"/>
  <c r="HK61" i="22"/>
  <c r="HS61" i="22" s="1"/>
  <c r="IA61" i="22" s="1"/>
  <c r="II61" i="22" s="1"/>
  <c r="IQ61" i="22" s="1"/>
  <c r="IZ61" i="22" s="1"/>
  <c r="JH61" i="22" s="1"/>
  <c r="JQ61" i="22" s="1"/>
  <c r="KA61" i="22" s="1"/>
  <c r="KJ61" i="22" s="1"/>
  <c r="KR61" i="22" s="1"/>
  <c r="LA61" i="22" s="1"/>
  <c r="LI61" i="22" s="1"/>
  <c r="LQ61" i="22" s="1"/>
  <c r="LY61" i="22" s="1"/>
  <c r="MH61" i="22" s="1"/>
  <c r="JI60" i="22"/>
  <c r="JR60" i="22" s="1"/>
  <c r="KC60" i="22" s="1"/>
  <c r="KK60" i="22" s="1"/>
  <c r="KS60" i="22" s="1"/>
  <c r="LB60" i="22" s="1"/>
  <c r="LJ60" i="22" s="1"/>
  <c r="LR60" i="22" s="1"/>
  <c r="LZ60" i="22" s="1"/>
  <c r="IL60" i="22"/>
  <c r="IT60" i="22" s="1"/>
  <c r="JC60" i="22" s="1"/>
  <c r="JK60" i="22" s="1"/>
  <c r="JV60" i="22" s="1"/>
  <c r="KE60" i="22" s="1"/>
  <c r="KM60" i="22" s="1"/>
  <c r="KU60" i="22" s="1"/>
  <c r="LD60" i="22" s="1"/>
  <c r="LL60" i="22" s="1"/>
  <c r="LT60" i="22" s="1"/>
  <c r="MB60" i="22" s="1"/>
  <c r="HU60" i="22"/>
  <c r="IC60" i="22" s="1"/>
  <c r="IK60" i="22" s="1"/>
  <c r="IS60" i="22" s="1"/>
  <c r="JB60" i="22" s="1"/>
  <c r="JJ60" i="22" s="1"/>
  <c r="JS60" i="22" s="1"/>
  <c r="KD60" i="22" s="1"/>
  <c r="KL60" i="22" s="1"/>
  <c r="KT60" i="22" s="1"/>
  <c r="LC60" i="22" s="1"/>
  <c r="LK60" i="22" s="1"/>
  <c r="LS60" i="22" s="1"/>
  <c r="MA60" i="22" s="1"/>
  <c r="HR60" i="22"/>
  <c r="HZ60" i="22" s="1"/>
  <c r="IH60" i="22" s="1"/>
  <c r="IP60" i="22" s="1"/>
  <c r="IY60" i="22" s="1"/>
  <c r="JG60" i="22" s="1"/>
  <c r="JO60" i="22" s="1"/>
  <c r="JZ60" i="22" s="1"/>
  <c r="KI60" i="22" s="1"/>
  <c r="KQ60" i="22" s="1"/>
  <c r="KZ60" i="22" s="1"/>
  <c r="LH60" i="22" s="1"/>
  <c r="LP60" i="22" s="1"/>
  <c r="LX60" i="22" s="1"/>
  <c r="MG60" i="22" s="1"/>
  <c r="HQ60" i="22"/>
  <c r="HY60" i="22" s="1"/>
  <c r="IG60" i="22" s="1"/>
  <c r="IO60" i="22" s="1"/>
  <c r="IX60" i="22" s="1"/>
  <c r="JF60" i="22" s="1"/>
  <c r="JN60" i="22" s="1"/>
  <c r="JY60" i="22" s="1"/>
  <c r="KH60" i="22" s="1"/>
  <c r="KP60" i="22" s="1"/>
  <c r="KY60" i="22" s="1"/>
  <c r="LG60" i="22" s="1"/>
  <c r="LO60" i="22" s="1"/>
  <c r="LW60" i="22" s="1"/>
  <c r="MF60" i="22" s="1"/>
  <c r="HP60" i="22"/>
  <c r="HX60" i="22" s="1"/>
  <c r="IF60" i="22" s="1"/>
  <c r="IN60" i="22" s="1"/>
  <c r="IW60" i="22" s="1"/>
  <c r="JE60" i="22" s="1"/>
  <c r="JM60" i="22" s="1"/>
  <c r="JX60" i="22" s="1"/>
  <c r="KG60" i="22" s="1"/>
  <c r="KO60" i="22" s="1"/>
  <c r="KX60" i="22" s="1"/>
  <c r="LF60" i="22" s="1"/>
  <c r="LN60" i="22" s="1"/>
  <c r="LV60" i="22" s="1"/>
  <c r="ME60" i="22" s="1"/>
  <c r="HN60" i="22"/>
  <c r="HV60" i="22" s="1"/>
  <c r="ID60" i="22" s="1"/>
  <c r="HM60" i="22"/>
  <c r="HJ60" i="22"/>
  <c r="HI60" i="22"/>
  <c r="HH60" i="22"/>
  <c r="HG60" i="22"/>
  <c r="HO60" i="22" s="1"/>
  <c r="HW60" i="22" s="1"/>
  <c r="IE60" i="22" s="1"/>
  <c r="IM60" i="22" s="1"/>
  <c r="IU60" i="22" s="1"/>
  <c r="JD60" i="22" s="1"/>
  <c r="JL60" i="22" s="1"/>
  <c r="JW60" i="22" s="1"/>
  <c r="KF60" i="22" s="1"/>
  <c r="KN60" i="22" s="1"/>
  <c r="KW60" i="22" s="1"/>
  <c r="LE60" i="22" s="1"/>
  <c r="LM60" i="22" s="1"/>
  <c r="LU60" i="22" s="1"/>
  <c r="MC60" i="22" s="1"/>
  <c r="HD60" i="22"/>
  <c r="HL60" i="22" s="1"/>
  <c r="HT60" i="22" s="1"/>
  <c r="IB60" i="22" s="1"/>
  <c r="IJ60" i="22" s="1"/>
  <c r="IR60" i="22" s="1"/>
  <c r="JA60" i="22" s="1"/>
  <c r="HC60" i="22"/>
  <c r="HK60" i="22" s="1"/>
  <c r="HS60" i="22" s="1"/>
  <c r="IA60" i="22" s="1"/>
  <c r="II60" i="22" s="1"/>
  <c r="IQ60" i="22" s="1"/>
  <c r="IZ60" i="22" s="1"/>
  <c r="JH60" i="22" s="1"/>
  <c r="JQ60" i="22" s="1"/>
  <c r="KA60" i="22" s="1"/>
  <c r="KJ60" i="22" s="1"/>
  <c r="KR60" i="22" s="1"/>
  <c r="LA60" i="22" s="1"/>
  <c r="LI60" i="22" s="1"/>
  <c r="LQ60" i="22" s="1"/>
  <c r="LY60" i="22" s="1"/>
  <c r="HN59" i="22"/>
  <c r="HV59" i="22" s="1"/>
  <c r="ID59" i="22" s="1"/>
  <c r="IL59" i="22" s="1"/>
  <c r="IT59" i="22" s="1"/>
  <c r="JC59" i="22" s="1"/>
  <c r="JK59" i="22" s="1"/>
  <c r="JV59" i="22" s="1"/>
  <c r="KE59" i="22" s="1"/>
  <c r="KM59" i="22" s="1"/>
  <c r="KU59" i="22" s="1"/>
  <c r="LD59" i="22" s="1"/>
  <c r="LL59" i="22" s="1"/>
  <c r="LT59" i="22" s="1"/>
  <c r="HF59" i="22"/>
  <c r="HE59" i="22"/>
  <c r="HM59" i="22" s="1"/>
  <c r="HU59" i="22" s="1"/>
  <c r="IC59" i="22" s="1"/>
  <c r="IK59" i="22" s="1"/>
  <c r="IS59" i="22" s="1"/>
  <c r="JB59" i="22" s="1"/>
  <c r="JJ59" i="22" s="1"/>
  <c r="JS59" i="22" s="1"/>
  <c r="KD59" i="22" s="1"/>
  <c r="KL59" i="22" s="1"/>
  <c r="KT59" i="22" s="1"/>
  <c r="LC59" i="22" s="1"/>
  <c r="LK59" i="22" s="1"/>
  <c r="LS59" i="22" s="1"/>
  <c r="HB59" i="22"/>
  <c r="HJ59" i="22" s="1"/>
  <c r="HR59" i="22" s="1"/>
  <c r="HZ59" i="22" s="1"/>
  <c r="IH59" i="22" s="1"/>
  <c r="IP59" i="22" s="1"/>
  <c r="IY59" i="22" s="1"/>
  <c r="JG59" i="22" s="1"/>
  <c r="JO59" i="22" s="1"/>
  <c r="JZ59" i="22" s="1"/>
  <c r="KI59" i="22" s="1"/>
  <c r="KQ59" i="22" s="1"/>
  <c r="KZ59" i="22" s="1"/>
  <c r="LH59" i="22" s="1"/>
  <c r="LP59" i="22" s="1"/>
  <c r="LX59" i="22" s="1"/>
  <c r="HA59" i="22"/>
  <c r="HI59" i="22" s="1"/>
  <c r="HQ59" i="22" s="1"/>
  <c r="HY59" i="22" s="1"/>
  <c r="IG59" i="22" s="1"/>
  <c r="IO59" i="22" s="1"/>
  <c r="IX59" i="22" s="1"/>
  <c r="JF59" i="22" s="1"/>
  <c r="JN59" i="22" s="1"/>
  <c r="JY59" i="22" s="1"/>
  <c r="KH59" i="22" s="1"/>
  <c r="KP59" i="22" s="1"/>
  <c r="KY59" i="22" s="1"/>
  <c r="LG59" i="22" s="1"/>
  <c r="LO59" i="22" s="1"/>
  <c r="LW59" i="22" s="1"/>
  <c r="GZ59" i="22"/>
  <c r="HH59" i="22" s="1"/>
  <c r="HP59" i="22" s="1"/>
  <c r="HX59" i="22" s="1"/>
  <c r="IF59" i="22" s="1"/>
  <c r="IN59" i="22" s="1"/>
  <c r="IW59" i="22" s="1"/>
  <c r="JE59" i="22" s="1"/>
  <c r="JM59" i="22" s="1"/>
  <c r="JX59" i="22" s="1"/>
  <c r="KG59" i="22" s="1"/>
  <c r="KO59" i="22" s="1"/>
  <c r="KX59" i="22" s="1"/>
  <c r="LF59" i="22" s="1"/>
  <c r="LN59" i="22" s="1"/>
  <c r="LV59" i="22" s="1"/>
  <c r="GY59" i="22"/>
  <c r="HG59" i="22" s="1"/>
  <c r="HO59" i="22" s="1"/>
  <c r="HW59" i="22" s="1"/>
  <c r="IE59" i="22" s="1"/>
  <c r="IM59" i="22" s="1"/>
  <c r="IU59" i="22" s="1"/>
  <c r="JD59" i="22" s="1"/>
  <c r="JL59" i="22" s="1"/>
  <c r="JW59" i="22" s="1"/>
  <c r="KF59" i="22" s="1"/>
  <c r="KN59" i="22" s="1"/>
  <c r="KW59" i="22" s="1"/>
  <c r="LE59" i="22" s="1"/>
  <c r="LM59" i="22" s="1"/>
  <c r="LU59" i="22" s="1"/>
  <c r="GU59" i="22"/>
  <c r="HD59" i="22" s="1"/>
  <c r="HL59" i="22" s="1"/>
  <c r="HT59" i="22" s="1"/>
  <c r="IB59" i="22" s="1"/>
  <c r="IJ59" i="22" s="1"/>
  <c r="IR59" i="22" s="1"/>
  <c r="JA59" i="22" s="1"/>
  <c r="JI59" i="22" s="1"/>
  <c r="JR59" i="22" s="1"/>
  <c r="KC59" i="22" s="1"/>
  <c r="KK59" i="22" s="1"/>
  <c r="KS59" i="22" s="1"/>
  <c r="LB59" i="22" s="1"/>
  <c r="LJ59" i="22" s="1"/>
  <c r="LR59" i="22" s="1"/>
  <c r="GT59" i="22"/>
  <c r="HC59" i="22" s="1"/>
  <c r="HK59" i="22" s="1"/>
  <c r="HS59" i="22" s="1"/>
  <c r="IA59" i="22" s="1"/>
  <c r="II59" i="22" s="1"/>
  <c r="IQ59" i="22" s="1"/>
  <c r="IZ59" i="22" s="1"/>
  <c r="JH59" i="22" s="1"/>
  <c r="JQ59" i="22" s="1"/>
  <c r="KA59" i="22" s="1"/>
  <c r="KJ59" i="22" s="1"/>
  <c r="KR59" i="22" s="1"/>
  <c r="LA59" i="22" s="1"/>
  <c r="LI59" i="22" s="1"/>
  <c r="LQ59" i="22" s="1"/>
  <c r="GM58" i="22"/>
  <c r="GS58" i="22" s="1"/>
  <c r="GZ58" i="22" s="1"/>
  <c r="HF58" i="22" s="1"/>
  <c r="HL58" i="22" s="1"/>
  <c r="HR58" i="22" s="1"/>
  <c r="HX58" i="22" s="1"/>
  <c r="ID58" i="22" s="1"/>
  <c r="IJ58" i="22" s="1"/>
  <c r="IP58" i="22" s="1"/>
  <c r="IW58" i="22" s="1"/>
  <c r="JC58" i="22" s="1"/>
  <c r="JI58" i="22" s="1"/>
  <c r="JO58" i="22" s="1"/>
  <c r="JX58" i="22" s="1"/>
  <c r="GL58" i="22"/>
  <c r="GR58" i="22" s="1"/>
  <c r="GY58" i="22" s="1"/>
  <c r="HE58" i="22" s="1"/>
  <c r="HK58" i="22" s="1"/>
  <c r="HQ58" i="22" s="1"/>
  <c r="HW58" i="22" s="1"/>
  <c r="IC58" i="22" s="1"/>
  <c r="II58" i="22" s="1"/>
  <c r="IO58" i="22" s="1"/>
  <c r="IU58" i="22" s="1"/>
  <c r="JB58" i="22" s="1"/>
  <c r="JH58" i="22" s="1"/>
  <c r="JN58" i="22" s="1"/>
  <c r="JW58" i="22" s="1"/>
  <c r="GK58" i="22"/>
  <c r="GQ58" i="22" s="1"/>
  <c r="GX58" i="22" s="1"/>
  <c r="HD58" i="22" s="1"/>
  <c r="HJ58" i="22" s="1"/>
  <c r="HP58" i="22" s="1"/>
  <c r="HV58" i="22" s="1"/>
  <c r="IB58" i="22" s="1"/>
  <c r="IH58" i="22" s="1"/>
  <c r="IN58" i="22" s="1"/>
  <c r="IT58" i="22" s="1"/>
  <c r="JA58" i="22" s="1"/>
  <c r="JG58" i="22" s="1"/>
  <c r="JM58" i="22" s="1"/>
  <c r="JV58" i="22" s="1"/>
  <c r="GJ58" i="22"/>
  <c r="GP58" i="22" s="1"/>
  <c r="GV58" i="22" s="1"/>
  <c r="HC58" i="22" s="1"/>
  <c r="HI58" i="22" s="1"/>
  <c r="HO58" i="22" s="1"/>
  <c r="HU58" i="22" s="1"/>
  <c r="IA58" i="22" s="1"/>
  <c r="IG58" i="22" s="1"/>
  <c r="IM58" i="22" s="1"/>
  <c r="IS58" i="22" s="1"/>
  <c r="IZ58" i="22" s="1"/>
  <c r="JF58" i="22" s="1"/>
  <c r="JL58" i="22" s="1"/>
  <c r="JS58" i="22" s="1"/>
  <c r="KA58" i="22" s="1"/>
  <c r="GI58" i="22"/>
  <c r="GO58" i="22" s="1"/>
  <c r="GU58" i="22" s="1"/>
  <c r="HB58" i="22" s="1"/>
  <c r="HH58" i="22" s="1"/>
  <c r="HN58" i="22" s="1"/>
  <c r="HT58" i="22" s="1"/>
  <c r="HZ58" i="22" s="1"/>
  <c r="IF58" i="22" s="1"/>
  <c r="IL58" i="22" s="1"/>
  <c r="IR58" i="22" s="1"/>
  <c r="IY58" i="22" s="1"/>
  <c r="JE58" i="22" s="1"/>
  <c r="JK58" i="22" s="1"/>
  <c r="JR58" i="22" s="1"/>
  <c r="JZ58" i="22" s="1"/>
  <c r="GH58" i="22"/>
  <c r="GN58" i="22" s="1"/>
  <c r="GT58" i="22" s="1"/>
  <c r="HA58" i="22" s="1"/>
  <c r="HG58" i="22" s="1"/>
  <c r="HM58" i="22" s="1"/>
  <c r="HS58" i="22" s="1"/>
  <c r="HY58" i="22" s="1"/>
  <c r="IE58" i="22" s="1"/>
  <c r="IK58" i="22" s="1"/>
  <c r="IQ58" i="22" s="1"/>
  <c r="IX58" i="22" s="1"/>
  <c r="JD58" i="22" s="1"/>
  <c r="JJ58" i="22" s="1"/>
  <c r="JQ58" i="22" s="1"/>
  <c r="JY58" i="22" s="1"/>
  <c r="GA57" i="22"/>
  <c r="GG57" i="22" s="1"/>
  <c r="GM57" i="22" s="1"/>
  <c r="GS57" i="22" s="1"/>
  <c r="GZ57" i="22" s="1"/>
  <c r="HF57" i="22" s="1"/>
  <c r="HL57" i="22" s="1"/>
  <c r="HR57" i="22" s="1"/>
  <c r="HX57" i="22" s="1"/>
  <c r="ID57" i="22" s="1"/>
  <c r="IJ57" i="22" s="1"/>
  <c r="IP57" i="22" s="1"/>
  <c r="IW57" i="22" s="1"/>
  <c r="JC57" i="22" s="1"/>
  <c r="JI57" i="22" s="1"/>
  <c r="FZ57" i="22"/>
  <c r="GF57" i="22" s="1"/>
  <c r="GL57" i="22" s="1"/>
  <c r="GR57" i="22" s="1"/>
  <c r="GY57" i="22" s="1"/>
  <c r="HE57" i="22" s="1"/>
  <c r="HK57" i="22" s="1"/>
  <c r="HQ57" i="22" s="1"/>
  <c r="HW57" i="22" s="1"/>
  <c r="IC57" i="22" s="1"/>
  <c r="II57" i="22" s="1"/>
  <c r="IO57" i="22" s="1"/>
  <c r="IU57" i="22" s="1"/>
  <c r="JB57" i="22" s="1"/>
  <c r="JH57" i="22" s="1"/>
  <c r="FY57" i="22"/>
  <c r="GE57" i="22" s="1"/>
  <c r="GK57" i="22" s="1"/>
  <c r="GQ57" i="22" s="1"/>
  <c r="GX57" i="22" s="1"/>
  <c r="HD57" i="22" s="1"/>
  <c r="HJ57" i="22" s="1"/>
  <c r="HP57" i="22" s="1"/>
  <c r="HV57" i="22" s="1"/>
  <c r="IB57" i="22" s="1"/>
  <c r="IH57" i="22" s="1"/>
  <c r="IN57" i="22" s="1"/>
  <c r="IT57" i="22" s="1"/>
  <c r="JA57" i="22" s="1"/>
  <c r="JG57" i="22" s="1"/>
  <c r="FX57" i="22"/>
  <c r="GD57" i="22" s="1"/>
  <c r="GJ57" i="22" s="1"/>
  <c r="GP57" i="22" s="1"/>
  <c r="GV57" i="22" s="1"/>
  <c r="HC57" i="22" s="1"/>
  <c r="HI57" i="22" s="1"/>
  <c r="HO57" i="22" s="1"/>
  <c r="HU57" i="22" s="1"/>
  <c r="IA57" i="22" s="1"/>
  <c r="IG57" i="22" s="1"/>
  <c r="IM57" i="22" s="1"/>
  <c r="IS57" i="22" s="1"/>
  <c r="IZ57" i="22" s="1"/>
  <c r="JF57" i="22" s="1"/>
  <c r="JL57" i="22" s="1"/>
  <c r="FW57" i="22"/>
  <c r="GC57" i="22" s="1"/>
  <c r="GI57" i="22" s="1"/>
  <c r="GO57" i="22" s="1"/>
  <c r="GU57" i="22" s="1"/>
  <c r="HB57" i="22" s="1"/>
  <c r="HH57" i="22" s="1"/>
  <c r="HN57" i="22" s="1"/>
  <c r="HT57" i="22" s="1"/>
  <c r="HZ57" i="22" s="1"/>
  <c r="IF57" i="22" s="1"/>
  <c r="IL57" i="22" s="1"/>
  <c r="IR57" i="22" s="1"/>
  <c r="IY57" i="22" s="1"/>
  <c r="JE57" i="22" s="1"/>
  <c r="JK57" i="22" s="1"/>
  <c r="FV57" i="22"/>
  <c r="GB57" i="22" s="1"/>
  <c r="GH57" i="22" s="1"/>
  <c r="GN57" i="22" s="1"/>
  <c r="GT57" i="22" s="1"/>
  <c r="HA57" i="22" s="1"/>
  <c r="HG57" i="22" s="1"/>
  <c r="HM57" i="22" s="1"/>
  <c r="HS57" i="22" s="1"/>
  <c r="HY57" i="22" s="1"/>
  <c r="IE57" i="22" s="1"/>
  <c r="IK57" i="22" s="1"/>
  <c r="IQ57" i="22" s="1"/>
  <c r="IX57" i="22" s="1"/>
  <c r="JD57" i="22" s="1"/>
  <c r="EF54" i="22"/>
  <c r="EL54" i="22" s="1"/>
  <c r="ER54" i="22" s="1"/>
  <c r="EX54" i="22" s="1"/>
  <c r="FD54" i="22" s="1"/>
  <c r="FJ54" i="22" s="1"/>
  <c r="FP54" i="22" s="1"/>
  <c r="FX54" i="22" s="1"/>
  <c r="GD54" i="22" s="1"/>
  <c r="GJ54" i="22" s="1"/>
  <c r="GP54" i="22" s="1"/>
  <c r="GV54" i="22" s="1"/>
  <c r="HC54" i="22" s="1"/>
  <c r="HI54" i="22" s="1"/>
  <c r="HO54" i="22" s="1"/>
  <c r="EE54" i="22"/>
  <c r="EK54" i="22" s="1"/>
  <c r="EQ54" i="22" s="1"/>
  <c r="EW54" i="22" s="1"/>
  <c r="FC54" i="22" s="1"/>
  <c r="FI54" i="22" s="1"/>
  <c r="FO54" i="22" s="1"/>
  <c r="FW54" i="22" s="1"/>
  <c r="GC54" i="22" s="1"/>
  <c r="GI54" i="22" s="1"/>
  <c r="GO54" i="22" s="1"/>
  <c r="GU54" i="22" s="1"/>
  <c r="HB54" i="22" s="1"/>
  <c r="HH54" i="22" s="1"/>
  <c r="HN54" i="22" s="1"/>
  <c r="ED54" i="22"/>
  <c r="EJ54" i="22" s="1"/>
  <c r="EP54" i="22" s="1"/>
  <c r="EV54" i="22" s="1"/>
  <c r="FB54" i="22" s="1"/>
  <c r="FH54" i="22" s="1"/>
  <c r="FN54" i="22" s="1"/>
  <c r="FV54" i="22" s="1"/>
  <c r="GB54" i="22" s="1"/>
  <c r="GH54" i="22" s="1"/>
  <c r="GN54" i="22" s="1"/>
  <c r="GT54" i="22" s="1"/>
  <c r="HA54" i="22" s="1"/>
  <c r="HG54" i="22" s="1"/>
  <c r="HM54" i="22" s="1"/>
  <c r="EC54" i="22"/>
  <c r="EI54" i="22" s="1"/>
  <c r="EO54" i="22" s="1"/>
  <c r="EU54" i="22" s="1"/>
  <c r="FA54" i="22" s="1"/>
  <c r="FG54" i="22" s="1"/>
  <c r="FM54" i="22" s="1"/>
  <c r="FU54" i="22" s="1"/>
  <c r="GA54" i="22" s="1"/>
  <c r="GG54" i="22" s="1"/>
  <c r="GM54" i="22" s="1"/>
  <c r="GS54" i="22" s="1"/>
  <c r="GZ54" i="22" s="1"/>
  <c r="HF54" i="22" s="1"/>
  <c r="HL54" i="22" s="1"/>
  <c r="HR54" i="22" s="1"/>
  <c r="EB54" i="22"/>
  <c r="EH54" i="22" s="1"/>
  <c r="EN54" i="22" s="1"/>
  <c r="ET54" i="22" s="1"/>
  <c r="EZ54" i="22" s="1"/>
  <c r="FF54" i="22" s="1"/>
  <c r="FL54" i="22" s="1"/>
  <c r="FT54" i="22" s="1"/>
  <c r="FZ54" i="22" s="1"/>
  <c r="GF54" i="22" s="1"/>
  <c r="GL54" i="22" s="1"/>
  <c r="GR54" i="22" s="1"/>
  <c r="GY54" i="22" s="1"/>
  <c r="HE54" i="22" s="1"/>
  <c r="HK54" i="22" s="1"/>
  <c r="HQ54" i="22" s="1"/>
  <c r="EA54" i="22"/>
  <c r="EG54" i="22" s="1"/>
  <c r="EM54" i="22" s="1"/>
  <c r="ES54" i="22" s="1"/>
  <c r="EY54" i="22" s="1"/>
  <c r="FE54" i="22" s="1"/>
  <c r="FK54" i="22" s="1"/>
  <c r="FS54" i="22" s="1"/>
  <c r="FY54" i="22" s="1"/>
  <c r="GE54" i="22" s="1"/>
  <c r="GK54" i="22" s="1"/>
  <c r="GQ54" i="22" s="1"/>
  <c r="GX54" i="22" s="1"/>
  <c r="HD54" i="22" s="1"/>
  <c r="HJ54" i="22" s="1"/>
  <c r="HP54" i="22" s="1"/>
  <c r="EB53" i="22"/>
  <c r="EH53" i="22" s="1"/>
  <c r="EN53" i="22" s="1"/>
  <c r="ET53" i="22" s="1"/>
  <c r="EZ53" i="22" s="1"/>
  <c r="FF53" i="22" s="1"/>
  <c r="FL53" i="22" s="1"/>
  <c r="FT53" i="22" s="1"/>
  <c r="FZ53" i="22" s="1"/>
  <c r="GF53" i="22" s="1"/>
  <c r="GL53" i="22" s="1"/>
  <c r="GR53" i="22" s="1"/>
  <c r="GY53" i="22" s="1"/>
  <c r="HE53" i="22" s="1"/>
  <c r="HK53" i="22" s="1"/>
  <c r="EA53" i="22"/>
  <c r="EG53" i="22" s="1"/>
  <c r="EM53" i="22" s="1"/>
  <c r="ES53" i="22" s="1"/>
  <c r="EY53" i="22" s="1"/>
  <c r="FE53" i="22" s="1"/>
  <c r="FK53" i="22" s="1"/>
  <c r="FS53" i="22" s="1"/>
  <c r="FY53" i="22" s="1"/>
  <c r="GE53" i="22" s="1"/>
  <c r="GK53" i="22" s="1"/>
  <c r="GQ53" i="22" s="1"/>
  <c r="GX53" i="22" s="1"/>
  <c r="HD53" i="22" s="1"/>
  <c r="HJ53" i="22" s="1"/>
  <c r="DZ53" i="22"/>
  <c r="EF53" i="22" s="1"/>
  <c r="EL53" i="22" s="1"/>
  <c r="ER53" i="22" s="1"/>
  <c r="EX53" i="22" s="1"/>
  <c r="FD53" i="22" s="1"/>
  <c r="FJ53" i="22" s="1"/>
  <c r="FP53" i="22" s="1"/>
  <c r="FX53" i="22" s="1"/>
  <c r="GD53" i="22" s="1"/>
  <c r="GJ53" i="22" s="1"/>
  <c r="GP53" i="22" s="1"/>
  <c r="GV53" i="22" s="1"/>
  <c r="HC53" i="22" s="1"/>
  <c r="HI53" i="22" s="1"/>
  <c r="DY53" i="22"/>
  <c r="EE53" i="22" s="1"/>
  <c r="EK53" i="22" s="1"/>
  <c r="EQ53" i="22" s="1"/>
  <c r="EW53" i="22" s="1"/>
  <c r="FC53" i="22" s="1"/>
  <c r="FI53" i="22" s="1"/>
  <c r="FO53" i="22" s="1"/>
  <c r="FW53" i="22" s="1"/>
  <c r="GC53" i="22" s="1"/>
  <c r="GI53" i="22" s="1"/>
  <c r="GO53" i="22" s="1"/>
  <c r="GU53" i="22" s="1"/>
  <c r="HB53" i="22" s="1"/>
  <c r="HH53" i="22" s="1"/>
  <c r="HN53" i="22" s="1"/>
  <c r="DX53" i="22"/>
  <c r="ED53" i="22" s="1"/>
  <c r="EJ53" i="22" s="1"/>
  <c r="EP53" i="22" s="1"/>
  <c r="EV53" i="22" s="1"/>
  <c r="FB53" i="22" s="1"/>
  <c r="FH53" i="22" s="1"/>
  <c r="FN53" i="22" s="1"/>
  <c r="FV53" i="22" s="1"/>
  <c r="GB53" i="22" s="1"/>
  <c r="GH53" i="22" s="1"/>
  <c r="GN53" i="22" s="1"/>
  <c r="GT53" i="22" s="1"/>
  <c r="HA53" i="22" s="1"/>
  <c r="HG53" i="22" s="1"/>
  <c r="HM53" i="22" s="1"/>
  <c r="DW53" i="22"/>
  <c r="EC53" i="22" s="1"/>
  <c r="EI53" i="22" s="1"/>
  <c r="EO53" i="22" s="1"/>
  <c r="EU53" i="22" s="1"/>
  <c r="FA53" i="22" s="1"/>
  <c r="FG53" i="22" s="1"/>
  <c r="FM53" i="22" s="1"/>
  <c r="FU53" i="22" s="1"/>
  <c r="GA53" i="22" s="1"/>
  <c r="GG53" i="22" s="1"/>
  <c r="GM53" i="22" s="1"/>
  <c r="GS53" i="22" s="1"/>
  <c r="GZ53" i="22" s="1"/>
  <c r="HF53" i="22" s="1"/>
  <c r="HL53" i="22" s="1"/>
  <c r="DY52" i="22"/>
  <c r="EE52" i="22" s="1"/>
  <c r="EK52" i="22" s="1"/>
  <c r="EQ52" i="22" s="1"/>
  <c r="EW52" i="22" s="1"/>
  <c r="FC52" i="22" s="1"/>
  <c r="FI52" i="22" s="1"/>
  <c r="FO52" i="22" s="1"/>
  <c r="FW52" i="22" s="1"/>
  <c r="GC52" i="22" s="1"/>
  <c r="GI52" i="22" s="1"/>
  <c r="GO52" i="22" s="1"/>
  <c r="GU52" i="22" s="1"/>
  <c r="HB52" i="22" s="1"/>
  <c r="HH52" i="22" s="1"/>
  <c r="DX52" i="22"/>
  <c r="ED52" i="22" s="1"/>
  <c r="EJ52" i="22" s="1"/>
  <c r="EP52" i="22" s="1"/>
  <c r="EV52" i="22" s="1"/>
  <c r="FB52" i="22" s="1"/>
  <c r="FH52" i="22" s="1"/>
  <c r="FN52" i="22" s="1"/>
  <c r="FV52" i="22" s="1"/>
  <c r="GB52" i="22" s="1"/>
  <c r="GH52" i="22" s="1"/>
  <c r="GN52" i="22" s="1"/>
  <c r="GT52" i="22" s="1"/>
  <c r="HA52" i="22" s="1"/>
  <c r="HG52" i="22" s="1"/>
  <c r="DW52" i="22"/>
  <c r="EC52" i="22" s="1"/>
  <c r="EI52" i="22" s="1"/>
  <c r="EO52" i="22" s="1"/>
  <c r="EU52" i="22" s="1"/>
  <c r="FA52" i="22" s="1"/>
  <c r="FG52" i="22" s="1"/>
  <c r="FM52" i="22" s="1"/>
  <c r="FU52" i="22" s="1"/>
  <c r="GA52" i="22" s="1"/>
  <c r="GG52" i="22" s="1"/>
  <c r="GM52" i="22" s="1"/>
  <c r="GS52" i="22" s="1"/>
  <c r="GZ52" i="22" s="1"/>
  <c r="HF52" i="22" s="1"/>
  <c r="DV52" i="22"/>
  <c r="EB52" i="22" s="1"/>
  <c r="EH52" i="22" s="1"/>
  <c r="EN52" i="22" s="1"/>
  <c r="ET52" i="22" s="1"/>
  <c r="EZ52" i="22" s="1"/>
  <c r="FF52" i="22" s="1"/>
  <c r="FL52" i="22" s="1"/>
  <c r="FT52" i="22" s="1"/>
  <c r="FZ52" i="22" s="1"/>
  <c r="GF52" i="22" s="1"/>
  <c r="GL52" i="22" s="1"/>
  <c r="GR52" i="22" s="1"/>
  <c r="GY52" i="22" s="1"/>
  <c r="HE52" i="22" s="1"/>
  <c r="HK52" i="22" s="1"/>
  <c r="DU52" i="22"/>
  <c r="EA52" i="22" s="1"/>
  <c r="EG52" i="22" s="1"/>
  <c r="EM52" i="22" s="1"/>
  <c r="ES52" i="22" s="1"/>
  <c r="EY52" i="22" s="1"/>
  <c r="FE52" i="22" s="1"/>
  <c r="FK52" i="22" s="1"/>
  <c r="FS52" i="22" s="1"/>
  <c r="FY52" i="22" s="1"/>
  <c r="GE52" i="22" s="1"/>
  <c r="GK52" i="22" s="1"/>
  <c r="GQ52" i="22" s="1"/>
  <c r="GX52" i="22" s="1"/>
  <c r="HD52" i="22" s="1"/>
  <c r="HJ52" i="22" s="1"/>
  <c r="DT52" i="22"/>
  <c r="DZ52" i="22" s="1"/>
  <c r="EF52" i="22" s="1"/>
  <c r="EL52" i="22" s="1"/>
  <c r="ER52" i="22" s="1"/>
  <c r="EX52" i="22" s="1"/>
  <c r="FD52" i="22" s="1"/>
  <c r="FJ52" i="22" s="1"/>
  <c r="FP52" i="22" s="1"/>
  <c r="FX52" i="22" s="1"/>
  <c r="GD52" i="22" s="1"/>
  <c r="GJ52" i="22" s="1"/>
  <c r="GP52" i="22" s="1"/>
  <c r="GV52" i="22" s="1"/>
  <c r="HC52" i="22" s="1"/>
  <c r="HI52" i="22" s="1"/>
  <c r="DW51" i="22"/>
  <c r="EC51" i="22" s="1"/>
  <c r="EI51" i="22" s="1"/>
  <c r="EO51" i="22" s="1"/>
  <c r="EU51" i="22" s="1"/>
  <c r="FA51" i="22" s="1"/>
  <c r="FG51" i="22" s="1"/>
  <c r="FM51" i="22" s="1"/>
  <c r="FU51" i="22" s="1"/>
  <c r="GA51" i="22" s="1"/>
  <c r="GG51" i="22" s="1"/>
  <c r="GM51" i="22" s="1"/>
  <c r="GS51" i="22" s="1"/>
  <c r="GZ51" i="22" s="1"/>
  <c r="HF51" i="22" s="1"/>
  <c r="DV51" i="22"/>
  <c r="EB51" i="22" s="1"/>
  <c r="EH51" i="22" s="1"/>
  <c r="EN51" i="22" s="1"/>
  <c r="ET51" i="22" s="1"/>
  <c r="EZ51" i="22" s="1"/>
  <c r="FF51" i="22" s="1"/>
  <c r="FL51" i="22" s="1"/>
  <c r="FT51" i="22" s="1"/>
  <c r="FZ51" i="22" s="1"/>
  <c r="GF51" i="22" s="1"/>
  <c r="GL51" i="22" s="1"/>
  <c r="GR51" i="22" s="1"/>
  <c r="GY51" i="22" s="1"/>
  <c r="HE51" i="22" s="1"/>
  <c r="DU51" i="22"/>
  <c r="EA51" i="22" s="1"/>
  <c r="EG51" i="22" s="1"/>
  <c r="EM51" i="22" s="1"/>
  <c r="ES51" i="22" s="1"/>
  <c r="EY51" i="22" s="1"/>
  <c r="FE51" i="22" s="1"/>
  <c r="FK51" i="22" s="1"/>
  <c r="FS51" i="22" s="1"/>
  <c r="FY51" i="22" s="1"/>
  <c r="GE51" i="22" s="1"/>
  <c r="GK51" i="22" s="1"/>
  <c r="GQ51" i="22" s="1"/>
  <c r="GX51" i="22" s="1"/>
  <c r="HD51" i="22" s="1"/>
  <c r="DT51" i="22"/>
  <c r="DZ51" i="22" s="1"/>
  <c r="EF51" i="22" s="1"/>
  <c r="EL51" i="22" s="1"/>
  <c r="ER51" i="22" s="1"/>
  <c r="EX51" i="22" s="1"/>
  <c r="FD51" i="22" s="1"/>
  <c r="FJ51" i="22" s="1"/>
  <c r="FP51" i="22" s="1"/>
  <c r="FX51" i="22" s="1"/>
  <c r="GD51" i="22" s="1"/>
  <c r="GJ51" i="22" s="1"/>
  <c r="GP51" i="22" s="1"/>
  <c r="GV51" i="22" s="1"/>
  <c r="HC51" i="22" s="1"/>
  <c r="HI51" i="22" s="1"/>
  <c r="DS51" i="22"/>
  <c r="DY51" i="22" s="1"/>
  <c r="EE51" i="22" s="1"/>
  <c r="EK51" i="22" s="1"/>
  <c r="EQ51" i="22" s="1"/>
  <c r="EW51" i="22" s="1"/>
  <c r="FC51" i="22" s="1"/>
  <c r="FI51" i="22" s="1"/>
  <c r="FO51" i="22" s="1"/>
  <c r="FW51" i="22" s="1"/>
  <c r="GC51" i="22" s="1"/>
  <c r="GI51" i="22" s="1"/>
  <c r="GO51" i="22" s="1"/>
  <c r="GU51" i="22" s="1"/>
  <c r="HB51" i="22" s="1"/>
  <c r="HH51" i="22" s="1"/>
  <c r="DR51" i="22"/>
  <c r="DX51" i="22" s="1"/>
  <c r="ED51" i="22" s="1"/>
  <c r="EJ51" i="22" s="1"/>
  <c r="EP51" i="22" s="1"/>
  <c r="EV51" i="22" s="1"/>
  <c r="FB51" i="22" s="1"/>
  <c r="FH51" i="22" s="1"/>
  <c r="FN51" i="22" s="1"/>
  <c r="FV51" i="22" s="1"/>
  <c r="GB51" i="22" s="1"/>
  <c r="GH51" i="22" s="1"/>
  <c r="GN51" i="22" s="1"/>
  <c r="GT51" i="22" s="1"/>
  <c r="HA51" i="22" s="1"/>
  <c r="HG51" i="22" s="1"/>
  <c r="DU50" i="22"/>
  <c r="EA50" i="22" s="1"/>
  <c r="EG50" i="22" s="1"/>
  <c r="EM50" i="22" s="1"/>
  <c r="ES50" i="22" s="1"/>
  <c r="EY50" i="22" s="1"/>
  <c r="FE50" i="22" s="1"/>
  <c r="FK50" i="22" s="1"/>
  <c r="FS50" i="22" s="1"/>
  <c r="FY50" i="22" s="1"/>
  <c r="GE50" i="22" s="1"/>
  <c r="GK50" i="22" s="1"/>
  <c r="GQ50" i="22" s="1"/>
  <c r="GX50" i="22" s="1"/>
  <c r="HD50" i="22" s="1"/>
  <c r="DT50" i="22"/>
  <c r="DZ50" i="22" s="1"/>
  <c r="EF50" i="22" s="1"/>
  <c r="EL50" i="22" s="1"/>
  <c r="ER50" i="22" s="1"/>
  <c r="EX50" i="22" s="1"/>
  <c r="FD50" i="22" s="1"/>
  <c r="FJ50" i="22" s="1"/>
  <c r="FP50" i="22" s="1"/>
  <c r="FX50" i="22" s="1"/>
  <c r="GD50" i="22" s="1"/>
  <c r="GJ50" i="22" s="1"/>
  <c r="GP50" i="22" s="1"/>
  <c r="GV50" i="22" s="1"/>
  <c r="HC50" i="22" s="1"/>
  <c r="DS50" i="22"/>
  <c r="DY50" i="22" s="1"/>
  <c r="EE50" i="22" s="1"/>
  <c r="EK50" i="22" s="1"/>
  <c r="EQ50" i="22" s="1"/>
  <c r="EW50" i="22" s="1"/>
  <c r="FC50" i="22" s="1"/>
  <c r="FI50" i="22" s="1"/>
  <c r="FO50" i="22" s="1"/>
  <c r="FW50" i="22" s="1"/>
  <c r="GC50" i="22" s="1"/>
  <c r="GI50" i="22" s="1"/>
  <c r="GO50" i="22" s="1"/>
  <c r="GU50" i="22" s="1"/>
  <c r="HB50" i="22" s="1"/>
  <c r="DR50" i="22"/>
  <c r="DX50" i="22" s="1"/>
  <c r="ED50" i="22" s="1"/>
  <c r="EJ50" i="22" s="1"/>
  <c r="EP50" i="22" s="1"/>
  <c r="EV50" i="22" s="1"/>
  <c r="FB50" i="22" s="1"/>
  <c r="FH50" i="22" s="1"/>
  <c r="FN50" i="22" s="1"/>
  <c r="FV50" i="22" s="1"/>
  <c r="GB50" i="22" s="1"/>
  <c r="GH50" i="22" s="1"/>
  <c r="GN50" i="22" s="1"/>
  <c r="GT50" i="22" s="1"/>
  <c r="HA50" i="22" s="1"/>
  <c r="HG50" i="22" s="1"/>
  <c r="DQ50" i="22"/>
  <c r="DW50" i="22" s="1"/>
  <c r="EC50" i="22" s="1"/>
  <c r="EI50" i="22" s="1"/>
  <c r="EO50" i="22" s="1"/>
  <c r="EU50" i="22" s="1"/>
  <c r="FA50" i="22" s="1"/>
  <c r="FG50" i="22" s="1"/>
  <c r="FM50" i="22" s="1"/>
  <c r="FU50" i="22" s="1"/>
  <c r="GA50" i="22" s="1"/>
  <c r="GG50" i="22" s="1"/>
  <c r="GM50" i="22" s="1"/>
  <c r="GS50" i="22" s="1"/>
  <c r="GZ50" i="22" s="1"/>
  <c r="HF50" i="22" s="1"/>
  <c r="DP50" i="22"/>
  <c r="DV50" i="22" s="1"/>
  <c r="EB50" i="22" s="1"/>
  <c r="EH50" i="22" s="1"/>
  <c r="EN50" i="22" s="1"/>
  <c r="ET50" i="22" s="1"/>
  <c r="EZ50" i="22" s="1"/>
  <c r="FF50" i="22" s="1"/>
  <c r="FL50" i="22" s="1"/>
  <c r="FT50" i="22" s="1"/>
  <c r="FZ50" i="22" s="1"/>
  <c r="GF50" i="22" s="1"/>
  <c r="GL50" i="22" s="1"/>
  <c r="GR50" i="22" s="1"/>
  <c r="GY50" i="22" s="1"/>
  <c r="HE50" i="22" s="1"/>
  <c r="DQ49" i="22"/>
  <c r="DW49" i="22" s="1"/>
  <c r="EC49" i="22" s="1"/>
  <c r="EI49" i="22" s="1"/>
  <c r="EO49" i="22" s="1"/>
  <c r="EU49" i="22" s="1"/>
  <c r="FA49" i="22" s="1"/>
  <c r="FG49" i="22" s="1"/>
  <c r="FM49" i="22" s="1"/>
  <c r="FU49" i="22" s="1"/>
  <c r="GA49" i="22" s="1"/>
  <c r="GG49" i="22" s="1"/>
  <c r="GM49" i="22" s="1"/>
  <c r="GS49" i="22" s="1"/>
  <c r="GZ49" i="22" s="1"/>
  <c r="DP49" i="22"/>
  <c r="DV49" i="22" s="1"/>
  <c r="EB49" i="22" s="1"/>
  <c r="EH49" i="22" s="1"/>
  <c r="EN49" i="22" s="1"/>
  <c r="ET49" i="22" s="1"/>
  <c r="EZ49" i="22" s="1"/>
  <c r="FF49" i="22" s="1"/>
  <c r="FL49" i="22" s="1"/>
  <c r="FT49" i="22" s="1"/>
  <c r="FZ49" i="22" s="1"/>
  <c r="GF49" i="22" s="1"/>
  <c r="GL49" i="22" s="1"/>
  <c r="GR49" i="22" s="1"/>
  <c r="GY49" i="22" s="1"/>
  <c r="DO49" i="22"/>
  <c r="DU49" i="22" s="1"/>
  <c r="EA49" i="22" s="1"/>
  <c r="EG49" i="22" s="1"/>
  <c r="EM49" i="22" s="1"/>
  <c r="ES49" i="22" s="1"/>
  <c r="EY49" i="22" s="1"/>
  <c r="FE49" i="22" s="1"/>
  <c r="FK49" i="22" s="1"/>
  <c r="FS49" i="22" s="1"/>
  <c r="FY49" i="22" s="1"/>
  <c r="GE49" i="22" s="1"/>
  <c r="GK49" i="22" s="1"/>
  <c r="GQ49" i="22" s="1"/>
  <c r="GX49" i="22" s="1"/>
  <c r="DN49" i="22"/>
  <c r="DT49" i="22" s="1"/>
  <c r="DZ49" i="22" s="1"/>
  <c r="EF49" i="22" s="1"/>
  <c r="EL49" i="22" s="1"/>
  <c r="ER49" i="22" s="1"/>
  <c r="EX49" i="22" s="1"/>
  <c r="FD49" i="22" s="1"/>
  <c r="FJ49" i="22" s="1"/>
  <c r="FP49" i="22" s="1"/>
  <c r="FX49" i="22" s="1"/>
  <c r="GD49" i="22" s="1"/>
  <c r="GJ49" i="22" s="1"/>
  <c r="GP49" i="22" s="1"/>
  <c r="GV49" i="22" s="1"/>
  <c r="HC49" i="22" s="1"/>
  <c r="DM49" i="22"/>
  <c r="DS49" i="22" s="1"/>
  <c r="DY49" i="22" s="1"/>
  <c r="EE49" i="22" s="1"/>
  <c r="EK49" i="22" s="1"/>
  <c r="EQ49" i="22" s="1"/>
  <c r="EW49" i="22" s="1"/>
  <c r="FC49" i="22" s="1"/>
  <c r="FI49" i="22" s="1"/>
  <c r="FO49" i="22" s="1"/>
  <c r="FW49" i="22" s="1"/>
  <c r="GC49" i="22" s="1"/>
  <c r="GI49" i="22" s="1"/>
  <c r="GO49" i="22" s="1"/>
  <c r="GU49" i="22" s="1"/>
  <c r="HB49" i="22" s="1"/>
  <c r="DL49" i="22"/>
  <c r="DR49" i="22" s="1"/>
  <c r="DX49" i="22" s="1"/>
  <c r="ED49" i="22" s="1"/>
  <c r="EJ49" i="22" s="1"/>
  <c r="EP49" i="22" s="1"/>
  <c r="EV49" i="22" s="1"/>
  <c r="FB49" i="22" s="1"/>
  <c r="FH49" i="22" s="1"/>
  <c r="FN49" i="22" s="1"/>
  <c r="FV49" i="22" s="1"/>
  <c r="GB49" i="22" s="1"/>
  <c r="GH49" i="22" s="1"/>
  <c r="GN49" i="22" s="1"/>
  <c r="GT49" i="22" s="1"/>
  <c r="HA49" i="22" s="1"/>
  <c r="B6" i="22"/>
  <c r="C5" i="22"/>
  <c r="C3" i="22"/>
  <c r="B3" i="22"/>
  <c r="C6" i="22" l="1"/>
  <c r="D5" i="22"/>
  <c r="JM57" i="22"/>
  <c r="JJ57" i="22"/>
  <c r="D3" i="22" l="1"/>
  <c r="D6" i="22"/>
  <c r="E5" i="22"/>
  <c r="F5" i="22"/>
  <c r="E6" i="22"/>
  <c r="E3" i="22"/>
  <c r="F6" i="22" l="1"/>
  <c r="G5" i="22"/>
  <c r="F3" i="22"/>
  <c r="H5" i="22" l="1"/>
  <c r="G6" i="22"/>
  <c r="G3" i="22"/>
  <c r="H6" i="22" l="1"/>
  <c r="I5" i="22"/>
  <c r="H3" i="22"/>
  <c r="I6" i="22" l="1"/>
  <c r="I3" i="22"/>
  <c r="J5" i="22"/>
  <c r="J6" i="22" l="1"/>
  <c r="K5" i="22"/>
  <c r="J3" i="22"/>
  <c r="L5" i="22" l="1"/>
  <c r="K6" i="22"/>
  <c r="K3" i="22"/>
  <c r="M5" i="22" l="1"/>
  <c r="L6" i="22"/>
  <c r="L3" i="22"/>
  <c r="M6" i="22" l="1"/>
  <c r="N5" i="22"/>
  <c r="M3" i="22"/>
  <c r="O5" i="22" l="1"/>
  <c r="N3" i="22"/>
  <c r="N6" i="22"/>
  <c r="P5" i="22" l="1"/>
  <c r="O6" i="22"/>
  <c r="O3" i="22"/>
  <c r="P3" i="22" l="1"/>
  <c r="P6" i="22"/>
  <c r="Q5" i="22"/>
  <c r="Q6" i="22" l="1"/>
  <c r="R5" i="22"/>
  <c r="Q3" i="22"/>
  <c r="S5" i="22" l="1"/>
  <c r="R6" i="22"/>
  <c r="R3" i="22"/>
  <c r="S6" i="22" l="1"/>
  <c r="T5" i="22"/>
  <c r="S3" i="22"/>
  <c r="T6" i="22" l="1"/>
  <c r="U5" i="22"/>
  <c r="T3" i="22"/>
  <c r="U6" i="22" l="1"/>
  <c r="U3" i="22"/>
  <c r="V5" i="22"/>
  <c r="V6" i="22" l="1"/>
  <c r="V3" i="22"/>
  <c r="W5" i="22"/>
  <c r="X5" i="22" l="1"/>
  <c r="W3" i="22"/>
  <c r="W6" i="22"/>
  <c r="X6" i="22" l="1"/>
  <c r="Y5" i="22"/>
  <c r="X3" i="22"/>
  <c r="Z5" i="22" l="1"/>
  <c r="Y3" i="22"/>
  <c r="Y6" i="22"/>
  <c r="AA5" i="22" l="1"/>
  <c r="Z3" i="22"/>
  <c r="Z6" i="22"/>
  <c r="AA6" i="22" l="1"/>
  <c r="AB5" i="22"/>
  <c r="AA3" i="22"/>
  <c r="AC5" i="22" l="1"/>
  <c r="AB3" i="22"/>
  <c r="AB6" i="22"/>
  <c r="AC6" i="22" l="1"/>
  <c r="AC3" i="22"/>
  <c r="AD5" i="22"/>
  <c r="AE5" i="22" l="1"/>
  <c r="AD6" i="22"/>
  <c r="AD3" i="22"/>
  <c r="AF5" i="22" l="1"/>
  <c r="AE6" i="22"/>
  <c r="AE3" i="22"/>
  <c r="AF6" i="22" l="1"/>
  <c r="AG5" i="22"/>
  <c r="AF3" i="22"/>
  <c r="AG6" i="22" l="1"/>
  <c r="AH5" i="22"/>
  <c r="AG3" i="22"/>
  <c r="AH6" i="22" l="1"/>
  <c r="AI5" i="22"/>
  <c r="AH3" i="22"/>
  <c r="AI6" i="22" l="1"/>
  <c r="AJ5" i="22"/>
  <c r="AI3" i="22"/>
  <c r="AJ6" i="22" l="1"/>
  <c r="AK5" i="22"/>
  <c r="AJ3" i="22"/>
  <c r="AL5" i="22" l="1"/>
  <c r="AK6" i="22"/>
  <c r="AK3" i="22"/>
  <c r="AM5" i="22" l="1"/>
  <c r="AL6" i="22"/>
  <c r="AL3" i="22"/>
  <c r="AN5" i="22" l="1"/>
  <c r="AM6" i="22"/>
  <c r="AM3" i="22"/>
  <c r="AN3" i="22" l="1"/>
  <c r="AO5" i="22"/>
  <c r="AN6" i="22"/>
  <c r="AO6" i="22" l="1"/>
  <c r="AP5" i="22"/>
  <c r="AO3" i="22"/>
  <c r="AQ5" i="22" l="1"/>
  <c r="AP6" i="22"/>
  <c r="AP3" i="22"/>
  <c r="AQ6" i="22" l="1"/>
  <c r="AR5" i="22"/>
  <c r="AQ3" i="22"/>
  <c r="AS5" i="22" l="1"/>
  <c r="AR6" i="22"/>
  <c r="AR3" i="22"/>
  <c r="AS6" i="22" l="1"/>
  <c r="AS3" i="22"/>
  <c r="AT5" i="22"/>
  <c r="AT6" i="22" l="1"/>
  <c r="AU5" i="22"/>
  <c r="AT3" i="22"/>
  <c r="AU6" i="22" l="1"/>
  <c r="AU3" i="22"/>
  <c r="AV5" i="22"/>
  <c r="AV6" i="22" l="1"/>
  <c r="AW5" i="22"/>
  <c r="AV3" i="22"/>
  <c r="AW6" i="22" l="1"/>
  <c r="AX5" i="22"/>
  <c r="AW3" i="22"/>
  <c r="AY5" i="22" l="1"/>
  <c r="AX6" i="22"/>
  <c r="AX3" i="22"/>
  <c r="AZ5" i="22" l="1"/>
  <c r="AY6" i="22"/>
  <c r="AY3" i="22"/>
  <c r="AZ6" i="22" l="1"/>
  <c r="AZ3" i="22"/>
  <c r="BA5" i="22"/>
  <c r="BA6" i="22" l="1"/>
  <c r="BB5" i="22"/>
  <c r="BA3" i="22"/>
  <c r="BC5" i="22" l="1"/>
  <c r="BB3" i="22"/>
  <c r="BB6" i="22"/>
  <c r="BC6" i="22" l="1"/>
  <c r="BC3" i="22"/>
  <c r="BD5" i="22"/>
  <c r="BE5" i="22" l="1"/>
  <c r="BD6" i="22"/>
  <c r="BD3" i="22"/>
  <c r="BE6" i="22" l="1"/>
  <c r="BF5" i="22"/>
  <c r="BE3" i="22"/>
  <c r="BF6" i="22" l="1"/>
  <c r="BG5" i="22"/>
  <c r="BF3" i="22"/>
  <c r="BG6" i="22" l="1"/>
  <c r="BH5" i="22"/>
  <c r="BG3" i="22"/>
  <c r="BI5" i="22" l="1"/>
  <c r="BH3" i="22"/>
  <c r="BH6" i="22"/>
  <c r="BI6" i="22" l="1"/>
  <c r="BJ5" i="22"/>
  <c r="BI3" i="22"/>
  <c r="BK5" i="22" l="1"/>
  <c r="BJ3" i="22"/>
  <c r="BJ6" i="22"/>
  <c r="BK6" i="22" l="1"/>
  <c r="BL5" i="22"/>
  <c r="BK3" i="22"/>
  <c r="BL3" i="22" l="1"/>
  <c r="BL6" i="22"/>
  <c r="BM5" i="22"/>
  <c r="BN5" i="22" l="1"/>
  <c r="BM6" i="22"/>
  <c r="BM3" i="22"/>
  <c r="BN6" i="22" l="1"/>
  <c r="BO5" i="22"/>
  <c r="BN3" i="22"/>
  <c r="BP5" i="22" l="1"/>
  <c r="BO6" i="22"/>
  <c r="BO3" i="22"/>
  <c r="BP6" i="22" l="1"/>
  <c r="BP3" i="22"/>
  <c r="BQ5" i="22"/>
  <c r="BQ6" i="22" l="1"/>
  <c r="BQ3" i="22"/>
  <c r="BR5" i="22"/>
  <c r="BR6" i="22" l="1"/>
  <c r="BS5" i="22"/>
  <c r="BR3" i="22"/>
  <c r="BS6" i="22" l="1"/>
  <c r="BT5" i="22"/>
  <c r="BS3" i="22"/>
  <c r="BU5" i="22" l="1"/>
  <c r="BT6" i="22"/>
  <c r="BT3" i="22"/>
  <c r="BU6" i="22" l="1"/>
  <c r="BU3" i="22"/>
  <c r="BV5" i="22"/>
  <c r="BW5" i="22" l="1"/>
  <c r="BV3" i="22"/>
  <c r="BV6" i="22"/>
  <c r="BW6" i="22" l="1"/>
  <c r="BW3" i="22"/>
  <c r="BX5" i="22"/>
  <c r="BX3" i="22" l="1"/>
  <c r="BX6" i="22"/>
  <c r="BY5" i="22"/>
  <c r="BY6" i="22" l="1"/>
  <c r="BZ5" i="22"/>
  <c r="BY3" i="22"/>
  <c r="BZ6" i="22" l="1"/>
  <c r="CA5" i="22"/>
  <c r="BZ3" i="22"/>
  <c r="CA3" i="22" l="1"/>
  <c r="CA6" i="22"/>
  <c r="CB5" i="22"/>
  <c r="CB6" i="22" l="1"/>
  <c r="CC5" i="22"/>
  <c r="CB3" i="22"/>
  <c r="CC6" i="22" l="1"/>
  <c r="CC3" i="22"/>
  <c r="CD5" i="22"/>
  <c r="CD6" i="22" l="1"/>
  <c r="CE5" i="22"/>
  <c r="CD3" i="22"/>
  <c r="CF5" i="22" l="1"/>
  <c r="CE6" i="22"/>
  <c r="CE3" i="22"/>
  <c r="CG5" i="22" l="1"/>
  <c r="CF6" i="22"/>
  <c r="CF3" i="22"/>
  <c r="CH5" i="22" l="1"/>
  <c r="CG6" i="22"/>
  <c r="CG3" i="22"/>
  <c r="CI5" i="22" l="1"/>
  <c r="CH6" i="22"/>
  <c r="CH3" i="22"/>
  <c r="CI6" i="22" l="1"/>
  <c r="CJ5" i="22"/>
  <c r="CI3" i="22"/>
  <c r="CJ3" i="22" l="1"/>
  <c r="CJ6" i="22"/>
  <c r="CK5" i="22"/>
  <c r="CL5" i="22" l="1"/>
  <c r="CK6" i="22"/>
  <c r="CK3" i="22"/>
  <c r="CM5" i="22" l="1"/>
  <c r="CL6" i="22"/>
  <c r="CL3" i="22"/>
  <c r="CN5" i="22" l="1"/>
  <c r="CM6" i="22"/>
  <c r="CM3" i="22"/>
  <c r="CN6" i="22" l="1"/>
  <c r="CN3" i="22"/>
  <c r="CO5" i="22"/>
  <c r="CO6" i="22" l="1"/>
  <c r="CP5" i="22"/>
  <c r="CO3" i="22"/>
  <c r="CP6" i="22" l="1"/>
  <c r="CP3" i="22"/>
  <c r="CQ5" i="22"/>
  <c r="CQ6" i="22" l="1"/>
  <c r="CQ3" i="22"/>
  <c r="CR5" i="22"/>
  <c r="CS5" i="22" l="1"/>
  <c r="CR6" i="22"/>
  <c r="CR3" i="22"/>
  <c r="CT5" i="22" l="1"/>
  <c r="CS6" i="22"/>
  <c r="CS3" i="22"/>
  <c r="CU5" i="22" l="1"/>
  <c r="CT6" i="22"/>
  <c r="CT3" i="22"/>
  <c r="CV5" i="22" l="1"/>
  <c r="CU6" i="22"/>
  <c r="CU3" i="22"/>
  <c r="CV3" i="22" l="1"/>
  <c r="CV6" i="22"/>
  <c r="CW5" i="22"/>
  <c r="CW6" i="22" l="1"/>
  <c r="CX5" i="22"/>
  <c r="CW3" i="22"/>
  <c r="CY5" i="22" l="1"/>
  <c r="CX6" i="22"/>
  <c r="CX3" i="22"/>
  <c r="CZ5" i="22" l="1"/>
  <c r="CY6" i="22"/>
  <c r="CY3" i="22"/>
  <c r="CZ6" i="22" l="1"/>
  <c r="DA5" i="22"/>
  <c r="CZ3" i="22"/>
  <c r="DA6" i="22" l="1"/>
  <c r="DA3" i="22"/>
  <c r="DB5" i="22"/>
  <c r="DB6" i="22" l="1"/>
  <c r="DC5" i="22"/>
  <c r="DB3" i="22"/>
  <c r="DD5" i="22" l="1"/>
  <c r="DC3" i="22"/>
  <c r="DC6" i="22"/>
  <c r="DD6" i="22" l="1"/>
  <c r="DE5" i="22"/>
  <c r="DD3" i="22"/>
  <c r="DF5" i="22" l="1"/>
  <c r="DE6" i="22"/>
  <c r="DE3" i="22"/>
  <c r="DG5" i="22" l="1"/>
  <c r="DF3" i="22"/>
  <c r="DF6" i="22"/>
  <c r="DG6" i="22" l="1"/>
  <c r="DG3" i="22"/>
  <c r="DH5" i="22"/>
  <c r="DH3" i="22" l="1"/>
  <c r="DI5" i="22"/>
  <c r="DH6" i="22"/>
  <c r="DI6" i="22" l="1"/>
  <c r="DJ5" i="22"/>
  <c r="DI3" i="22"/>
  <c r="DJ6" i="22" l="1"/>
  <c r="DK5" i="22"/>
  <c r="DJ3" i="22"/>
  <c r="DK6" i="22" l="1"/>
  <c r="DL5" i="22"/>
  <c r="DK3" i="22"/>
  <c r="DL6" i="22" l="1"/>
  <c r="DM5" i="22"/>
  <c r="DL3" i="22"/>
  <c r="DM6" i="22" l="1"/>
  <c r="DN5" i="22"/>
  <c r="DM3" i="22"/>
  <c r="DN6" i="22" l="1"/>
  <c r="DO5" i="22"/>
  <c r="DN3" i="22"/>
  <c r="DO6" i="22" l="1"/>
  <c r="DP5" i="22"/>
  <c r="DO3" i="22"/>
  <c r="DP6" i="22" l="1"/>
  <c r="DQ5" i="22"/>
  <c r="DP3" i="22"/>
  <c r="DQ6" i="22" l="1"/>
  <c r="DQ3" i="22"/>
  <c r="DR5" i="22"/>
  <c r="DS5" i="22" l="1"/>
  <c r="DR3" i="22"/>
  <c r="DR6" i="22"/>
  <c r="DT5" i="22" l="1"/>
  <c r="DS6" i="22"/>
  <c r="DS3" i="22"/>
  <c r="DT3" i="22" l="1"/>
  <c r="DT6" i="22"/>
  <c r="DU5" i="22"/>
  <c r="DU6" i="22" l="1"/>
  <c r="DV5" i="22"/>
  <c r="DU3" i="22"/>
  <c r="DV6" i="22" l="1"/>
  <c r="DV3" i="22"/>
  <c r="DW5" i="22"/>
  <c r="DW6" i="22" l="1"/>
  <c r="DW3" i="22"/>
  <c r="DX5" i="22"/>
  <c r="DX6" i="22" l="1"/>
  <c r="DY5" i="22"/>
  <c r="DX3" i="22"/>
  <c r="DY6" i="22" l="1"/>
  <c r="DZ5" i="22"/>
  <c r="DY3" i="22"/>
  <c r="DZ6" i="22" l="1"/>
  <c r="EA5" i="22"/>
  <c r="DZ3" i="22"/>
  <c r="EA6" i="22" l="1"/>
  <c r="EB5" i="22"/>
  <c r="EA3" i="22"/>
  <c r="EC5" i="22" l="1"/>
  <c r="EB3" i="22"/>
  <c r="EB6" i="22"/>
  <c r="EC3" i="22" l="1"/>
  <c r="EC6" i="22"/>
  <c r="ED5" i="22"/>
  <c r="EE5" i="22" l="1"/>
  <c r="ED6" i="22"/>
  <c r="ED3" i="22"/>
  <c r="EE6" i="22" l="1"/>
  <c r="EF5" i="22"/>
  <c r="EE3" i="22"/>
  <c r="EG5" i="22" l="1"/>
  <c r="EF3" i="22"/>
  <c r="EF6" i="22"/>
  <c r="EG6" i="22" l="1"/>
  <c r="EH5" i="22"/>
  <c r="EG3" i="22"/>
  <c r="EH6" i="22" l="1"/>
  <c r="EI5" i="22"/>
  <c r="EH3" i="22"/>
  <c r="EI6" i="22" l="1"/>
  <c r="EI3" i="22"/>
  <c r="EJ5" i="22"/>
  <c r="EJ6" i="22" l="1"/>
  <c r="EJ3" i="22"/>
  <c r="EK5" i="22"/>
  <c r="EK6" i="22" l="1"/>
  <c r="EK3" i="22"/>
  <c r="EL5" i="22"/>
  <c r="EL6" i="22" l="1"/>
  <c r="EM5" i="22"/>
  <c r="EL3" i="22"/>
  <c r="EN5" i="22" l="1"/>
  <c r="EM6" i="22"/>
  <c r="EM3" i="22"/>
  <c r="EN6" i="22" l="1"/>
  <c r="EN3" i="22"/>
  <c r="EO5" i="22"/>
  <c r="EP5" i="22" l="1"/>
  <c r="EO6" i="22"/>
  <c r="EO3" i="22"/>
  <c r="EQ5" i="22" l="1"/>
  <c r="EP6" i="22"/>
  <c r="EP3" i="22"/>
  <c r="ER5" i="22" l="1"/>
  <c r="EQ6" i="22"/>
  <c r="EQ3" i="22"/>
  <c r="ER3" i="22" l="1"/>
  <c r="ES5" i="22"/>
  <c r="ER6" i="22"/>
  <c r="ES6" i="22" l="1"/>
  <c r="ET5" i="22"/>
  <c r="ES3" i="22"/>
  <c r="EU5" i="22" l="1"/>
  <c r="ET6" i="22"/>
  <c r="ET3" i="22"/>
  <c r="EU6" i="22" l="1"/>
  <c r="EV5" i="22"/>
  <c r="EU3" i="22"/>
  <c r="EV6" i="22" l="1"/>
  <c r="EW5" i="22"/>
  <c r="EV3" i="22"/>
  <c r="EW6" i="22" l="1"/>
  <c r="EW3" i="22"/>
  <c r="EX5" i="22"/>
  <c r="EX6" i="22" l="1"/>
  <c r="EX3" i="22"/>
  <c r="EY5" i="22"/>
  <c r="EZ5" i="22" l="1"/>
  <c r="EY6" i="22"/>
  <c r="EY3" i="22"/>
  <c r="FA5" i="22" l="1"/>
  <c r="EZ6" i="22"/>
  <c r="EZ3" i="22"/>
  <c r="FA6" i="22" l="1"/>
  <c r="FA3" i="22"/>
  <c r="FB5" i="22"/>
  <c r="FC5" i="22" l="1"/>
  <c r="FB3" i="22"/>
  <c r="FB6" i="22"/>
  <c r="FD5" i="22" l="1"/>
  <c r="FC6" i="22"/>
  <c r="FC3" i="22"/>
  <c r="FD3" i="22" l="1"/>
  <c r="FD6" i="22"/>
  <c r="FE5" i="22"/>
  <c r="FE6" i="22" l="1"/>
  <c r="FF5" i="22"/>
  <c r="FE3" i="22"/>
  <c r="FG5" i="22" l="1"/>
  <c r="FF6" i="22"/>
  <c r="FF3" i="22"/>
  <c r="FG6" i="22" l="1"/>
  <c r="FH5" i="22"/>
  <c r="FG3" i="22"/>
  <c r="FH6" i="22" l="1"/>
  <c r="FI5" i="22"/>
  <c r="FH3" i="22"/>
  <c r="FI6" i="22" l="1"/>
  <c r="FI3" i="22"/>
  <c r="FJ5" i="22"/>
  <c r="FJ6" i="22" l="1"/>
  <c r="FJ3" i="22"/>
  <c r="FK5" i="22"/>
  <c r="FK6" i="22" l="1"/>
  <c r="FL5" i="22"/>
  <c r="FK3" i="22"/>
  <c r="FM5" i="22" l="1"/>
  <c r="FL6" i="22"/>
  <c r="FL3" i="22"/>
  <c r="FN5" i="22" l="1"/>
  <c r="FM6" i="22"/>
  <c r="FM3" i="22"/>
  <c r="FO5" i="22" l="1"/>
  <c r="FN3" i="22"/>
  <c r="FN6" i="22"/>
  <c r="FO6" i="22" l="1"/>
  <c r="FP5" i="22"/>
  <c r="FO3" i="22"/>
  <c r="FQ5" i="22" l="1"/>
  <c r="FP3" i="22"/>
  <c r="FP6" i="22"/>
  <c r="FQ6" i="22" l="1"/>
  <c r="FR5" i="22"/>
  <c r="FQ3" i="22"/>
  <c r="FR6" i="22" l="1"/>
  <c r="FS5" i="22"/>
  <c r="FR3" i="22"/>
  <c r="FT5" i="22" l="1"/>
  <c r="FS3" i="22"/>
  <c r="FS6" i="22"/>
  <c r="FT6" i="22" l="1"/>
  <c r="FU5" i="22"/>
  <c r="FT3" i="22"/>
  <c r="FU6" i="22" l="1"/>
  <c r="FV5" i="22"/>
  <c r="FU3" i="22"/>
  <c r="FV6" i="22" l="1"/>
  <c r="FW5" i="22"/>
  <c r="FV3" i="22"/>
  <c r="FW6" i="22" l="1"/>
  <c r="FW3" i="22"/>
  <c r="FX5" i="22"/>
  <c r="FX6" i="22" l="1"/>
  <c r="FX3" i="22"/>
  <c r="FY5" i="22"/>
  <c r="FZ5" i="22" l="1"/>
  <c r="FY6" i="22"/>
  <c r="FY3" i="22"/>
  <c r="GA5" i="22" l="1"/>
  <c r="FZ6" i="22"/>
  <c r="FZ3" i="22"/>
  <c r="GB5" i="22" l="1"/>
  <c r="GA6" i="22"/>
  <c r="GA3" i="22"/>
  <c r="GB3" i="22" l="1"/>
  <c r="GB6" i="22"/>
  <c r="GC5" i="22"/>
  <c r="GD5" i="22" l="1"/>
  <c r="GC3" i="22"/>
  <c r="GC6" i="22"/>
  <c r="GD6" i="22" l="1"/>
  <c r="GD3" i="22"/>
  <c r="GE5" i="22"/>
  <c r="GE6" i="22" l="1"/>
  <c r="GE3" i="22"/>
  <c r="GF5" i="22"/>
  <c r="GF6" i="22" l="1"/>
  <c r="GG5" i="22"/>
  <c r="GF3" i="22"/>
  <c r="GG6" i="22" l="1"/>
  <c r="GG3" i="22"/>
  <c r="GH5" i="22"/>
  <c r="GH6" i="22" l="1"/>
  <c r="GI5" i="22"/>
  <c r="GH3" i="22"/>
  <c r="GI6" i="22" l="1"/>
  <c r="GI3" i="22"/>
  <c r="GJ5" i="22"/>
  <c r="GJ6" i="22" l="1"/>
  <c r="GK5" i="22"/>
  <c r="GJ3" i="22"/>
  <c r="GL5" i="22" l="1"/>
  <c r="GK6" i="22"/>
  <c r="GK3" i="22"/>
  <c r="GM5" i="22" l="1"/>
  <c r="GL6" i="22"/>
  <c r="GL3" i="22"/>
  <c r="GN5" i="22" l="1"/>
  <c r="GM6" i="22"/>
  <c r="GM3" i="22"/>
  <c r="GN3" i="22" l="1"/>
  <c r="GO5" i="22"/>
  <c r="GN6" i="22"/>
  <c r="GO6" i="22" l="1"/>
  <c r="GP5" i="22"/>
  <c r="GO3" i="22"/>
  <c r="GQ5" i="22" l="1"/>
  <c r="GP6" i="22"/>
  <c r="GP3" i="22"/>
  <c r="GQ6" i="22" l="1"/>
  <c r="GR5" i="22"/>
  <c r="GQ3" i="22"/>
  <c r="GR6" i="22" l="1"/>
  <c r="GR3" i="22"/>
  <c r="GS5" i="22"/>
  <c r="GS6" i="22" l="1"/>
  <c r="GT5" i="22"/>
  <c r="GS3" i="22"/>
  <c r="GT6" i="22" l="1"/>
  <c r="GT3" i="22"/>
  <c r="GU5" i="22"/>
  <c r="GV5" i="22" l="1"/>
  <c r="GU6" i="22"/>
  <c r="GU3" i="22"/>
  <c r="GV6" i="22" l="1"/>
  <c r="GV3" i="22"/>
  <c r="GW5" i="22"/>
  <c r="GW6" i="22" l="1"/>
  <c r="GW3" i="22"/>
  <c r="GX5" i="22"/>
  <c r="GY5" i="22" l="1"/>
  <c r="GX3" i="22"/>
  <c r="GX6" i="22"/>
  <c r="GY6" i="22" l="1"/>
  <c r="GY3" i="22"/>
  <c r="GZ5" i="22"/>
  <c r="GZ3" i="22" l="1"/>
  <c r="HA5" i="22"/>
  <c r="GZ6" i="22"/>
  <c r="HA6" i="22" l="1"/>
  <c r="HB5" i="22"/>
  <c r="HA3" i="22"/>
  <c r="HC5" i="22" l="1"/>
  <c r="HB6" i="22"/>
  <c r="HB3" i="22"/>
  <c r="HD5" i="22" l="1"/>
  <c r="HC6" i="22"/>
  <c r="HC3" i="22"/>
  <c r="HD6" i="22" l="1"/>
  <c r="HD3" i="22"/>
  <c r="HE5" i="22"/>
  <c r="HE6" i="22" l="1"/>
  <c r="HE3" i="22"/>
  <c r="HF5" i="22"/>
  <c r="HF6" i="22" l="1"/>
  <c r="HG5" i="22"/>
  <c r="HF3" i="22"/>
  <c r="HG6" i="22" l="1"/>
  <c r="HH5" i="22"/>
  <c r="HG3" i="22"/>
  <c r="HI5" i="22" l="1"/>
  <c r="HH6" i="22"/>
  <c r="HH3" i="22"/>
  <c r="HI6" i="22" l="1"/>
  <c r="HJ5" i="22"/>
  <c r="HI3" i="22"/>
  <c r="HK5" i="22" l="1"/>
  <c r="HJ3" i="22"/>
  <c r="HJ6" i="22"/>
  <c r="HK6" i="22" l="1"/>
  <c r="HL5" i="22"/>
  <c r="HK3" i="22"/>
  <c r="HL3" i="22" l="1"/>
  <c r="HL6" i="22"/>
  <c r="HM5" i="22"/>
  <c r="HM6" i="22" l="1"/>
  <c r="HN5" i="22"/>
  <c r="HM3" i="22"/>
  <c r="HN6" i="22" l="1"/>
  <c r="HO5" i="22"/>
  <c r="HN3" i="22"/>
  <c r="HO3" i="22" l="1"/>
  <c r="HO6" i="22"/>
  <c r="HP5" i="22"/>
  <c r="HP6" i="22" l="1"/>
  <c r="HQ5" i="22"/>
  <c r="HP3" i="22"/>
  <c r="HQ6" i="22" l="1"/>
  <c r="HQ3" i="22"/>
  <c r="HR5" i="22"/>
  <c r="HR6" i="22" l="1"/>
  <c r="HS5" i="22"/>
  <c r="HR3" i="22"/>
  <c r="HT5" i="22" l="1"/>
  <c r="HS6" i="22"/>
  <c r="HS3" i="22"/>
  <c r="HU5" i="22" l="1"/>
  <c r="HT3" i="22"/>
  <c r="HT6" i="22"/>
  <c r="HV5" i="22" l="1"/>
  <c r="HU6" i="22"/>
  <c r="HU3" i="22"/>
  <c r="HW5" i="22" l="1"/>
  <c r="HV6" i="22"/>
  <c r="HV3" i="22"/>
  <c r="HW6" i="22" l="1"/>
  <c r="HX5" i="22"/>
  <c r="HW3" i="22"/>
  <c r="HX3" i="22" l="1"/>
  <c r="HX6" i="22"/>
  <c r="HY5" i="22"/>
  <c r="HY6" i="22" l="1"/>
  <c r="HZ5" i="22"/>
  <c r="HY3" i="22"/>
  <c r="IA5" i="22" l="1"/>
  <c r="HZ6" i="22"/>
  <c r="HZ3" i="22"/>
  <c r="IB5" i="22" l="1"/>
  <c r="IA6" i="22"/>
  <c r="IA3" i="22"/>
  <c r="IB6" i="22" l="1"/>
  <c r="IB3" i="22"/>
  <c r="IC5" i="22"/>
  <c r="IC6" i="22" l="1"/>
  <c r="ID5" i="22"/>
  <c r="IC3" i="22"/>
  <c r="ID6" i="22" l="1"/>
  <c r="ID3" i="22"/>
  <c r="IE5" i="22"/>
  <c r="IE6" i="22" l="1"/>
  <c r="IE3" i="22"/>
  <c r="IF5" i="22"/>
  <c r="IG5" i="22" l="1"/>
  <c r="IF6" i="22"/>
  <c r="IF3" i="22"/>
  <c r="IG6" i="22" l="1"/>
  <c r="IH5" i="22"/>
  <c r="IG3" i="22"/>
  <c r="II5" i="22" l="1"/>
  <c r="IH6" i="22"/>
  <c r="IH3" i="22"/>
  <c r="IJ5" i="22" l="1"/>
  <c r="II6" i="22"/>
  <c r="II3" i="22"/>
  <c r="IJ3" i="22" l="1"/>
  <c r="IK5" i="22"/>
  <c r="IJ6" i="22"/>
  <c r="IK6" i="22" l="1"/>
  <c r="IK3" i="22"/>
  <c r="IL5" i="22"/>
  <c r="IL3" i="22" l="1"/>
  <c r="IL6" i="22"/>
  <c r="IM5" i="22"/>
  <c r="IN5" i="22" l="1"/>
  <c r="IM6" i="22"/>
  <c r="IM3" i="22"/>
  <c r="IN6" i="22" l="1"/>
  <c r="IO5" i="22"/>
  <c r="IN3" i="22"/>
  <c r="IO6" i="22" l="1"/>
  <c r="IO3" i="22"/>
  <c r="IP5" i="22"/>
  <c r="IP6" i="22" l="1"/>
  <c r="IQ5" i="22"/>
  <c r="IP3" i="22"/>
  <c r="IQ3" i="22" l="1"/>
  <c r="IR5" i="22"/>
  <c r="IQ6" i="22"/>
  <c r="IR6" i="22" l="1"/>
  <c r="IR3" i="22"/>
  <c r="IS5" i="22"/>
  <c r="IT5" i="22" l="1"/>
  <c r="IS6" i="22"/>
  <c r="IS3" i="22"/>
  <c r="IU5" i="22" l="1"/>
  <c r="IT3" i="22"/>
  <c r="IT6" i="22"/>
  <c r="IU6" i="22" l="1"/>
  <c r="IU3" i="22"/>
  <c r="IV5" i="22"/>
  <c r="IV3" i="22" l="1"/>
  <c r="IW5" i="22"/>
  <c r="IV6" i="22"/>
  <c r="IW6" i="22" l="1"/>
  <c r="IW3" i="22"/>
  <c r="IX5" i="22"/>
  <c r="IY5" i="22" l="1"/>
  <c r="IX6" i="22"/>
  <c r="IX3" i="22"/>
  <c r="IZ5" i="22" l="1"/>
  <c r="IY6" i="22"/>
  <c r="IY3" i="22"/>
  <c r="IZ3" i="22" l="1"/>
  <c r="IZ6" i="22"/>
  <c r="JA5" i="22"/>
  <c r="JA6" i="22" l="1"/>
  <c r="JB5" i="22"/>
  <c r="JA3" i="22"/>
  <c r="JB6" i="22" l="1"/>
  <c r="JB3" i="22"/>
  <c r="JC5" i="22"/>
  <c r="JC6" i="22" l="1"/>
  <c r="JD5" i="22"/>
  <c r="JC3" i="22"/>
  <c r="JE5" i="22" l="1"/>
  <c r="JD3" i="22"/>
  <c r="JD6" i="22"/>
  <c r="JE6" i="22" l="1"/>
  <c r="JF5" i="22"/>
  <c r="JE3" i="22"/>
  <c r="JG5" i="22" l="1"/>
  <c r="JF6" i="22"/>
  <c r="JF3" i="22"/>
  <c r="JH5" i="22" l="1"/>
  <c r="JG3" i="22"/>
  <c r="JG6" i="22"/>
  <c r="JH6" i="22" l="1"/>
  <c r="JH3" i="22"/>
  <c r="JI5" i="22"/>
  <c r="JI3" i="22" l="1"/>
  <c r="JI6" i="22"/>
  <c r="JJ5" i="22"/>
  <c r="JJ6" i="22" l="1"/>
  <c r="JJ3" i="22"/>
  <c r="JK5" i="22"/>
  <c r="JK3" i="22" l="1"/>
  <c r="JK6" i="22"/>
  <c r="JL5" i="22"/>
  <c r="JL3" i="22" l="1"/>
  <c r="JL6" i="22"/>
  <c r="JM5" i="22"/>
  <c r="JM6" i="22" l="1"/>
  <c r="JN5" i="22"/>
  <c r="JM3" i="22"/>
  <c r="JN6" i="22" l="1"/>
  <c r="JO5" i="22"/>
  <c r="JN3" i="22"/>
  <c r="JO6" i="22" l="1"/>
  <c r="JO3" i="22"/>
  <c r="JP5" i="22"/>
  <c r="JQ5" i="22" l="1"/>
  <c r="JP6" i="22"/>
  <c r="JP3" i="22"/>
  <c r="JQ6" i="22" l="1"/>
  <c r="JR5" i="22"/>
  <c r="JQ3" i="22"/>
  <c r="JS5" i="22" l="1"/>
  <c r="JR6" i="22"/>
  <c r="JR3" i="22"/>
  <c r="JS6" i="22" l="1"/>
  <c r="JS3" i="22"/>
  <c r="JT5" i="22"/>
  <c r="JU5" i="22" l="1"/>
  <c r="JT3" i="22"/>
  <c r="JT6" i="22"/>
  <c r="JV5" i="22" l="1"/>
  <c r="JU6" i="22"/>
  <c r="JU3" i="22"/>
  <c r="JV3" i="22" l="1"/>
  <c r="JV6" i="22"/>
  <c r="JW5" i="22"/>
  <c r="JW6" i="22" l="1"/>
  <c r="JX5" i="22"/>
  <c r="JW3" i="22"/>
  <c r="JX3" i="22" l="1"/>
  <c r="JX6" i="22"/>
  <c r="JY5" i="22"/>
  <c r="JY6" i="22" l="1"/>
  <c r="JZ5" i="22"/>
  <c r="JY3" i="22"/>
  <c r="JZ6" i="22" l="1"/>
  <c r="KA5" i="22"/>
  <c r="JZ3" i="22"/>
  <c r="KB5" i="22" l="1"/>
  <c r="KA6" i="22"/>
  <c r="KA3" i="22"/>
  <c r="KB6" i="22" l="1"/>
  <c r="KB3" i="22"/>
  <c r="KC5" i="22"/>
  <c r="KD5" i="22" l="1"/>
  <c r="KC3" i="22"/>
  <c r="KC6" i="22"/>
  <c r="KE5" i="22" l="1"/>
  <c r="KD6" i="22"/>
  <c r="KD3" i="22"/>
  <c r="KE6" i="22" l="1"/>
  <c r="KF5" i="22"/>
  <c r="KE3" i="22"/>
  <c r="KF6" i="22" l="1"/>
  <c r="KG5" i="22"/>
  <c r="KF3" i="22"/>
  <c r="KG6" i="22" l="1"/>
  <c r="KH5" i="22"/>
  <c r="KG3" i="22"/>
  <c r="KH6" i="22" l="1"/>
  <c r="KI5" i="22"/>
  <c r="KH3" i="22"/>
  <c r="KI3" i="22" l="1"/>
  <c r="KI6" i="22"/>
  <c r="KJ5" i="22"/>
  <c r="KJ3" i="22" l="1"/>
  <c r="KJ6" i="22"/>
  <c r="KK5" i="22"/>
  <c r="KK6" i="22" l="1"/>
  <c r="KL5" i="22"/>
  <c r="KK3" i="22"/>
  <c r="KL6" i="22" l="1"/>
  <c r="KM5" i="22"/>
  <c r="KL3" i="22"/>
  <c r="KN5" i="22" l="1"/>
  <c r="KM6" i="22"/>
  <c r="KM3" i="22"/>
  <c r="KO5" i="22" l="1"/>
  <c r="KN6" i="22"/>
  <c r="KN3" i="22"/>
  <c r="KO6" i="22" l="1"/>
  <c r="KO3" i="22"/>
  <c r="KP5" i="22"/>
  <c r="KQ5" i="22" l="1"/>
  <c r="KP6" i="22"/>
  <c r="KP3" i="22"/>
  <c r="KR5" i="22" l="1"/>
  <c r="KQ6" i="22"/>
  <c r="KQ3" i="22"/>
  <c r="KR3" i="22" l="1"/>
  <c r="KS5" i="22"/>
  <c r="KR6" i="22"/>
  <c r="KS6" i="22" l="1"/>
  <c r="KS3" i="22"/>
  <c r="KT5" i="22"/>
  <c r="KU5" i="22" l="1"/>
  <c r="KT3" i="22"/>
  <c r="KT6" i="22"/>
  <c r="KU3" i="22" l="1"/>
  <c r="KV5" i="22"/>
  <c r="KU6" i="22"/>
  <c r="KV3" i="22" l="1"/>
  <c r="KV6" i="22"/>
  <c r="KW5" i="22"/>
  <c r="KW6" i="22" l="1"/>
  <c r="KW3" i="22"/>
  <c r="KX5" i="22"/>
  <c r="KX6" i="22" l="1"/>
  <c r="KY5" i="22"/>
  <c r="KX3" i="22"/>
  <c r="KY6" i="22" l="1"/>
  <c r="KY3" i="22"/>
  <c r="KZ5" i="22"/>
  <c r="LA5" i="22" l="1"/>
  <c r="KZ6" i="22"/>
  <c r="KZ3" i="22"/>
  <c r="LB5" i="22" l="1"/>
  <c r="LA6" i="22"/>
  <c r="LA3" i="22"/>
  <c r="LC5" i="22" l="1"/>
  <c r="LB3" i="22"/>
  <c r="LB6" i="22"/>
  <c r="LC6" i="22" l="1"/>
  <c r="LC3" i="22"/>
  <c r="LD5" i="22"/>
  <c r="LE5" i="22" l="1"/>
  <c r="LD6" i="22"/>
  <c r="LD3" i="22"/>
  <c r="LE6" i="22" l="1"/>
  <c r="LF5" i="22"/>
  <c r="LE3" i="22"/>
  <c r="LF6" i="22" l="1"/>
  <c r="LF3" i="22"/>
  <c r="LG5" i="22"/>
  <c r="LH5" i="22" l="1"/>
  <c r="LG3" i="22"/>
  <c r="LG6" i="22"/>
  <c r="LH3" i="22" l="1"/>
  <c r="LH6" i="22"/>
  <c r="LI5" i="22"/>
  <c r="LI6" i="22" l="1"/>
  <c r="LJ5" i="22"/>
  <c r="LI3" i="22"/>
  <c r="LJ6" i="22" l="1"/>
  <c r="LJ3" i="22"/>
  <c r="LK5" i="22"/>
  <c r="LK6" i="22" l="1"/>
  <c r="LK3" i="22"/>
  <c r="LL5" i="22"/>
  <c r="LL3" i="22" l="1"/>
  <c r="LM5" i="22"/>
  <c r="LL6" i="22"/>
  <c r="LN5" i="22" l="1"/>
  <c r="LM3" i="22"/>
  <c r="LM6" i="22"/>
  <c r="LO5" i="22" l="1"/>
  <c r="LN6" i="22"/>
  <c r="LN3" i="22"/>
  <c r="LP5" i="22" l="1"/>
  <c r="LO3" i="22"/>
  <c r="LO6" i="22"/>
  <c r="LP6" i="22" l="1"/>
  <c r="LQ5" i="22"/>
  <c r="LP3" i="22"/>
  <c r="LR5" i="22" l="1"/>
  <c r="LQ6" i="22"/>
  <c r="LQ3" i="22"/>
  <c r="LR6" i="22" l="1"/>
  <c r="LS5" i="22"/>
  <c r="LR3" i="22"/>
  <c r="LS6" i="22" l="1"/>
  <c r="LT5" i="22"/>
  <c r="LS3" i="22"/>
  <c r="LT3" i="22" l="1"/>
  <c r="LT6" i="22"/>
  <c r="LU5" i="22"/>
  <c r="LU6" i="22" l="1"/>
  <c r="LU3" i="22"/>
  <c r="LV5" i="22"/>
  <c r="LV6" i="22" l="1"/>
  <c r="LW5" i="22"/>
  <c r="LV3" i="22"/>
  <c r="LW3" i="22" l="1"/>
  <c r="LW6" i="22"/>
  <c r="LX5" i="22"/>
  <c r="LX6" i="22" l="1"/>
  <c r="LY5" i="22"/>
  <c r="LX3" i="22"/>
  <c r="LY3" i="22" l="1"/>
  <c r="LY6" i="22"/>
  <c r="LZ5" i="22"/>
  <c r="MA5" i="22" l="1"/>
  <c r="LZ6" i="22"/>
  <c r="LZ3" i="22"/>
  <c r="MB5" i="22" l="1"/>
  <c r="MA3" i="22"/>
  <c r="MA6" i="22"/>
  <c r="MC5" i="22" l="1"/>
  <c r="MB3" i="22"/>
  <c r="MB6" i="22"/>
  <c r="MC6" i="22" l="1"/>
  <c r="MD5" i="22"/>
  <c r="MC3" i="22"/>
  <c r="MD3" i="22" l="1"/>
  <c r="MD6" i="22"/>
  <c r="ME5" i="22"/>
  <c r="MF5" i="22" l="1"/>
  <c r="ME6" i="22"/>
  <c r="ME3" i="22"/>
  <c r="MF3" i="22" l="1"/>
  <c r="MF6" i="22"/>
  <c r="MG5" i="22"/>
  <c r="MG6" i="22" l="1"/>
  <c r="MH5" i="22"/>
  <c r="MG3" i="22"/>
  <c r="MH6" i="22" l="1"/>
  <c r="MI5" i="22"/>
  <c r="MH3" i="22"/>
  <c r="MI6" i="22" l="1"/>
  <c r="MI3" i="22"/>
  <c r="MJ5" i="22"/>
  <c r="MJ3" i="22" l="1"/>
  <c r="MJ6" i="22"/>
  <c r="MK5" i="22"/>
  <c r="MK6" i="22" l="1"/>
  <c r="ML5" i="22"/>
  <c r="MK3" i="22"/>
  <c r="MM5" i="22" l="1"/>
  <c r="ML6" i="22"/>
  <c r="ML3" i="22"/>
  <c r="MN5" i="22" l="1"/>
  <c r="MM6" i="22"/>
  <c r="MM3" i="22"/>
  <c r="MN6" i="22" l="1"/>
  <c r="MO5" i="22"/>
  <c r="MN3" i="22"/>
  <c r="MO6" i="22" l="1"/>
  <c r="MO3" i="22"/>
  <c r="MP5" i="22"/>
  <c r="MP6" i="22" l="1"/>
  <c r="MQ5" i="22"/>
  <c r="MP3" i="22"/>
  <c r="MR5" i="22" l="1"/>
  <c r="MQ6" i="22"/>
  <c r="MQ3" i="22"/>
  <c r="MR3" i="22" l="1"/>
  <c r="MR6" i="22"/>
  <c r="MS5" i="22"/>
  <c r="MS6" i="22" l="1"/>
  <c r="MT5" i="22"/>
  <c r="MS3" i="22"/>
  <c r="MT6" i="22" l="1"/>
  <c r="MU5" i="22"/>
  <c r="MT3" i="22"/>
  <c r="MU3" i="22" l="1"/>
  <c r="MU6" i="22"/>
  <c r="MV5" i="22"/>
  <c r="MV6" i="22" l="1"/>
  <c r="MW5" i="22"/>
  <c r="MV3" i="22"/>
  <c r="MW3" i="22" l="1"/>
  <c r="MX5" i="22"/>
  <c r="MW6" i="22"/>
  <c r="MY5" i="22" l="1"/>
  <c r="MX6" i="22"/>
  <c r="MX3" i="22"/>
  <c r="MZ5" i="22" l="1"/>
  <c r="MY6" i="22"/>
  <c r="MY3" i="22"/>
  <c r="MZ6" i="22" l="1"/>
  <c r="NA5" i="22"/>
  <c r="MZ3" i="22"/>
  <c r="NA6" i="22" l="1"/>
  <c r="NA3" i="22"/>
  <c r="NB5" i="22"/>
  <c r="NB6" i="22" l="1"/>
  <c r="NB3" i="22"/>
  <c r="NC5" i="22"/>
  <c r="NC6" i="22" l="1"/>
  <c r="ND5" i="22"/>
  <c r="NC3" i="22"/>
  <c r="ND3" i="22" l="1"/>
  <c r="ND6" i="22"/>
  <c r="NE5" i="22"/>
  <c r="NE6" i="22" l="1"/>
  <c r="NF5" i="22"/>
  <c r="NE3" i="22"/>
  <c r="NF6" i="22" l="1"/>
  <c r="NG5" i="22"/>
  <c r="NF3" i="22"/>
  <c r="NH5" i="22" l="1"/>
  <c r="NG6" i="22"/>
  <c r="NG3" i="22"/>
  <c r="NH3" i="22" l="1"/>
  <c r="NH6" i="22"/>
  <c r="NI5" i="22"/>
  <c r="NI6" i="22" l="1"/>
  <c r="NI3" i="22"/>
  <c r="NJ5" i="22"/>
  <c r="NK5" i="22" l="1"/>
  <c r="NJ3" i="22"/>
  <c r="NJ6" i="22"/>
  <c r="NL5" i="22" l="1"/>
  <c r="NK3" i="22"/>
  <c r="NK6" i="22"/>
  <c r="NL6" i="22" l="1"/>
  <c r="NM5" i="22"/>
  <c r="NL3" i="22"/>
  <c r="NM3" i="22" l="1"/>
  <c r="NN5" i="22"/>
  <c r="NM6" i="22"/>
  <c r="NN6" i="22" l="1"/>
  <c r="NO5" i="22"/>
  <c r="NN3" i="22"/>
  <c r="NO6" i="22" l="1"/>
  <c r="NO3" i="22"/>
  <c r="NP5" i="22"/>
  <c r="NP3" i="22" l="1"/>
  <c r="NP6" i="22"/>
  <c r="NQ5" i="22"/>
  <c r="NQ6" i="22" l="1"/>
  <c r="NR5" i="22"/>
  <c r="NQ3" i="22"/>
  <c r="NR6" i="22" l="1"/>
  <c r="NS5" i="22"/>
  <c r="NR3" i="22"/>
  <c r="NT5" i="22" l="1"/>
  <c r="NS3" i="22"/>
  <c r="NS6" i="22"/>
  <c r="NT6" i="22" l="1"/>
  <c r="NT3" i="22"/>
  <c r="NU5" i="22"/>
  <c r="NV5" i="22" l="1"/>
  <c r="NU3" i="22"/>
  <c r="NU6" i="22"/>
  <c r="NW5" i="22" l="1"/>
  <c r="NV6" i="22"/>
  <c r="NV3" i="22"/>
  <c r="NX5" i="22" l="1"/>
  <c r="NW3" i="22"/>
  <c r="NW6" i="22"/>
  <c r="NX6" i="22" l="1"/>
  <c r="NY5" i="22"/>
  <c r="NX3" i="22"/>
  <c r="NY6" i="22" l="1"/>
  <c r="NY3" i="22"/>
  <c r="NZ5" i="22"/>
  <c r="NZ6" i="22" l="1"/>
  <c r="OA5" i="22"/>
  <c r="NZ3" i="22"/>
  <c r="OA3" i="22" l="1"/>
  <c r="OA6" i="22"/>
  <c r="OB5" i="22"/>
  <c r="OB3" i="22" l="1"/>
  <c r="OB6" i="22"/>
  <c r="OC5" i="22"/>
  <c r="OC6" i="22" l="1"/>
  <c r="OC3" i="22"/>
  <c r="OD5" i="22"/>
  <c r="OD6" i="22" l="1"/>
  <c r="OD3" i="22"/>
  <c r="OE5" i="22"/>
  <c r="OE3" i="22" l="1"/>
  <c r="OE6" i="22"/>
  <c r="OF5" i="22"/>
  <c r="OF6" i="22" l="1"/>
  <c r="OG5" i="22"/>
  <c r="OF3" i="22"/>
  <c r="OH5" i="22" l="1"/>
  <c r="OG6" i="22"/>
  <c r="OG3" i="22"/>
  <c r="OI5" i="22" l="1"/>
  <c r="OH3" i="22"/>
  <c r="OH6" i="22"/>
  <c r="OJ5" i="22" l="1"/>
  <c r="OI6" i="22"/>
  <c r="OI3" i="22"/>
  <c r="OJ3" i="22" l="1"/>
  <c r="OJ6" i="22"/>
  <c r="OK5" i="22"/>
  <c r="OL5" i="22" l="1"/>
  <c r="OK6" i="22"/>
  <c r="OK3" i="22"/>
  <c r="OL6" i="22" l="1"/>
  <c r="OM5" i="22"/>
  <c r="OL3" i="22"/>
  <c r="OM6" i="22" l="1"/>
  <c r="ON5" i="22"/>
  <c r="OM3" i="22"/>
  <c r="ON3" i="22" l="1"/>
  <c r="ON6" i="22"/>
  <c r="OO5" i="22"/>
  <c r="OO6" i="22" l="1"/>
  <c r="OP5" i="22"/>
  <c r="OO3" i="22"/>
  <c r="OP6" i="22" l="1"/>
  <c r="OQ5" i="22"/>
  <c r="OP3" i="22"/>
  <c r="OQ6" i="22" l="1"/>
  <c r="OR5" i="22"/>
  <c r="OQ3" i="22"/>
  <c r="OR3" i="22" l="1"/>
  <c r="OS5" i="22"/>
  <c r="OR6" i="22"/>
  <c r="OS6" i="22" l="1"/>
  <c r="OT5" i="22"/>
  <c r="OS3" i="22"/>
  <c r="OU5" i="22" l="1"/>
  <c r="OT3" i="22"/>
  <c r="OT6" i="22"/>
  <c r="OV5" i="22" l="1"/>
  <c r="OU3" i="22"/>
  <c r="OU6" i="22"/>
  <c r="OV6" i="22" l="1"/>
  <c r="OW5" i="22"/>
  <c r="OV3" i="22"/>
  <c r="OW3" i="22" l="1"/>
  <c r="OX5" i="22"/>
  <c r="OW6" i="22"/>
  <c r="OX6" i="22" l="1"/>
  <c r="OY5" i="22"/>
  <c r="OX3" i="22"/>
  <c r="OZ5" i="22" l="1"/>
  <c r="OY6" i="22"/>
  <c r="OY3" i="22"/>
  <c r="OZ3" i="22" l="1"/>
  <c r="OZ6" i="22"/>
  <c r="PA5" i="22"/>
  <c r="PA6" i="22" l="1"/>
  <c r="PB5" i="22"/>
  <c r="PA3" i="22"/>
  <c r="PB6" i="22" l="1"/>
  <c r="PC5" i="22"/>
  <c r="PB3" i="22"/>
  <c r="PC3" i="22" l="1"/>
  <c r="PC6" i="22"/>
  <c r="PD5" i="22"/>
  <c r="PD6" i="22" l="1"/>
  <c r="PE5" i="22"/>
  <c r="PD3" i="22"/>
  <c r="PE6" i="22" l="1"/>
  <c r="PF5" i="22"/>
  <c r="PE3" i="22"/>
  <c r="PG5" i="22" l="1"/>
  <c r="PF6" i="22"/>
  <c r="PF3" i="22"/>
  <c r="PH5" i="22" l="1"/>
  <c r="PG6" i="22"/>
  <c r="PG3" i="22"/>
  <c r="PH3" i="22" l="1"/>
  <c r="PH6" i="22"/>
  <c r="PI5" i="22"/>
  <c r="PI6" i="22" l="1"/>
  <c r="PJ5" i="22"/>
  <c r="PI3" i="22"/>
  <c r="PJ6" i="22" l="1"/>
  <c r="PJ3" i="22"/>
  <c r="PK5" i="22"/>
  <c r="PL5" i="22" l="1"/>
  <c r="PK3" i="22"/>
  <c r="PK6" i="22"/>
  <c r="PL3" i="22" l="1"/>
  <c r="PL6" i="22"/>
  <c r="PM5" i="22"/>
  <c r="PM6" i="22" l="1"/>
  <c r="PN5" i="22"/>
  <c r="PM3" i="22"/>
  <c r="PN6" i="22" l="1"/>
  <c r="PN3" i="22"/>
  <c r="PO5" i="22"/>
  <c r="PO3" i="22" l="1"/>
  <c r="PP5" i="22"/>
  <c r="PO6" i="22"/>
  <c r="PP6" i="22" l="1"/>
  <c r="PQ5" i="22"/>
  <c r="PP3" i="22"/>
  <c r="PR5" i="22" l="1"/>
  <c r="PQ6" i="22"/>
  <c r="PQ3" i="22"/>
  <c r="PS5" i="22" l="1"/>
  <c r="PR6" i="22"/>
  <c r="PR3" i="22"/>
  <c r="PT5" i="22" l="1"/>
  <c r="PS6" i="22"/>
  <c r="PS3" i="22"/>
  <c r="PT6" i="22" l="1"/>
  <c r="PU5" i="22"/>
  <c r="PT3" i="22"/>
  <c r="PU3" i="22" l="1"/>
  <c r="PU6" i="22"/>
  <c r="PV5" i="22"/>
  <c r="PV6" i="22" l="1"/>
  <c r="PV3" i="22"/>
  <c r="PW5" i="22"/>
  <c r="PW3" i="22" l="1"/>
  <c r="PW6" i="22"/>
  <c r="PX5" i="22"/>
  <c r="PX3" i="22" l="1"/>
  <c r="PX6" i="22"/>
  <c r="PY5" i="22"/>
  <c r="PY6" i="22" l="1"/>
  <c r="PZ5" i="22"/>
  <c r="PY3" i="22"/>
  <c r="PZ6" i="22" l="1"/>
  <c r="QA5" i="22"/>
  <c r="PZ3" i="22"/>
  <c r="QA3" i="22" l="1"/>
  <c r="QB5" i="22"/>
  <c r="QA6" i="22"/>
  <c r="QB6" i="22" l="1"/>
  <c r="QB3" i="22"/>
  <c r="QC5" i="22"/>
  <c r="QC6" i="22" l="1"/>
  <c r="QC3" i="22"/>
  <c r="QD5" i="22"/>
  <c r="QE5" i="22" l="1"/>
  <c r="QD6" i="22"/>
  <c r="QD3" i="22"/>
  <c r="QF5" i="22" l="1"/>
  <c r="QE3" i="22"/>
  <c r="QE6" i="22"/>
  <c r="QF6" i="22" l="1"/>
  <c r="QG5" i="22"/>
  <c r="QF3" i="22"/>
  <c r="QG6" i="22" l="1"/>
  <c r="QG3" i="22"/>
  <c r="QH5" i="22"/>
  <c r="QH6" i="22" l="1"/>
  <c r="QH3" i="22"/>
  <c r="QI5" i="22"/>
  <c r="QI6" i="22" l="1"/>
  <c r="QI3" i="22"/>
  <c r="P61" i="20" l="1"/>
  <c r="P60" i="20"/>
  <c r="P59" i="20"/>
  <c r="P58" i="20"/>
  <c r="P57" i="20"/>
  <c r="P56" i="20"/>
  <c r="P55" i="20"/>
  <c r="P54" i="20"/>
  <c r="P53" i="20"/>
  <c r="P52" i="20"/>
  <c r="P51" i="20"/>
  <c r="P50" i="20"/>
  <c r="P49" i="20"/>
  <c r="P48" i="20"/>
  <c r="P47" i="20"/>
  <c r="P46" i="20"/>
  <c r="P45" i="20"/>
  <c r="P44" i="20"/>
  <c r="P43" i="20"/>
  <c r="P42" i="20"/>
  <c r="P41" i="20"/>
  <c r="P40" i="20"/>
  <c r="P39" i="20"/>
  <c r="P38" i="20"/>
  <c r="P37" i="20"/>
  <c r="P36" i="20"/>
  <c r="P35" i="20"/>
  <c r="P34" i="20"/>
  <c r="P33" i="20"/>
  <c r="P32" i="20"/>
  <c r="P31" i="20"/>
  <c r="P30" i="20"/>
  <c r="P29" i="20"/>
  <c r="P28" i="20"/>
  <c r="P27" i="20"/>
  <c r="P26" i="20"/>
  <c r="P25" i="20"/>
  <c r="P24" i="20"/>
  <c r="P19" i="20"/>
  <c r="P18" i="20"/>
  <c r="P17" i="20"/>
  <c r="P16" i="20"/>
  <c r="P15" i="20"/>
  <c r="M3" i="20"/>
  <c r="I3" i="20" s="1"/>
  <c r="F3" i="20" s="1"/>
  <c r="C3" i="20" s="1"/>
  <c r="D1" i="20"/>
  <c r="D22" i="9" l="1"/>
  <c r="D21" i="9"/>
  <c r="D20" i="9"/>
  <c r="D19" i="9"/>
  <c r="D18" i="9"/>
  <c r="D16" i="9"/>
  <c r="D15" i="9"/>
  <c r="D17" i="9"/>
  <c r="E8" i="9" l="1"/>
  <c r="E9" i="9"/>
  <c r="E10" i="9"/>
  <c r="E11" i="9"/>
  <c r="E12" i="9"/>
  <c r="D8" i="9"/>
  <c r="E7" i="9" l="1"/>
  <c r="D9" i="9"/>
  <c r="D7" i="9"/>
  <c r="D5" i="9"/>
  <c r="E5" i="9"/>
  <c r="D10" i="9" l="1"/>
  <c r="D11" i="9"/>
  <c r="D12" i="9"/>
  <c r="Q39" i="20" l="1"/>
  <c r="Q48" i="20"/>
  <c r="Q13" i="20"/>
  <c r="Q64" i="20"/>
  <c r="Q18" i="20"/>
  <c r="Q65" i="20"/>
  <c r="Q21" i="20"/>
  <c r="Q41" i="20"/>
  <c r="Q51" i="20"/>
  <c r="Q45" i="20"/>
  <c r="Q56" i="20"/>
  <c r="Q7" i="20"/>
  <c r="Q49" i="20"/>
  <c r="Q34" i="20"/>
  <c r="Q6" i="20"/>
  <c r="Q31" i="20"/>
  <c r="Q47" i="20"/>
  <c r="Q17" i="20"/>
  <c r="Q58" i="20"/>
  <c r="Q61" i="20"/>
  <c r="Q30" i="20"/>
  <c r="Q10" i="20"/>
  <c r="Q59" i="20"/>
  <c r="Q8" i="20"/>
  <c r="Q28" i="20"/>
  <c r="Q25" i="20"/>
  <c r="Q15" i="20"/>
  <c r="Q14" i="20"/>
  <c r="Q9" i="20"/>
  <c r="Q33" i="20"/>
  <c r="Q35" i="20"/>
  <c r="Q55" i="20"/>
  <c r="Q54" i="20"/>
  <c r="Q37" i="20"/>
  <c r="Q38" i="20"/>
  <c r="Q66" i="20"/>
  <c r="Q57" i="20"/>
  <c r="Q24" i="20"/>
  <c r="Q53" i="20"/>
  <c r="Q44" i="20"/>
  <c r="Q36" i="20"/>
  <c r="Q42" i="20"/>
  <c r="Q52" i="20"/>
  <c r="Q23" i="20"/>
  <c r="Q62" i="20"/>
  <c r="Q5" i="20"/>
  <c r="Q12" i="20"/>
  <c r="Q4" i="20"/>
  <c r="M4" i="20" s="1"/>
  <c r="I4" i="20" s="1"/>
  <c r="Q22" i="20"/>
  <c r="Q19" i="20"/>
  <c r="Q32" i="20"/>
  <c r="Q27" i="20"/>
  <c r="Q20" i="20"/>
  <c r="Q46" i="20"/>
  <c r="Q63" i="20"/>
  <c r="Q43" i="20"/>
  <c r="Q11" i="20"/>
  <c r="Q60" i="20"/>
  <c r="Q50" i="20"/>
  <c r="Q16" i="20"/>
  <c r="Q67" i="20"/>
  <c r="Q26" i="20"/>
  <c r="Q29" i="20"/>
  <c r="Q40" i="20"/>
  <c r="M38" i="20" l="1"/>
  <c r="I38" i="20" s="1"/>
  <c r="M59" i="20"/>
  <c r="I59" i="20" s="1"/>
  <c r="M56" i="20"/>
  <c r="I56" i="20" s="1"/>
  <c r="M10" i="20"/>
  <c r="I10" i="20" s="1"/>
  <c r="M45" i="20"/>
  <c r="I45" i="20" s="1"/>
  <c r="M44" i="20"/>
  <c r="I44" i="20" s="1"/>
  <c r="M19" i="20"/>
  <c r="I19" i="20" s="1"/>
  <c r="M8" i="20"/>
  <c r="I8" i="20" s="1"/>
  <c r="M60" i="20"/>
  <c r="I60" i="20" s="1"/>
  <c r="M11" i="20"/>
  <c r="I11" i="20" s="1"/>
  <c r="M43" i="20"/>
  <c r="I43" i="20" s="1"/>
  <c r="M62" i="20"/>
  <c r="I62" i="20" s="1"/>
  <c r="M54" i="20"/>
  <c r="I54" i="20" s="1"/>
  <c r="M30" i="20"/>
  <c r="I30" i="20" s="1"/>
  <c r="M51" i="20"/>
  <c r="I51" i="20" s="1"/>
  <c r="M29" i="20"/>
  <c r="I29" i="20" s="1"/>
  <c r="M26" i="20"/>
  <c r="I26" i="20" s="1"/>
  <c r="M6" i="20"/>
  <c r="I6" i="20" s="1"/>
  <c r="M22" i="20"/>
  <c r="I22" i="20" s="1"/>
  <c r="M57" i="20"/>
  <c r="I57" i="20" s="1"/>
  <c r="M28" i="20"/>
  <c r="I28" i="20" s="1"/>
  <c r="M49" i="20"/>
  <c r="I49" i="20" s="1"/>
  <c r="M50" i="20"/>
  <c r="I50" i="20" s="1"/>
  <c r="M66" i="20"/>
  <c r="I66" i="20" s="1"/>
  <c r="M7" i="20"/>
  <c r="I7" i="20" s="1"/>
  <c r="M12" i="20"/>
  <c r="I12" i="20" s="1"/>
  <c r="M5" i="20"/>
  <c r="I5" i="20" s="1"/>
  <c r="M37" i="20"/>
  <c r="I37" i="20" s="1"/>
  <c r="M63" i="20"/>
  <c r="I63" i="20" s="1"/>
  <c r="M23" i="20"/>
  <c r="I23" i="20" s="1"/>
  <c r="M55" i="20"/>
  <c r="I55" i="20" s="1"/>
  <c r="M61" i="20"/>
  <c r="I61" i="20" s="1"/>
  <c r="M41" i="20"/>
  <c r="I41" i="20" s="1"/>
  <c r="M21" i="20"/>
  <c r="I21" i="20" s="1"/>
  <c r="M27" i="20"/>
  <c r="I27" i="20" s="1"/>
  <c r="M32" i="20"/>
  <c r="I32" i="20" s="1"/>
  <c r="M53" i="20"/>
  <c r="I53" i="20" s="1"/>
  <c r="M16" i="20"/>
  <c r="I16" i="20" s="1"/>
  <c r="F4" i="20"/>
  <c r="C4" i="20" s="1"/>
  <c r="M46" i="20"/>
  <c r="I46" i="20" s="1"/>
  <c r="M52" i="20"/>
  <c r="I52" i="20" s="1"/>
  <c r="M35" i="20"/>
  <c r="I35" i="20" s="1"/>
  <c r="M58" i="20"/>
  <c r="I58" i="20" s="1"/>
  <c r="M20" i="20"/>
  <c r="I20" i="20" s="1"/>
  <c r="M42" i="20"/>
  <c r="I42" i="20" s="1"/>
  <c r="M33" i="20"/>
  <c r="I33" i="20" s="1"/>
  <c r="M17" i="20"/>
  <c r="I17" i="20" s="1"/>
  <c r="M65" i="20"/>
  <c r="I65" i="20" s="1"/>
  <c r="M36" i="20"/>
  <c r="I36" i="20" s="1"/>
  <c r="M9" i="20"/>
  <c r="I9" i="20" s="1"/>
  <c r="M47" i="20"/>
  <c r="I47" i="20" s="1"/>
  <c r="M18" i="20"/>
  <c r="I18" i="20" s="1"/>
  <c r="M31" i="20"/>
  <c r="I31" i="20" s="1"/>
  <c r="M64" i="20"/>
  <c r="I64" i="20" s="1"/>
  <c r="M13" i="20"/>
  <c r="I13" i="20" s="1"/>
  <c r="M40" i="20"/>
  <c r="I40" i="20" s="1"/>
  <c r="M14" i="20"/>
  <c r="I14" i="20" s="1"/>
  <c r="M15" i="20"/>
  <c r="I15" i="20" s="1"/>
  <c r="M67" i="20"/>
  <c r="I67" i="20" s="1"/>
  <c r="M24" i="20"/>
  <c r="I24" i="20" s="1"/>
  <c r="M25" i="20"/>
  <c r="I25" i="20" s="1"/>
  <c r="M34" i="20"/>
  <c r="I34" i="20" s="1"/>
  <c r="M48" i="20"/>
  <c r="I48" i="20" s="1"/>
  <c r="M39" i="20"/>
  <c r="I39" i="20" s="1"/>
  <c r="F6" i="20" l="1"/>
  <c r="C6" i="20" s="1"/>
  <c r="F42" i="20"/>
  <c r="C42" i="20" s="1"/>
  <c r="F31" i="20"/>
  <c r="C31" i="20" s="1"/>
  <c r="F18" i="20"/>
  <c r="C18" i="20" s="1"/>
  <c r="F21" i="20"/>
  <c r="C21" i="20" s="1"/>
  <c r="F9" i="20"/>
  <c r="C9" i="20" s="1"/>
  <c r="F44" i="20"/>
  <c r="C44" i="20" s="1"/>
  <c r="F34" i="20"/>
  <c r="C34" i="20" s="1"/>
  <c r="F5" i="20"/>
  <c r="C5" i="20" s="1"/>
  <c r="F32" i="20"/>
  <c r="C32" i="20" s="1"/>
  <c r="F26" i="20"/>
  <c r="C26" i="20" s="1"/>
  <c r="F47" i="20"/>
  <c r="C47" i="20" s="1"/>
  <c r="F51" i="20"/>
  <c r="C51" i="20" s="1"/>
  <c r="F35" i="20"/>
  <c r="C35" i="20" s="1"/>
  <c r="F15" i="20"/>
  <c r="C15" i="20" s="1"/>
  <c r="F56" i="20"/>
  <c r="C56" i="20" s="1"/>
  <c r="F60" i="20"/>
  <c r="C60" i="20" s="1"/>
  <c r="F27" i="20"/>
  <c r="C27" i="20" s="1"/>
  <c r="F29" i="20"/>
  <c r="C29" i="20" s="1"/>
  <c r="F41" i="20"/>
  <c r="C41" i="20" s="1"/>
  <c r="F67" i="20"/>
  <c r="C67" i="20" s="1"/>
  <c r="F66" i="20"/>
  <c r="C66" i="20" s="1"/>
  <c r="F52" i="20"/>
  <c r="C52" i="20" s="1"/>
  <c r="F50" i="20"/>
  <c r="C50" i="20" s="1"/>
  <c r="F45" i="20"/>
  <c r="C45" i="20" s="1"/>
  <c r="F14" i="20"/>
  <c r="C14" i="20" s="1"/>
  <c r="F46" i="20"/>
  <c r="C46" i="20" s="1"/>
  <c r="F49" i="20"/>
  <c r="C49" i="20" s="1"/>
  <c r="F10" i="20"/>
  <c r="C10" i="20" s="1"/>
  <c r="F40" i="20"/>
  <c r="C40" i="20" s="1"/>
  <c r="F28" i="20"/>
  <c r="C28" i="20" s="1"/>
  <c r="F65" i="20"/>
  <c r="C65" i="20" s="1"/>
  <c r="F23" i="20"/>
  <c r="C23" i="20" s="1"/>
  <c r="F62" i="20"/>
  <c r="C62" i="20" s="1"/>
  <c r="F39" i="20"/>
  <c r="C39" i="20" s="1"/>
  <c r="F17" i="20"/>
  <c r="C17" i="20" s="1"/>
  <c r="F63" i="20"/>
  <c r="C63" i="20" s="1"/>
  <c r="F43" i="20"/>
  <c r="C43" i="20" s="1"/>
  <c r="F48" i="20"/>
  <c r="C48" i="20" s="1"/>
  <c r="F33" i="20"/>
  <c r="C33" i="20" s="1"/>
  <c r="F37" i="20"/>
  <c r="C37" i="20" s="1"/>
  <c r="F11" i="20"/>
  <c r="C11" i="20" s="1"/>
  <c r="F25" i="20"/>
  <c r="C25" i="20" s="1"/>
  <c r="F13" i="20"/>
  <c r="C13" i="20" s="1"/>
  <c r="F36" i="20"/>
  <c r="C36" i="20" s="1"/>
  <c r="F20" i="20"/>
  <c r="C20" i="20" s="1"/>
  <c r="F16" i="20"/>
  <c r="C16" i="20" s="1"/>
  <c r="F61" i="20"/>
  <c r="C61" i="20" s="1"/>
  <c r="F12" i="20"/>
  <c r="C12" i="20" s="1"/>
  <c r="F57" i="20"/>
  <c r="C57" i="20" s="1"/>
  <c r="F30" i="20"/>
  <c r="C30" i="20" s="1"/>
  <c r="F8" i="20"/>
  <c r="C8" i="20" s="1"/>
  <c r="F59" i="20"/>
  <c r="C59" i="20" s="1"/>
  <c r="F24" i="20"/>
  <c r="C24" i="20" s="1"/>
  <c r="F64" i="20"/>
  <c r="C64" i="20" s="1"/>
  <c r="F58" i="20"/>
  <c r="C58" i="20" s="1"/>
  <c r="F53" i="20"/>
  <c r="C53" i="20" s="1"/>
  <c r="F55" i="20"/>
  <c r="C55" i="20" s="1"/>
  <c r="F7" i="20"/>
  <c r="C7" i="20" s="1"/>
  <c r="F22" i="20"/>
  <c r="C22" i="20" s="1"/>
  <c r="F54" i="20"/>
  <c r="C54" i="20" s="1"/>
  <c r="F19" i="20"/>
  <c r="C19" i="20" s="1"/>
  <c r="F38" i="20"/>
  <c r="C38" i="20" s="1"/>
</calcChain>
</file>

<file path=xl/sharedStrings.xml><?xml version="1.0" encoding="utf-8"?>
<sst xmlns="http://schemas.openxmlformats.org/spreadsheetml/2006/main" count="1792" uniqueCount="494">
  <si>
    <t>SC de Excavación y eliminación</t>
  </si>
  <si>
    <t>SC de Anclajes</t>
  </si>
  <si>
    <t>SC de Acero</t>
  </si>
  <si>
    <t>Concreto premezclado</t>
  </si>
  <si>
    <t>SC de Encofrado</t>
  </si>
  <si>
    <t>SC de Pre losas</t>
  </si>
  <si>
    <t>SC de Torre Grua</t>
  </si>
  <si>
    <t>SC de Instalaciones Electricas</t>
  </si>
  <si>
    <t>SC de Instalaciones Sanitarias</t>
  </si>
  <si>
    <t>SC de Instalacion de GN</t>
  </si>
  <si>
    <t>SC de ACI</t>
  </si>
  <si>
    <t>SC de Bombas</t>
  </si>
  <si>
    <t>IIMM</t>
  </si>
  <si>
    <t>Placas eléctricas</t>
  </si>
  <si>
    <t>Luminarias Sótanos</t>
  </si>
  <si>
    <t>Luminaria Área Común</t>
  </si>
  <si>
    <t>CCTV (redes)</t>
  </si>
  <si>
    <t>CCTV (Equipamiento)</t>
  </si>
  <si>
    <t>SUBCONTRATA O PROVEEDOR SELECCIONADO</t>
  </si>
  <si>
    <t>Fecha</t>
  </si>
  <si>
    <t>Fecha:</t>
  </si>
  <si>
    <t>Cerrado</t>
  </si>
  <si>
    <t>Pendiente</t>
  </si>
  <si>
    <t>Enchapes (importación)</t>
  </si>
  <si>
    <t>Asensores (importación)</t>
  </si>
  <si>
    <t>Griferías y aparatos sanitarios(importación)</t>
  </si>
  <si>
    <t>Piso SPC (importación)</t>
  </si>
  <si>
    <t>SC PTAG</t>
  </si>
  <si>
    <t>FECHA</t>
  </si>
  <si>
    <t>STATUS</t>
  </si>
  <si>
    <t>Obra</t>
  </si>
  <si>
    <t>INICIO DE OBRA</t>
  </si>
  <si>
    <t>Observación</t>
  </si>
  <si>
    <t>SC de Postensado</t>
  </si>
  <si>
    <t>SC Vaceado de concreto</t>
  </si>
  <si>
    <t>ACABADOS HÚMEDOS</t>
  </si>
  <si>
    <t>Limpieza fina</t>
  </si>
  <si>
    <t>Fases de la Obra</t>
  </si>
  <si>
    <t>ACABADOS SECOS</t>
  </si>
  <si>
    <t>Acero corrugado</t>
  </si>
  <si>
    <t>SC de escuadras metálicas y escalera de acceso</t>
  </si>
  <si>
    <t>SC de Paneles Fotovoltaicos</t>
  </si>
  <si>
    <t>SC de Demolición</t>
  </si>
  <si>
    <t>SC de Topografia</t>
  </si>
  <si>
    <t>SC Cal nieve sotanos</t>
  </si>
  <si>
    <t>SC Impermeabilización Cisterna</t>
  </si>
  <si>
    <t>SC Tarrajeos Torre</t>
  </si>
  <si>
    <t>SC Tarrajeo Exterior</t>
  </si>
  <si>
    <t>SC Forjados Escaleras</t>
  </si>
  <si>
    <t>SC Ladrillo silico calcareo Torre</t>
  </si>
  <si>
    <t>SC Ladrillo silico calcareo Sotano</t>
  </si>
  <si>
    <t>SC Nivelacion de pisos y contrapisos.</t>
  </si>
  <si>
    <t>SC Enchapes Torre(MO)</t>
  </si>
  <si>
    <t>SC Enchape Área Común(MO)</t>
  </si>
  <si>
    <t>SC Enchape Lobby(MO)</t>
  </si>
  <si>
    <t>SC Pintura Torre</t>
  </si>
  <si>
    <t>SC Pintura Área Común</t>
  </si>
  <si>
    <t>SC Pintura Exterior</t>
  </si>
  <si>
    <t>SC Pintura Trafico</t>
  </si>
  <si>
    <t>SC Muebles cocina</t>
  </si>
  <si>
    <t>SC Closets</t>
  </si>
  <si>
    <t>SC Carpintería Metálica Sótanos</t>
  </si>
  <si>
    <t>SC Carpintería Metálica Escaleras</t>
  </si>
  <si>
    <t>SC Puertas Madera Sótano</t>
  </si>
  <si>
    <t>SC Puertas Madera torre</t>
  </si>
  <si>
    <t>SC Mampara Lobby</t>
  </si>
  <si>
    <t>SC Puertas Ducto Montantes</t>
  </si>
  <si>
    <t>SC Puertas Corta Fuego</t>
  </si>
  <si>
    <t>SC Ascensor(MO)</t>
  </si>
  <si>
    <t>SC Pisos SPC (MO)</t>
  </si>
  <si>
    <t>SC Ladrillo Rococho</t>
  </si>
  <si>
    <t>SC Concreto expuesto</t>
  </si>
  <si>
    <t>SC de Vigas Metálicas Decorativas</t>
  </si>
  <si>
    <t>SC Impermeabilización Jardineras</t>
  </si>
  <si>
    <t>SC Áreas Verdes</t>
  </si>
  <si>
    <t>SC Mueble Counter</t>
  </si>
  <si>
    <t>SC Puerta de cochera</t>
  </si>
  <si>
    <t>SC de Central de Alarma Contra incendio(equipamiento)</t>
  </si>
  <si>
    <t>SC de Intercomunicadores</t>
  </si>
  <si>
    <t>SC Domótica (redes y equipamiento)</t>
  </si>
  <si>
    <t>SC de Equipamiento piscina</t>
  </si>
  <si>
    <t>Fechas Hito para el cumplimiento del Plan de Procura</t>
  </si>
  <si>
    <t>Inicio de ejecución</t>
  </si>
  <si>
    <t>FIN MUROS ANCLADOS</t>
  </si>
  <si>
    <t>SC Drywall</t>
  </si>
  <si>
    <t>TORRE PISO 10</t>
  </si>
  <si>
    <t>FIN DE TORRE</t>
  </si>
  <si>
    <t>FIN DE SÓTANOS Y CISTERNAS</t>
  </si>
  <si>
    <t>HITO DE LA OBRA</t>
  </si>
  <si>
    <t>Fecha de Selección de Subcontrata y/o proveedor</t>
  </si>
  <si>
    <t>Tiempo de negociación y aprobación de gerencia (d)</t>
  </si>
  <si>
    <t>Tiempo de generación de OS/OC (d)</t>
  </si>
  <si>
    <t>Fecha de firma de contrato</t>
  </si>
  <si>
    <t>FIN DE SÓTANOS Y CISTERNA</t>
  </si>
  <si>
    <t>Tiempo de preparación de inicio y/o importación (d)</t>
  </si>
  <si>
    <t>SC Tableros de cocina (importación)</t>
  </si>
  <si>
    <t>SC Tableros de Baño(importación)</t>
  </si>
  <si>
    <t>SC Ventanas y Mamparas Torre (importación)</t>
  </si>
  <si>
    <t>Ascensores (importación)</t>
  </si>
  <si>
    <t>SC de techo ducto</t>
  </si>
  <si>
    <t>SC Acabados lobby</t>
  </si>
  <si>
    <t>SC Obras Exteriores</t>
  </si>
  <si>
    <t xml:space="preserve">SC Esquineros </t>
  </si>
  <si>
    <t>SC Señaletica</t>
  </si>
  <si>
    <t>SC Tope llantas</t>
  </si>
  <si>
    <t>CS Limpieza fina</t>
  </si>
  <si>
    <t>SC de Alquiler de Escuadras</t>
  </si>
  <si>
    <t>Ladrillo pastelero</t>
  </si>
  <si>
    <t>Ascensor de Vehiculos</t>
  </si>
  <si>
    <t>Acabado WPC y HPL</t>
  </si>
  <si>
    <t>Sellos Cortafuego</t>
  </si>
  <si>
    <t>Grupo electrógeno para Propietarios.</t>
  </si>
  <si>
    <t>berma y Vereda</t>
  </si>
  <si>
    <t>Numeracion Dptos, y areas comunes</t>
  </si>
  <si>
    <t>Esquineros, Topellantas, espejos convexos.</t>
  </si>
  <si>
    <t>Cerco de Seguridad foto electrico</t>
  </si>
  <si>
    <t>Acabados para lobby</t>
  </si>
  <si>
    <t>Acabados para terraza</t>
  </si>
  <si>
    <t>Acabados para sala de niños</t>
  </si>
  <si>
    <t>Acabados para gymnacio</t>
  </si>
  <si>
    <t>Acabados sala bar</t>
  </si>
  <si>
    <t>SC MICROCEMENTO</t>
  </si>
  <si>
    <t>SC Tableros de cocina (Importación)</t>
  </si>
  <si>
    <t>SC Tableros de Baño (Importación)</t>
  </si>
  <si>
    <t>SC Ventanas y Mamparas Torre (Importación)</t>
  </si>
  <si>
    <t>FORMATO:CONTROL DE PLAN DE PROCURA DE OBRAS</t>
  </si>
  <si>
    <t xml:space="preserve"> SUBCONTRATAS/PROVEEDORES/MATERIALES </t>
  </si>
  <si>
    <t>OBRA 1</t>
  </si>
  <si>
    <t xml:space="preserve">Fecha </t>
  </si>
  <si>
    <t>MAQUIJAL INGENIEROS S.A.C.</t>
  </si>
  <si>
    <t>SC de Acero (LO EJECUTA CASA)</t>
  </si>
  <si>
    <t>SC de Topografia (LO EJECUTA CASA)</t>
  </si>
  <si>
    <t>SC de Demolición (NO ES ALCANCE DE 5.2)</t>
  </si>
  <si>
    <t>SC de Anclajes (ALCANCE 5.1)</t>
  </si>
  <si>
    <t>SC Cal nieve sotanos (Pintura sótanos)</t>
  </si>
  <si>
    <t>SC de Pre losas (NO SE EMPLEARÁ)</t>
  </si>
  <si>
    <t>SC de Postensado (NO SE EMPLEARÁ)</t>
  </si>
  <si>
    <t>SC Tarrajeos Torre (LO EJECUTA CASA)</t>
  </si>
  <si>
    <t>SC Tarrajeo Exterior (LO EJECUTA CASA)</t>
  </si>
  <si>
    <t>SC Forjados Escaleras (LO EJECUTA CASA)</t>
  </si>
  <si>
    <t>SC Nivelacion de pisos y contrapisos (LO EJECUTA CASA)</t>
  </si>
  <si>
    <t>SC Mampara Lobby (ALCANDE DE 5.1)</t>
  </si>
  <si>
    <t>SC Enchape Lobby(MO)  (ALCANDE DE 5.1)</t>
  </si>
  <si>
    <t>SC Puertas Ducto Montantes (Puertas de Melamine)</t>
  </si>
  <si>
    <t>SC de Paneles Fotovoltaicos (NO ES ALCANCE DE 5.2)</t>
  </si>
  <si>
    <t>SC Domótica (redes y equipamiento) (NO ES ALCANCE DE 5.2)</t>
  </si>
  <si>
    <t>SC Puerta de cochera (NO ES ALCANCE DE 5.2)</t>
  </si>
  <si>
    <t>SC Mueble Counter (NO ES ALCANCE DE 5.2)</t>
  </si>
  <si>
    <t>CCTV + CERCO ELECTRICO (comunicaciones)</t>
  </si>
  <si>
    <t>ACABADOS HUMEDOS EN TORRE</t>
  </si>
  <si>
    <t>Fecha de envío de cuadro comparativo. Responsable:                        OBRA COSTOS</t>
  </si>
  <si>
    <t>Tiempo elaboración cuadro comparativo (d)</t>
  </si>
  <si>
    <t>T. envío de info a Costos Obra</t>
  </si>
  <si>
    <t>Fecha de Envío info a Costos Obra Responsable:Proveedor / Subcontratista</t>
  </si>
  <si>
    <t>SC Vigilancia de obra</t>
  </si>
  <si>
    <t>ORELIA GROUP SOUTH AMERICAN SECURITY S.A.C.</t>
  </si>
  <si>
    <t>SUMINISTRO de Acero</t>
  </si>
  <si>
    <t>SC Anclajes</t>
  </si>
  <si>
    <t>SC de MO de Instalaciones Electricas</t>
  </si>
  <si>
    <t>SC de MO de Instalaciones Sanitarias</t>
  </si>
  <si>
    <t>SUMINISTRO de Acero Dimensionado</t>
  </si>
  <si>
    <t>SC PILOTO 6.1</t>
  </si>
  <si>
    <t>SUMINISTRO de BRIDAS ROMPE AGUA</t>
  </si>
  <si>
    <t>SC de ACI a todo costo</t>
  </si>
  <si>
    <r>
      <t xml:space="preserve">SC Sistema de Presión Constante </t>
    </r>
    <r>
      <rPr>
        <sz val="24"/>
        <color rgb="FF0070C0"/>
        <rFont val="Bahnschrift SemiBold Condensed"/>
        <family val="2"/>
      </rPr>
      <t>a todo costo</t>
    </r>
  </si>
  <si>
    <r>
      <t xml:space="preserve">SC Bomba ACI y Jockey </t>
    </r>
    <r>
      <rPr>
        <sz val="24"/>
        <color rgb="FF0070C0"/>
        <rFont val="Bahnschrift SemiBold Condensed"/>
        <family val="2"/>
      </rPr>
      <t>a todo costo</t>
    </r>
  </si>
  <si>
    <t>SC de Arriendo de Encofrado Modular (Muros Anclados)</t>
  </si>
  <si>
    <t>SC de Arriendo de Encofrado Modular (Casco)</t>
  </si>
  <si>
    <r>
      <t xml:space="preserve">SC Instalaciones de GAS </t>
    </r>
    <r>
      <rPr>
        <sz val="24"/>
        <color rgb="FF0070C0"/>
        <rFont val="Bahnschrift SemiBold Condensed"/>
        <family val="2"/>
      </rPr>
      <t>a todo costo</t>
    </r>
  </si>
  <si>
    <r>
      <t xml:space="preserve">SC Instalaciones Mecánicas </t>
    </r>
    <r>
      <rPr>
        <sz val="24"/>
        <color rgb="FF0070C0"/>
        <rFont val="Bahnschrift SemiBold Condensed"/>
        <family val="2"/>
      </rPr>
      <t>a todo costo</t>
    </r>
  </si>
  <si>
    <r>
      <t xml:space="preserve">SC Mallas Anticaídas </t>
    </r>
    <r>
      <rPr>
        <sz val="24"/>
        <color rgb="FF0070C0"/>
        <rFont val="Bahnschrift SemiBold Condensed"/>
        <family val="2"/>
      </rPr>
      <t>a todo costo</t>
    </r>
  </si>
  <si>
    <r>
      <t xml:space="preserve">SC Encapsulado </t>
    </r>
    <r>
      <rPr>
        <sz val="24"/>
        <color rgb="FF0070C0"/>
        <rFont val="Bahnschrift SemiBold Condensed"/>
        <family val="2"/>
      </rPr>
      <t>a todo costo</t>
    </r>
  </si>
  <si>
    <r>
      <t xml:space="preserve">SC Bombas sumergibles para sumideros </t>
    </r>
    <r>
      <rPr>
        <sz val="24"/>
        <color rgb="FF0070C0"/>
        <rFont val="Bahnschrift SemiBold Condensed"/>
        <family val="2"/>
      </rPr>
      <t>a todo costo</t>
    </r>
  </si>
  <si>
    <r>
      <t xml:space="preserve">SC Tabiquería </t>
    </r>
    <r>
      <rPr>
        <sz val="24"/>
        <color rgb="FF0070C0"/>
        <rFont val="Bahnschrift SemiBold Condensed"/>
        <family val="2"/>
      </rPr>
      <t>a todo costo</t>
    </r>
    <r>
      <rPr>
        <sz val="24"/>
        <color theme="1"/>
        <rFont val="Bahnschrift SemiBold Condensed"/>
        <family val="2"/>
      </rPr>
      <t xml:space="preserve"> (Contratista 1)</t>
    </r>
  </si>
  <si>
    <r>
      <t xml:space="preserve">SC Tabiquería </t>
    </r>
    <r>
      <rPr>
        <sz val="24"/>
        <color rgb="FF0070C0"/>
        <rFont val="Bahnschrift SemiBold Condensed"/>
        <family val="2"/>
      </rPr>
      <t>a todo costo</t>
    </r>
    <r>
      <rPr>
        <sz val="24"/>
        <color theme="1"/>
        <rFont val="Bahnschrift SemiBold Condensed"/>
        <family val="2"/>
      </rPr>
      <t xml:space="preserve"> (Contratista 2)</t>
    </r>
  </si>
  <si>
    <r>
      <t xml:space="preserve">SC Ventanas y Mamparas Torre </t>
    </r>
    <r>
      <rPr>
        <sz val="24"/>
        <color rgb="FF0070C0"/>
        <rFont val="Bahnschrift SemiBold Condensed"/>
        <family val="2"/>
      </rPr>
      <t>a todo costo</t>
    </r>
    <r>
      <rPr>
        <sz val="24"/>
        <color theme="1"/>
        <rFont val="Bahnschrift SemiBold Condensed"/>
        <family val="2"/>
      </rPr>
      <t xml:space="preserve"> (importación)</t>
    </r>
  </si>
  <si>
    <r>
      <t xml:space="preserve">SUMINISTRO de </t>
    </r>
    <r>
      <rPr>
        <sz val="24"/>
        <color rgb="FF0070C0"/>
        <rFont val="Bahnschrift SemiBold Condensed"/>
        <family val="2"/>
      </rPr>
      <t>Tableros EMPOTRADOS</t>
    </r>
    <r>
      <rPr>
        <sz val="24"/>
        <color theme="1"/>
        <rFont val="Bahnschrift SemiBold Condensed"/>
        <family val="2"/>
      </rPr>
      <t xml:space="preserve"> </t>
    </r>
  </si>
  <si>
    <r>
      <t xml:space="preserve">SUMINISTRO de </t>
    </r>
    <r>
      <rPr>
        <sz val="24"/>
        <color rgb="FF0070C0"/>
        <rFont val="Bahnschrift SemiBold Condensed"/>
        <family val="2"/>
      </rPr>
      <t>Tableros ADOSADOS</t>
    </r>
  </si>
  <si>
    <r>
      <t xml:space="preserve">SC Carpintería Metálica </t>
    </r>
    <r>
      <rPr>
        <sz val="24"/>
        <color rgb="FFC00000"/>
        <rFont val="Bahnschrift SemiBold Condensed"/>
        <family val="2"/>
      </rPr>
      <t>DEPARTAMENTOS</t>
    </r>
    <r>
      <rPr>
        <sz val="24"/>
        <color theme="1"/>
        <rFont val="Bahnschrift SemiBold Condensed"/>
        <family val="2"/>
      </rPr>
      <t xml:space="preserve"> </t>
    </r>
    <r>
      <rPr>
        <sz val="24"/>
        <color rgb="FF0070C0"/>
        <rFont val="Bahnschrift SemiBold Condensed"/>
        <family val="2"/>
      </rPr>
      <t>a todo costo</t>
    </r>
  </si>
  <si>
    <r>
      <t xml:space="preserve">SC Carpintería Metálica </t>
    </r>
    <r>
      <rPr>
        <sz val="24"/>
        <color rgb="FFC00000"/>
        <rFont val="Bahnschrift SemiBold Condensed"/>
        <family val="2"/>
      </rPr>
      <t>AREAS COMUNES</t>
    </r>
    <r>
      <rPr>
        <sz val="24"/>
        <color theme="1"/>
        <rFont val="Bahnschrift SemiBold Condensed"/>
        <family val="2"/>
      </rPr>
      <t xml:space="preserve"> </t>
    </r>
    <r>
      <rPr>
        <sz val="24"/>
        <color rgb="FF0070C0"/>
        <rFont val="Bahnschrift SemiBold Condensed"/>
        <family val="2"/>
      </rPr>
      <t>a todo costo</t>
    </r>
  </si>
  <si>
    <r>
      <t xml:space="preserve">SC PINTURA INTERIOR </t>
    </r>
    <r>
      <rPr>
        <sz val="24"/>
        <color rgb="FF0070C0"/>
        <rFont val="Bahnschrift SemiBold Condensed"/>
        <family val="2"/>
      </rPr>
      <t>a todo costo</t>
    </r>
  </si>
  <si>
    <r>
      <t xml:space="preserve">SC PINTURA EXTERIOR </t>
    </r>
    <r>
      <rPr>
        <sz val="24"/>
        <color rgb="FF0070C0"/>
        <rFont val="Bahnschrift SemiBold Condensed"/>
        <family val="2"/>
      </rPr>
      <t>a todo costo</t>
    </r>
  </si>
  <si>
    <r>
      <t xml:space="preserve">SC ENCHAPE </t>
    </r>
    <r>
      <rPr>
        <sz val="24"/>
        <color rgb="FF0070C0"/>
        <rFont val="Bahnschrift SemiBold Condensed"/>
        <family val="2"/>
      </rPr>
      <t xml:space="preserve">mano de obra </t>
    </r>
  </si>
  <si>
    <r>
      <t xml:space="preserve">SUMINISTRO DE ENCHAPE </t>
    </r>
    <r>
      <rPr>
        <sz val="24"/>
        <color rgb="FF0070C0"/>
        <rFont val="Bahnschrift SemiBold Condensed"/>
        <family val="2"/>
      </rPr>
      <t xml:space="preserve">mano de obra </t>
    </r>
  </si>
  <si>
    <r>
      <t xml:space="preserve">SC DRYWALL </t>
    </r>
    <r>
      <rPr>
        <sz val="24"/>
        <color rgb="FF0070C0"/>
        <rFont val="Bahnschrift SemiBold Condensed"/>
        <family val="2"/>
      </rPr>
      <t>a todo costo</t>
    </r>
  </si>
  <si>
    <r>
      <t xml:space="preserve">SC PINTURA DE TRÁFICO </t>
    </r>
    <r>
      <rPr>
        <sz val="24"/>
        <color rgb="FF0070C0"/>
        <rFont val="Bahnschrift SemiBold Condensed"/>
        <family val="2"/>
      </rPr>
      <t>a todo costo</t>
    </r>
  </si>
  <si>
    <r>
      <t xml:space="preserve">SC CAL NIEVE sótanos </t>
    </r>
    <r>
      <rPr>
        <sz val="24"/>
        <color rgb="FF0070C0"/>
        <rFont val="Bahnschrift SemiBold Condensed"/>
        <family val="2"/>
      </rPr>
      <t>a todo costo</t>
    </r>
  </si>
  <si>
    <r>
      <t xml:space="preserve">SC IMPERMEABILIZACION de Cisternas </t>
    </r>
    <r>
      <rPr>
        <sz val="24"/>
        <color rgb="FF0070C0"/>
        <rFont val="Bahnschrift SemiBold Condensed"/>
        <family val="2"/>
      </rPr>
      <t>a todo costo</t>
    </r>
  </si>
  <si>
    <t>SC INSTALACION DE PISO LAMINADO</t>
  </si>
  <si>
    <t>SUMINISTRO DE PISO LAMINADO</t>
  </si>
  <si>
    <r>
      <t xml:space="preserve">SC Tableros de cocina </t>
    </r>
    <r>
      <rPr>
        <sz val="24"/>
        <color rgb="FF0070C0"/>
        <rFont val="Bahnschrift SemiBold Condensed"/>
        <family val="2"/>
      </rPr>
      <t>a todo costo</t>
    </r>
    <r>
      <rPr>
        <sz val="24"/>
        <color theme="1"/>
        <rFont val="Bahnschrift SemiBold Condensed"/>
        <family val="2"/>
      </rPr>
      <t xml:space="preserve"> (importación)</t>
    </r>
  </si>
  <si>
    <r>
      <t xml:space="preserve">SC Tableros de Baño </t>
    </r>
    <r>
      <rPr>
        <sz val="24"/>
        <color rgb="FF0070C0"/>
        <rFont val="Bahnschrift SemiBold Condensed"/>
        <family val="2"/>
      </rPr>
      <t>a todo costo</t>
    </r>
    <r>
      <rPr>
        <sz val="24"/>
        <color theme="1"/>
        <rFont val="Bahnschrift SemiBold Condensed"/>
        <family val="2"/>
      </rPr>
      <t xml:space="preserve"> (importación)</t>
    </r>
  </si>
  <si>
    <r>
      <t xml:space="preserve">SC Muebles cocina </t>
    </r>
    <r>
      <rPr>
        <sz val="24"/>
        <color rgb="FF0070C0"/>
        <rFont val="Bahnschrift SemiBold Condensed"/>
        <family val="2"/>
      </rPr>
      <t>a todo costo</t>
    </r>
  </si>
  <si>
    <r>
      <t xml:space="preserve">SC Puertas de melamina en ductos </t>
    </r>
    <r>
      <rPr>
        <sz val="24"/>
        <color rgb="FF0070C0"/>
        <rFont val="Bahnschrift SemiBold Condensed"/>
        <family val="2"/>
      </rPr>
      <t>a todo costo</t>
    </r>
  </si>
  <si>
    <t>SUMINISTRO de Placas eléctricas</t>
  </si>
  <si>
    <t>SUMINISTRO de Puertas de Madera</t>
  </si>
  <si>
    <r>
      <t xml:space="preserve">SC Carpintería Metálica </t>
    </r>
    <r>
      <rPr>
        <sz val="24"/>
        <color rgb="FFC00000"/>
        <rFont val="Bahnschrift SemiBold Condensed"/>
        <family val="2"/>
      </rPr>
      <t>SOTANOS</t>
    </r>
    <r>
      <rPr>
        <sz val="24"/>
        <color theme="1"/>
        <rFont val="Bahnschrift SemiBold Condensed"/>
        <family val="2"/>
      </rPr>
      <t xml:space="preserve"> </t>
    </r>
    <r>
      <rPr>
        <sz val="24"/>
        <color rgb="FF0070C0"/>
        <rFont val="Bahnschrift SemiBold Condensed"/>
        <family val="2"/>
      </rPr>
      <t>a todo costo</t>
    </r>
  </si>
  <si>
    <t>SC INSTALACION de Puertas de Madera</t>
  </si>
  <si>
    <t>SC LIMPIEZA Y DESINFECCION de Cisternas</t>
  </si>
  <si>
    <t>SUMINISTRO de Puertas Cortafuegos</t>
  </si>
  <si>
    <r>
      <t xml:space="preserve">SC Sellos Cortafuego </t>
    </r>
    <r>
      <rPr>
        <sz val="24"/>
        <color rgb="FF0070C0"/>
        <rFont val="Bahnschrift SemiBold Condensed"/>
        <family val="2"/>
      </rPr>
      <t>a todo costo</t>
    </r>
  </si>
  <si>
    <r>
      <t xml:space="preserve">SC Sistema DACI </t>
    </r>
    <r>
      <rPr>
        <sz val="24"/>
        <color rgb="FF0070C0"/>
        <rFont val="Bahnschrift SemiBold Condensed"/>
        <family val="2"/>
      </rPr>
      <t>a todo costo</t>
    </r>
  </si>
  <si>
    <r>
      <t xml:space="preserve">SC SISTEMA FOTOVOLTAICO </t>
    </r>
    <r>
      <rPr>
        <sz val="24"/>
        <color rgb="FF0070C0"/>
        <rFont val="Bahnschrift SemiBold Condensed"/>
        <family val="2"/>
      </rPr>
      <t>a todo costo</t>
    </r>
  </si>
  <si>
    <r>
      <t xml:space="preserve">SC Sistema CCTV y COMUNICACIONES </t>
    </r>
    <r>
      <rPr>
        <sz val="24"/>
        <color rgb="FF0070C0"/>
        <rFont val="Bahnschrift SemiBold Condensed"/>
        <family val="2"/>
      </rPr>
      <t>a todo costo</t>
    </r>
  </si>
  <si>
    <t>SC JUNTA METÁLICA</t>
  </si>
  <si>
    <r>
      <t xml:space="preserve">SC IMPLEMENTACION de Areas Comunes </t>
    </r>
    <r>
      <rPr>
        <sz val="24"/>
        <color rgb="FF0070C0"/>
        <rFont val="Bahnschrift SemiBold Condensed"/>
        <family val="2"/>
      </rPr>
      <t>a todo costo</t>
    </r>
  </si>
  <si>
    <r>
      <t xml:space="preserve">SC PAISAJISMO </t>
    </r>
    <r>
      <rPr>
        <sz val="24"/>
        <color rgb="FF0070C0"/>
        <rFont val="Bahnschrift SemiBold Condensed"/>
        <family val="2"/>
      </rPr>
      <t>a todo costo</t>
    </r>
  </si>
  <si>
    <r>
      <t xml:space="preserve">SC SUMINISTRO E INST. DE PUERTA VEHICULAR </t>
    </r>
    <r>
      <rPr>
        <sz val="24"/>
        <color rgb="FF0070C0"/>
        <rFont val="Bahnschrift SemiBold Condensed"/>
        <family val="2"/>
      </rPr>
      <t>a todo costo</t>
    </r>
  </si>
  <si>
    <t>SUMINISTRO DE Tapajunta Metálica</t>
  </si>
  <si>
    <t>SC Impermeabilización de jardineras</t>
  </si>
  <si>
    <t>SC SUMINISTRO DE LUMINARIA EN SOTANOS Y TORRE</t>
  </si>
  <si>
    <r>
      <t xml:space="preserve">SC LIMPIEZA FINA Y GRUESA </t>
    </r>
    <r>
      <rPr>
        <sz val="24"/>
        <color rgb="FF0070C0"/>
        <rFont val="Bahnschrift SemiBold Condensed"/>
        <family val="2"/>
      </rPr>
      <t>a todo costo</t>
    </r>
  </si>
  <si>
    <t>SUMINISTRO E INSTALACION DE LAVASECA</t>
  </si>
  <si>
    <t>SUMINISTRO E INSTALACION DE GRUPO ELECTRÓGENO</t>
  </si>
  <si>
    <t>SUMINISTRO E INSTALACION DE PARRILLA DE INOX</t>
  </si>
  <si>
    <t>SUMINISTRO E INSTALACION DE SEÑALETICA</t>
  </si>
  <si>
    <t>obra 5</t>
  </si>
  <si>
    <t>obra 3</t>
  </si>
  <si>
    <t>obra 4</t>
  </si>
  <si>
    <t>Mambo 5.2</t>
  </si>
  <si>
    <t>Mambo 6.1</t>
  </si>
  <si>
    <t>SC Tabiquería a todo costo (Contratista 1)</t>
  </si>
  <si>
    <t>SC Tabiquería a todo costo (Contratista 2)</t>
  </si>
  <si>
    <t>SC Instalaciones de GAS a todo costo</t>
  </si>
  <si>
    <t>SC Instalaciones Mecánicas a todo costo</t>
  </si>
  <si>
    <t>SC Sistema de Presión Constante a todo costo</t>
  </si>
  <si>
    <t>SC Bombas sumergibles para sumideros a todo costo</t>
  </si>
  <si>
    <t>SC Bomba ACI y Jockey a todo costo</t>
  </si>
  <si>
    <t>SC Ventanas y Mamparas Torre a todo costo (importación)</t>
  </si>
  <si>
    <t>SC Carpintería Metálica DEPARTAMENTOS a todo costo</t>
  </si>
  <si>
    <t>SC Carpintería Metálica SOTANOS a todo costo</t>
  </si>
  <si>
    <t>SC Carpintería Metálica AREAS COMUNES a todo costo</t>
  </si>
  <si>
    <t>SC Mallas Anticaídas a todo costo</t>
  </si>
  <si>
    <t>SC Encapsulado a todo costo</t>
  </si>
  <si>
    <t xml:space="preserve">SUMINISTRO de Tableros EMPOTRADOS </t>
  </si>
  <si>
    <t xml:space="preserve">SUMINISTRO DE ENCHAPE mano de obra </t>
  </si>
  <si>
    <t xml:space="preserve">SC ENCHAPE mano de obra </t>
  </si>
  <si>
    <t>SC SISTEMA FOTOVOLTAICO a todo costo</t>
  </si>
  <si>
    <t>SC IMPERMEABILIZACION de Cisternas a todo costo</t>
  </si>
  <si>
    <t>SC CAL NIEVE sótanos a todo costo</t>
  </si>
  <si>
    <t>SC PINTURA DE TRÁFICO a todo costo</t>
  </si>
  <si>
    <t>SC Sellos Cortafuego a todo costo</t>
  </si>
  <si>
    <t>SUMINISTRO de Tableros ADOSADOS</t>
  </si>
  <si>
    <t>SC PINTURA INTERIOR a todo costo</t>
  </si>
  <si>
    <t>SC DRYWALL a todo costo</t>
  </si>
  <si>
    <t>SC PINTURA EXTERIOR a todo costo</t>
  </si>
  <si>
    <t>SC Muebles cocina a todo costo</t>
  </si>
  <si>
    <t>SC Tableros de cocina a todo costo (importación)</t>
  </si>
  <si>
    <t>SC Tableros de Baño a todo costo (importación)</t>
  </si>
  <si>
    <t>SC Puertas de melamina en ductos a todo costo</t>
  </si>
  <si>
    <t>SC Sistema DACI a todo costo</t>
  </si>
  <si>
    <t>SC Sistema CCTV y COMUNICACIONES a todo costo</t>
  </si>
  <si>
    <t>SC IMPLEMENTACION de Areas Comunes a todo costo</t>
  </si>
  <si>
    <t>SC PAISAJISMO a todo costo</t>
  </si>
  <si>
    <t>SC SUMINISTRO E INST. DE PUERTA VEHICULAR a todo costo</t>
  </si>
  <si>
    <t>SC LIMPIEZA FINA Y GRUESA a todo costo</t>
  </si>
  <si>
    <t>16-09-26</t>
  </si>
  <si>
    <t>Versión:00</t>
  </si>
  <si>
    <t>Codigo: 2026-09-PROCURA</t>
  </si>
  <si>
    <t>SC PILOTO 4.3</t>
  </si>
  <si>
    <t>LEYENDA</t>
  </si>
  <si>
    <t xml:space="preserve">Supervisor de concreto </t>
  </si>
  <si>
    <t>Mambo 4.3</t>
  </si>
  <si>
    <t>Suministro de Acero</t>
  </si>
  <si>
    <t>SC de Arriendo de Encofrado Modular</t>
  </si>
  <si>
    <t>SUMINISTRO DE ENCHAPE</t>
  </si>
  <si>
    <t>ACABADOS SECOS EN TORRE</t>
  </si>
  <si>
    <t>mes 1</t>
  </si>
  <si>
    <t>CAMPAMENTO / IMPLENTACION DE OFICINAS</t>
  </si>
  <si>
    <t>MOVILIZACION EQUIPO / PERSONAL</t>
  </si>
  <si>
    <t>DEMOLICION</t>
  </si>
  <si>
    <t/>
  </si>
  <si>
    <t>EXCAVACION / MURO PANTALLA (INC PERNOS DE ANCLAJE)</t>
  </si>
  <si>
    <t>ANILLO 1 - 217</t>
  </si>
  <si>
    <t>S1,1</t>
  </si>
  <si>
    <t>S1,2</t>
  </si>
  <si>
    <t>S1,3</t>
  </si>
  <si>
    <t>S1,4</t>
  </si>
  <si>
    <t>S1,5</t>
  </si>
  <si>
    <t>S1,6</t>
  </si>
  <si>
    <t>S1,7</t>
  </si>
  <si>
    <t>S1,8</t>
  </si>
  <si>
    <t>S1,9</t>
  </si>
  <si>
    <t>S1,10</t>
  </si>
  <si>
    <t>S1,11</t>
  </si>
  <si>
    <t>S1,12</t>
  </si>
  <si>
    <t>S1,13</t>
  </si>
  <si>
    <t>S1,14</t>
  </si>
  <si>
    <t>S1,15</t>
  </si>
  <si>
    <t>S1,16</t>
  </si>
  <si>
    <t>S1,17</t>
  </si>
  <si>
    <t>S1,18</t>
  </si>
  <si>
    <t>S1,19</t>
  </si>
  <si>
    <t>S1,20</t>
  </si>
  <si>
    <t>S1,21</t>
  </si>
  <si>
    <t>S1,22</t>
  </si>
  <si>
    <t>S1,23</t>
  </si>
  <si>
    <t>S1,24</t>
  </si>
  <si>
    <t>EXCAVACION MASIVA</t>
  </si>
  <si>
    <t>PERFORACIONES / ANCLAJE</t>
  </si>
  <si>
    <t>EXCAVACION LOCALIZADA</t>
  </si>
  <si>
    <t>PAÑETEO</t>
  </si>
  <si>
    <t>ACERO MURO CONTENCION</t>
  </si>
  <si>
    <t>ENCOFRADO MURO CONTENCION</t>
  </si>
  <si>
    <t>CONCRETO MURO CONTENCION</t>
  </si>
  <si>
    <t>TENSADO CABLES</t>
  </si>
  <si>
    <t>MURO DE CONTENCION</t>
  </si>
  <si>
    <t>S2,1</t>
  </si>
  <si>
    <t>S2,2</t>
  </si>
  <si>
    <t>S2,3</t>
  </si>
  <si>
    <t>S2,4</t>
  </si>
  <si>
    <t>S2,5</t>
  </si>
  <si>
    <t>S2,6</t>
  </si>
  <si>
    <t>S2,13</t>
  </si>
  <si>
    <t>S2,14</t>
  </si>
  <si>
    <t>S2,15</t>
  </si>
  <si>
    <t>S2,16</t>
  </si>
  <si>
    <t>S2,17</t>
  </si>
  <si>
    <t>S2,18</t>
  </si>
  <si>
    <t>S2,19</t>
  </si>
  <si>
    <t>S2,20</t>
  </si>
  <si>
    <t>S2,21</t>
  </si>
  <si>
    <t>S2,22</t>
  </si>
  <si>
    <t>S2,23</t>
  </si>
  <si>
    <t>S2,24</t>
  </si>
  <si>
    <t>CIMIENTOS INTERIORES</t>
  </si>
  <si>
    <t>C</t>
  </si>
  <si>
    <t>ESTRUCTURAS</t>
  </si>
  <si>
    <t>ELEMENTOS VERTICALES</t>
  </si>
  <si>
    <t xml:space="preserve">         ACERO EN PLACAS</t>
  </si>
  <si>
    <t>S11</t>
  </si>
  <si>
    <t>S12</t>
  </si>
  <si>
    <t>S13</t>
  </si>
  <si>
    <t>S14</t>
  </si>
  <si>
    <t>S15</t>
  </si>
  <si>
    <t>E11</t>
  </si>
  <si>
    <t>E12</t>
  </si>
  <si>
    <t>E13</t>
  </si>
  <si>
    <t>E,14</t>
  </si>
  <si>
    <t>E,15</t>
  </si>
  <si>
    <t>E21</t>
  </si>
  <si>
    <t>E22</t>
  </si>
  <si>
    <t>E23</t>
  </si>
  <si>
    <t>E24</t>
  </si>
  <si>
    <t>E25</t>
  </si>
  <si>
    <t>E31</t>
  </si>
  <si>
    <t>E32</t>
  </si>
  <si>
    <t>E33</t>
  </si>
  <si>
    <t>E34</t>
  </si>
  <si>
    <t>E35</t>
  </si>
  <si>
    <t>E41</t>
  </si>
  <si>
    <t>E42</t>
  </si>
  <si>
    <t>E43</t>
  </si>
  <si>
    <t>E44</t>
  </si>
  <si>
    <t>E45</t>
  </si>
  <si>
    <t>E51</t>
  </si>
  <si>
    <t>E52</t>
  </si>
  <si>
    <t>E53</t>
  </si>
  <si>
    <t>E54</t>
  </si>
  <si>
    <t>E55</t>
  </si>
  <si>
    <t>E61</t>
  </si>
  <si>
    <t>E62</t>
  </si>
  <si>
    <t>E63</t>
  </si>
  <si>
    <t>E64</t>
  </si>
  <si>
    <t>E65</t>
  </si>
  <si>
    <t>E71</t>
  </si>
  <si>
    <t>E72</t>
  </si>
  <si>
    <t>E73</t>
  </si>
  <si>
    <t>E74</t>
  </si>
  <si>
    <t>E75</t>
  </si>
  <si>
    <t>E81</t>
  </si>
  <si>
    <t>E82</t>
  </si>
  <si>
    <t>E83</t>
  </si>
  <si>
    <t>E84</t>
  </si>
  <si>
    <t>E85</t>
  </si>
  <si>
    <t>E91</t>
  </si>
  <si>
    <t>E92</t>
  </si>
  <si>
    <t>E93</t>
  </si>
  <si>
    <t>E94</t>
  </si>
  <si>
    <t>E95</t>
  </si>
  <si>
    <t>E101</t>
  </si>
  <si>
    <t>E102</t>
  </si>
  <si>
    <t>E103</t>
  </si>
  <si>
    <t>E104</t>
  </si>
  <si>
    <t>E105</t>
  </si>
  <si>
    <t>E111</t>
  </si>
  <si>
    <t>E112</t>
  </si>
  <si>
    <t>E113</t>
  </si>
  <si>
    <t>E114</t>
  </si>
  <si>
    <t>E115</t>
  </si>
  <si>
    <t>E121</t>
  </si>
  <si>
    <t>E122</t>
  </si>
  <si>
    <t>E123</t>
  </si>
  <si>
    <t>E124</t>
  </si>
  <si>
    <t>E125</t>
  </si>
  <si>
    <t>E1231</t>
  </si>
  <si>
    <t>E132</t>
  </si>
  <si>
    <t>E133</t>
  </si>
  <si>
    <t>E134</t>
  </si>
  <si>
    <t>E135</t>
  </si>
  <si>
    <t>E141</t>
  </si>
  <si>
    <t>E142</t>
  </si>
  <si>
    <t>E143</t>
  </si>
  <si>
    <t>E144</t>
  </si>
  <si>
    <t>E145</t>
  </si>
  <si>
    <t>E151</t>
  </si>
  <si>
    <t>E152</t>
  </si>
  <si>
    <t>E153</t>
  </si>
  <si>
    <t>E154</t>
  </si>
  <si>
    <t>E155</t>
  </si>
  <si>
    <t>E161</t>
  </si>
  <si>
    <t>E162</t>
  </si>
  <si>
    <t>E163</t>
  </si>
  <si>
    <t>E164</t>
  </si>
  <si>
    <t>E165</t>
  </si>
  <si>
    <t>E171</t>
  </si>
  <si>
    <t>E172</t>
  </si>
  <si>
    <t>E173</t>
  </si>
  <si>
    <t>E174</t>
  </si>
  <si>
    <t>E175</t>
  </si>
  <si>
    <t>E181</t>
  </si>
  <si>
    <t>E182</t>
  </si>
  <si>
    <t>E183</t>
  </si>
  <si>
    <t xml:space="preserve">         IIEE IISS DE MUROS</t>
  </si>
  <si>
    <t xml:space="preserve">         ENCOFRADO EN PLACAS</t>
  </si>
  <si>
    <t xml:space="preserve">         CONCRETO DE PLACAS</t>
  </si>
  <si>
    <t>S,11</t>
  </si>
  <si>
    <t>S,12</t>
  </si>
  <si>
    <t>S,13</t>
  </si>
  <si>
    <t>S,14</t>
  </si>
  <si>
    <t>S,15</t>
  </si>
  <si>
    <t>ELEMENTOS HORIZONTALES</t>
  </si>
  <si>
    <t xml:space="preserve">         ENCOFRADO DE TECHOS</t>
  </si>
  <si>
    <t>E,11</t>
  </si>
  <si>
    <t>E1,12</t>
  </si>
  <si>
    <t>E,13</t>
  </si>
  <si>
    <t xml:space="preserve">         ACERO EN TECHOS</t>
  </si>
  <si>
    <t xml:space="preserve">         IIEE IISS DE TECHOS</t>
  </si>
  <si>
    <t xml:space="preserve">         CONCRETO EN TECHOS</t>
  </si>
  <si>
    <t>ALBAÑILERIA</t>
  </si>
  <si>
    <t>LIMPIEZA Y TRAZO PARA TABIQUERIA</t>
  </si>
  <si>
    <t>X</t>
  </si>
  <si>
    <t>IIEE TABIQUERIA</t>
  </si>
  <si>
    <t>IISS TABIQUERIA</t>
  </si>
  <si>
    <t>II GAS TABIQUERIA</t>
  </si>
  <si>
    <t>MUROS DE ALBAÑILERIA</t>
  </si>
  <si>
    <t>SOLAQUEO Y DERAMES</t>
  </si>
  <si>
    <t>ACABADOS</t>
  </si>
  <si>
    <t>Instalación de ceramico</t>
  </si>
  <si>
    <t xml:space="preserve">Fragua </t>
  </si>
  <si>
    <t>SC pintura / imprimación-empaste grueso</t>
  </si>
  <si>
    <t>SC pintura / empaste fino</t>
  </si>
  <si>
    <t>SC pintura / primera mano de pintura</t>
  </si>
  <si>
    <t>Inst. de marcos y hojas de puertas interiores</t>
  </si>
  <si>
    <t>Inst. de marcos y hojas de puertas principales</t>
  </si>
  <si>
    <t>Inst. de aparatos sanitarios</t>
  </si>
  <si>
    <t>Inst. de ventanas</t>
  </si>
  <si>
    <t>Inst. de mamparas</t>
  </si>
  <si>
    <t>Muebles de cocina</t>
  </si>
  <si>
    <t>Tableros de granito</t>
  </si>
  <si>
    <t>Acabado de puertas interiores</t>
  </si>
  <si>
    <t>Acabado de puertas principales</t>
  </si>
  <si>
    <t>Colocación de placas y tomacorrientes</t>
  </si>
  <si>
    <t>Colocación de extractores</t>
  </si>
  <si>
    <t>SC pintura / remasillado y segunda mano de pintura</t>
  </si>
  <si>
    <t>Inst. de piso laminado</t>
  </si>
  <si>
    <t>Sellado y limpieza de ventanas y mamparas</t>
  </si>
  <si>
    <t>Limpieza de departamentos</t>
  </si>
  <si>
    <t>Revisión de dptos</t>
  </si>
  <si>
    <t>Entrega de dptos</t>
  </si>
  <si>
    <t>FIN DE MUROS ANCLADOS</t>
  </si>
  <si>
    <t>FIN DE SOTANOS</t>
  </si>
  <si>
    <t>TORRE PISO 17</t>
  </si>
  <si>
    <t xml:space="preserve">FIN DE TORRE </t>
  </si>
  <si>
    <t>17 PISOS + 1 AZOTEA + 1 SOTANO (2 PIT ASCENSOR)</t>
  </si>
  <si>
    <t>OBRA</t>
  </si>
  <si>
    <t>FIN DE CASCO SOTANO</t>
  </si>
  <si>
    <t>FIN DE CASCO TORRE</t>
  </si>
  <si>
    <t>INICIA TORRE</t>
  </si>
  <si>
    <t>INICIA ACAB. HUMEDOS</t>
  </si>
  <si>
    <t>ENTREGA DPTOS</t>
  </si>
  <si>
    <t>INICIA ACABADO SECOS</t>
  </si>
  <si>
    <t>SC carpinteria metalica</t>
  </si>
  <si>
    <t>YO AGREGUE</t>
  </si>
  <si>
    <t>CARP MET ESCALERA</t>
  </si>
  <si>
    <t>CARP MET DPTOS</t>
  </si>
  <si>
    <t>BATALLA DE JUNIN</t>
  </si>
  <si>
    <t>UNISPAN</t>
  </si>
  <si>
    <t>INAKFERRO</t>
  </si>
  <si>
    <t>JM IZAJES Y TECNOLOGIA</t>
  </si>
  <si>
    <t>DYJ</t>
  </si>
  <si>
    <t>JM GERENCIA</t>
  </si>
  <si>
    <t>UNACEM</t>
  </si>
  <si>
    <t>ENTREGA DE DPTOS TORRE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</si>
</sst>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d/m/yyyy"/>
    <numFmt numFmtId="165" formatCode="&quot;S/.&quot;\ #,##0.00"/>
    <numFmt numFmtId="166" formatCode="###,###,###,###,###,##0.00"/>
    <numFmt numFmtId="167" formatCode="d\-m\-yy"/>
    <numFmt numFmtId="168" formatCode="#,##0.0"/>
    <numFmt numFmtId="169" formatCode="_-* #,##0_-;\-* #,##0_-;_-* &quot;-&quot;??_-;_-@_-"/>
    <numFmt numFmtId="170" formatCode="###,###,###,###,###,##0"/>
    <numFmt numFmtId="171" formatCode="dd/mm/yy;@"/>
    <numFmt numFmtId="172" formatCode="dd/mm/yyyy;@"/>
    <numFmt numFmtId="173" formatCode="#,##0_ ;\-#,##0\ "/>
  </numFmts>
  <fonts count="7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6"/>
      <color theme="1"/>
      <name val="Arial"/>
      <family val="2"/>
    </font>
    <font>
      <sz val="10"/>
      <color rgb="FFFFFF00"/>
      <name val="Arial"/>
      <family val="2"/>
    </font>
    <font>
      <sz val="10"/>
      <color rgb="FF000000"/>
      <name val="Arial"/>
      <family val="2"/>
      <scheme val="minor"/>
    </font>
    <font>
      <sz val="9"/>
      <name val="Arial"/>
      <family val="2"/>
    </font>
    <font>
      <sz val="10"/>
      <name val="Arial"/>
      <family val="2"/>
      <scheme val="minor"/>
    </font>
    <font>
      <b/>
      <sz val="11"/>
      <name val="Arial"/>
      <family val="2"/>
    </font>
    <font>
      <b/>
      <sz val="10"/>
      <color rgb="FF000000"/>
      <name val="Arial"/>
      <family val="2"/>
      <scheme val="minor"/>
    </font>
    <font>
      <sz val="10"/>
      <color theme="0"/>
      <name val="Arial"/>
      <family val="2"/>
    </font>
    <font>
      <b/>
      <sz val="11"/>
      <color rgb="FF000000"/>
      <name val="Arial"/>
      <family val="2"/>
      <scheme val="minor"/>
    </font>
    <font>
      <b/>
      <sz val="14"/>
      <name val="Arial"/>
      <family val="2"/>
    </font>
    <font>
      <b/>
      <sz val="11"/>
      <color theme="2"/>
      <name val="Arial"/>
      <family val="2"/>
    </font>
    <font>
      <sz val="10"/>
      <color theme="0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name val="Arial"/>
      <family val="2"/>
      <scheme val="major"/>
    </font>
    <font>
      <sz val="10"/>
      <color rgb="FFFFFF00"/>
      <name val="Arial"/>
      <family val="2"/>
      <scheme val="major"/>
    </font>
    <font>
      <sz val="10"/>
      <color rgb="FFFFC000"/>
      <name val="Arial"/>
      <family val="2"/>
      <scheme val="major"/>
    </font>
    <font>
      <sz val="8"/>
      <color rgb="FF000000"/>
      <name val="Arial Narrow"/>
      <family val="2"/>
    </font>
    <font>
      <b/>
      <sz val="8"/>
      <color rgb="FF000000"/>
      <name val="Arial Narrow"/>
      <family val="2"/>
    </font>
    <font>
      <sz val="8"/>
      <color theme="1"/>
      <name val="Arial Narrow"/>
      <family val="2"/>
    </font>
    <font>
      <sz val="8"/>
      <name val="Arial Narrow"/>
      <family val="2"/>
    </font>
    <font>
      <sz val="8"/>
      <color theme="0"/>
      <name val="Arial Narrow"/>
      <family val="2"/>
    </font>
    <font>
      <b/>
      <sz val="11"/>
      <color rgb="FF000000"/>
      <name val="Arial Narrow"/>
      <family val="2"/>
    </font>
    <font>
      <sz val="8"/>
      <color theme="0"/>
      <name val="Arial"/>
      <family val="2"/>
      <scheme val="major"/>
    </font>
    <font>
      <sz val="14"/>
      <color theme="1"/>
      <name val="Arial"/>
      <family val="2"/>
      <scheme val="major"/>
    </font>
    <font>
      <sz val="8"/>
      <name val="Arial"/>
      <family val="2"/>
      <scheme val="minor"/>
    </font>
    <font>
      <sz val="10"/>
      <color rgb="FFFFFFCC"/>
      <name val="Arial"/>
      <family val="2"/>
      <scheme val="major"/>
    </font>
    <font>
      <sz val="10"/>
      <color rgb="FF002060"/>
      <name val="Arial"/>
      <family val="2"/>
      <scheme val="major"/>
    </font>
    <font>
      <sz val="10"/>
      <color rgb="FFC00000"/>
      <name val="Arial"/>
      <family val="2"/>
      <scheme val="major"/>
    </font>
    <font>
      <sz val="10"/>
      <color theme="5" tint="-0.499984740745262"/>
      <name val="Arial"/>
      <family val="2"/>
      <scheme val="major"/>
    </font>
    <font>
      <b/>
      <sz val="10"/>
      <color rgb="FFC00000"/>
      <name val="Arial"/>
      <family val="2"/>
      <scheme val="major"/>
    </font>
    <font>
      <b/>
      <sz val="20"/>
      <color rgb="FFFFFFCC"/>
      <name val="Arial"/>
      <family val="2"/>
    </font>
    <font>
      <b/>
      <sz val="14"/>
      <color rgb="FF002060"/>
      <name val="Calibri"/>
      <family val="2"/>
    </font>
    <font>
      <b/>
      <sz val="18"/>
      <color rgb="FF002060"/>
      <name val="Bahnschrift SemiBold Condensed"/>
      <family val="2"/>
    </font>
    <font>
      <b/>
      <sz val="24"/>
      <color rgb="FFFFFFCC"/>
      <name val="Bahnschrift SemiBold Condensed"/>
      <family val="2"/>
    </font>
    <font>
      <b/>
      <sz val="30"/>
      <color rgb="FFFFFFCC"/>
      <name val="Bahnschrift SemiBold Condensed"/>
      <family val="2"/>
    </font>
    <font>
      <sz val="24"/>
      <color theme="1"/>
      <name val="Bahnschrift SemiBold Condensed"/>
      <family val="2"/>
    </font>
    <font>
      <sz val="24"/>
      <color rgb="FF002060"/>
      <name val="Bahnschrift SemiBold Condensed"/>
      <family val="2"/>
    </font>
    <font>
      <sz val="24"/>
      <name val="Bahnschrift SemiBold Condensed"/>
      <family val="2"/>
    </font>
    <font>
      <sz val="24"/>
      <color rgb="FF0070C0"/>
      <name val="Bahnschrift SemiBold Condensed"/>
      <family val="2"/>
    </font>
    <font>
      <sz val="18"/>
      <color rgb="FF002060"/>
      <name val="Bahnschrift SemiBold Condensed"/>
      <family val="2"/>
    </font>
    <font>
      <sz val="24"/>
      <color rgb="FFC00000"/>
      <name val="Bahnschrift SemiBold Condensed"/>
      <family val="2"/>
    </font>
    <font>
      <sz val="18"/>
      <color theme="0"/>
      <name val="Bahnschrift SemiBold Condensed"/>
      <family val="2"/>
    </font>
    <font>
      <sz val="8"/>
      <color rgb="FF0070C0"/>
      <name val="Arial Narrow"/>
      <family val="2"/>
    </font>
    <font>
      <b/>
      <sz val="20"/>
      <color rgb="FFFFFFCC"/>
      <name val="Bahnschrift SemiBold Condensed"/>
      <family val="2"/>
    </font>
    <font>
      <sz val="12"/>
      <color rgb="FF002060"/>
      <name val="Bahnschrift SemiBold Condensed"/>
      <family val="2"/>
    </font>
    <font>
      <b/>
      <sz val="10"/>
      <color rgb="FFFFFFCC"/>
      <name val="Bahnschrift SemiBold Condensed"/>
      <family val="2"/>
    </font>
    <font>
      <sz val="10"/>
      <color rgb="FFFFFFCC"/>
      <name val="Bahnschrift SemiBold Condensed"/>
      <family val="2"/>
    </font>
    <font>
      <sz val="10"/>
      <color rgb="FF002060"/>
      <name val="Bahnschrift SemiBold Condensed"/>
      <family val="2"/>
    </font>
    <font>
      <sz val="10"/>
      <color rgb="FFFFFF00"/>
      <name val="Bahnschrift SemiBold Condensed"/>
      <family val="2"/>
    </font>
    <font>
      <sz val="10"/>
      <color theme="1"/>
      <name val="Bahnschrift SemiBold Condensed"/>
      <family val="2"/>
    </font>
    <font>
      <sz val="10"/>
      <name val="Bahnschrift SemiBold Condensed"/>
      <family val="2"/>
    </font>
    <font>
      <sz val="14"/>
      <color theme="1"/>
      <name val="Arial"/>
      <family val="2"/>
    </font>
    <font>
      <b/>
      <sz val="20"/>
      <color rgb="FFFF0000"/>
      <name val="Bahnschrift SemiBold Condensed"/>
      <family val="2"/>
    </font>
    <font>
      <b/>
      <sz val="20"/>
      <color theme="1"/>
      <name val="Bahnschrift SemiBold Condensed"/>
      <family val="2"/>
    </font>
    <font>
      <b/>
      <sz val="24"/>
      <name val="Bahnschrift SemiBold Condensed"/>
      <family val="2"/>
    </font>
    <font>
      <b/>
      <sz val="16"/>
      <color theme="2"/>
      <name val="Arial"/>
      <family val="2"/>
    </font>
    <font>
      <sz val="10"/>
      <color theme="5"/>
      <name val="Bahnschrift SemiBold Condensed"/>
      <family val="2"/>
    </font>
    <font>
      <b/>
      <sz val="12"/>
      <color rgb="FF002060"/>
      <name val="Bahnschrift SemiBold Condensed"/>
      <family val="2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2"/>
      <color theme="1"/>
      <name val="Bahnschrift SemiBold Condensed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b/>
      <sz val="11"/>
      <color rgb="FFFFFF00"/>
      <name val="Arial"/>
      <family val="2"/>
      <scheme val="minor"/>
    </font>
    <font>
      <sz val="8"/>
      <color rgb="FFFFFF00"/>
      <name val="Arial Narrow"/>
      <family val="2"/>
    </font>
    <font>
      <sz val="9"/>
      <color rgb="FFFFFF00"/>
      <name val="Arial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rgb="FFFDE9D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rgb="FFFDE9D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rgb="FFFDE9D9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rgb="FFFDE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DE9D9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FDE9D9"/>
      </patternFill>
    </fill>
    <fill>
      <patternFill patternType="solid">
        <fgColor theme="4" tint="0.79998168889431442"/>
        <bgColor rgb="FFFABF8F"/>
      </patternFill>
    </fill>
    <fill>
      <patternFill patternType="solid">
        <fgColor theme="4" tint="0.79998168889431442"/>
        <bgColor rgb="FFF2DBDB"/>
      </patternFill>
    </fill>
    <fill>
      <patternFill patternType="solid">
        <fgColor theme="4" tint="0.79998168889431442"/>
        <bgColor rgb="FFFF7979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rgb="FFFFFF00"/>
      </patternFill>
    </fill>
    <fill>
      <patternFill patternType="solid">
        <fgColor theme="6" tint="-0.249977111117893"/>
        <bgColor rgb="FFFF7979"/>
      </patternFill>
    </fill>
    <fill>
      <patternFill patternType="solid">
        <fgColor rgb="FFFFFF00"/>
        <bgColor rgb="FFFDE9D9"/>
      </patternFill>
    </fill>
    <fill>
      <patternFill patternType="solid">
        <fgColor theme="1"/>
        <bgColor rgb="FFFDE9D9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rgb="FFFDE9D9"/>
      </patternFill>
    </fill>
    <fill>
      <patternFill patternType="solid">
        <fgColor theme="3" tint="4.9989318521683403E-2"/>
        <bgColor indexed="64"/>
      </patternFill>
    </fill>
    <fill>
      <patternFill patternType="solid">
        <fgColor theme="3" tint="4.9989318521683403E-2"/>
        <bgColor rgb="FFFDE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rgb="FFFDE9D9"/>
      </patternFill>
    </fill>
    <fill>
      <patternFill patternType="solid">
        <fgColor theme="8" tint="0.79998168889431442"/>
        <bgColor rgb="FFFDE9D9"/>
      </patternFill>
    </fill>
    <fill>
      <patternFill patternType="solid">
        <fgColor rgb="FFFFFFCC"/>
        <bgColor rgb="FFFDE9D9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FF"/>
        <bgColor rgb="FFFDE9D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6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/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0" fontId="6" fillId="0" borderId="0"/>
    <xf numFmtId="0" fontId="1" fillId="0" borderId="0"/>
  </cellStyleXfs>
  <cellXfs count="287">
    <xf numFmtId="0" fontId="0" fillId="0" borderId="0" xfId="0"/>
    <xf numFmtId="169" fontId="2" fillId="0" borderId="0" xfId="1" applyNumberFormat="1" applyFont="1" applyAlignment="1">
      <alignment horizontal="right"/>
    </xf>
    <xf numFmtId="169" fontId="0" fillId="0" borderId="0" xfId="1" applyNumberFormat="1" applyFont="1" applyAlignment="1"/>
    <xf numFmtId="169" fontId="9" fillId="20" borderId="3" xfId="1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1" fillId="0" borderId="0" xfId="0" applyFont="1"/>
    <xf numFmtId="0" fontId="20" fillId="0" borderId="4" xfId="0" applyFont="1" applyBorder="1"/>
    <xf numFmtId="171" fontId="23" fillId="0" borderId="4" xfId="0" applyNumberFormat="1" applyFont="1" applyBorder="1" applyAlignment="1">
      <alignment horizontal="center" vertical="center"/>
    </xf>
    <xf numFmtId="171" fontId="20" fillId="0" borderId="4" xfId="0" applyNumberFormat="1" applyFont="1" applyBorder="1" applyAlignment="1">
      <alignment horizontal="center"/>
    </xf>
    <xf numFmtId="14" fontId="20" fillId="0" borderId="4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171" fontId="22" fillId="0" borderId="4" xfId="0" applyNumberFormat="1" applyFont="1" applyBorder="1" applyAlignment="1">
      <alignment horizontal="center" vertical="center"/>
    </xf>
    <xf numFmtId="171" fontId="23" fillId="0" borderId="0" xfId="0" applyNumberFormat="1" applyFont="1" applyAlignment="1">
      <alignment horizontal="center" vertical="center"/>
    </xf>
    <xf numFmtId="2" fontId="20" fillId="0" borderId="0" xfId="0" applyNumberFormat="1" applyFont="1"/>
    <xf numFmtId="0" fontId="20" fillId="22" borderId="12" xfId="0" applyFont="1" applyFill="1" applyBorder="1"/>
    <xf numFmtId="0" fontId="20" fillId="22" borderId="13" xfId="0" applyFont="1" applyFill="1" applyBorder="1" applyAlignment="1">
      <alignment horizontal="center"/>
    </xf>
    <xf numFmtId="0" fontId="20" fillId="22" borderId="14" xfId="0" applyFont="1" applyFill="1" applyBorder="1"/>
    <xf numFmtId="0" fontId="21" fillId="22" borderId="4" xfId="0" applyFont="1" applyFill="1" applyBorder="1" applyAlignment="1">
      <alignment horizontal="center"/>
    </xf>
    <xf numFmtId="0" fontId="21" fillId="22" borderId="4" xfId="0" applyFont="1" applyFill="1" applyBorder="1" applyAlignment="1">
      <alignment horizontal="center" wrapText="1"/>
    </xf>
    <xf numFmtId="0" fontId="21" fillId="22" borderId="4" xfId="0" applyFont="1" applyFill="1" applyBorder="1"/>
    <xf numFmtId="0" fontId="30" fillId="34" borderId="18" xfId="0" applyFont="1" applyFill="1" applyBorder="1" applyAlignment="1">
      <alignment vertical="center"/>
    </xf>
    <xf numFmtId="0" fontId="30" fillId="37" borderId="18" xfId="0" applyFont="1" applyFill="1" applyBorder="1" applyAlignment="1">
      <alignment vertical="center"/>
    </xf>
    <xf numFmtId="0" fontId="33" fillId="31" borderId="18" xfId="0" applyFont="1" applyFill="1" applyBorder="1" applyAlignment="1">
      <alignment vertical="center"/>
    </xf>
    <xf numFmtId="0" fontId="33" fillId="38" borderId="18" xfId="0" applyFont="1" applyFill="1" applyBorder="1" applyAlignment="1">
      <alignment vertical="center"/>
    </xf>
    <xf numFmtId="0" fontId="17" fillId="36" borderId="18" xfId="0" applyFont="1" applyFill="1" applyBorder="1" applyAlignment="1">
      <alignment vertical="center"/>
    </xf>
    <xf numFmtId="0" fontId="30" fillId="34" borderId="23" xfId="0" applyFont="1" applyFill="1" applyBorder="1" applyAlignment="1">
      <alignment vertical="center"/>
    </xf>
    <xf numFmtId="0" fontId="17" fillId="36" borderId="23" xfId="0" applyFont="1" applyFill="1" applyBorder="1" applyAlignment="1">
      <alignment vertical="center"/>
    </xf>
    <xf numFmtId="0" fontId="17" fillId="36" borderId="8" xfId="0" applyFont="1" applyFill="1" applyBorder="1" applyAlignment="1">
      <alignment vertical="center"/>
    </xf>
    <xf numFmtId="0" fontId="17" fillId="36" borderId="25" xfId="0" applyFont="1" applyFill="1" applyBorder="1" applyAlignment="1">
      <alignment vertical="center"/>
    </xf>
    <xf numFmtId="0" fontId="30" fillId="37" borderId="18" xfId="0" applyFont="1" applyFill="1" applyBorder="1" applyAlignment="1">
      <alignment horizontal="left" vertical="center"/>
    </xf>
    <xf numFmtId="0" fontId="30" fillId="37" borderId="23" xfId="0" applyFont="1" applyFill="1" applyBorder="1" applyAlignment="1">
      <alignment vertical="center"/>
    </xf>
    <xf numFmtId="0" fontId="17" fillId="38" borderId="18" xfId="0" applyFont="1" applyFill="1" applyBorder="1" applyAlignment="1">
      <alignment horizontal="left" vertical="center"/>
    </xf>
    <xf numFmtId="0" fontId="17" fillId="38" borderId="31" xfId="0" applyFont="1" applyFill="1" applyBorder="1" applyAlignment="1">
      <alignment vertical="center"/>
    </xf>
    <xf numFmtId="0" fontId="17" fillId="38" borderId="19" xfId="0" applyFont="1" applyFill="1" applyBorder="1" applyAlignment="1">
      <alignment horizontal="left" vertical="center"/>
    </xf>
    <xf numFmtId="0" fontId="17" fillId="38" borderId="18" xfId="0" applyFont="1" applyFill="1" applyBorder="1" applyAlignment="1">
      <alignment vertical="center"/>
    </xf>
    <xf numFmtId="0" fontId="17" fillId="38" borderId="19" xfId="0" applyFont="1" applyFill="1" applyBorder="1" applyAlignment="1">
      <alignment vertical="center"/>
    </xf>
    <xf numFmtId="0" fontId="17" fillId="35" borderId="22" xfId="0" applyFont="1" applyFill="1" applyBorder="1" applyAlignment="1">
      <alignment vertical="center"/>
    </xf>
    <xf numFmtId="0" fontId="25" fillId="22" borderId="13" xfId="0" applyFont="1" applyFill="1" applyBorder="1" applyAlignment="1">
      <alignment horizontal="center"/>
    </xf>
    <xf numFmtId="0" fontId="22" fillId="40" borderId="4" xfId="0" applyFont="1" applyFill="1" applyBorder="1" applyAlignment="1">
      <alignment horizontal="center" vertical="center" wrapText="1"/>
    </xf>
    <xf numFmtId="0" fontId="23" fillId="40" borderId="4" xfId="0" applyFont="1" applyFill="1" applyBorder="1" applyAlignment="1">
      <alignment horizontal="center" vertical="center" wrapText="1"/>
    </xf>
    <xf numFmtId="0" fontId="24" fillId="40" borderId="4" xfId="0" applyFont="1" applyFill="1" applyBorder="1" applyAlignment="1">
      <alignment horizontal="center" vertical="center" wrapText="1"/>
    </xf>
    <xf numFmtId="0" fontId="22" fillId="40" borderId="4" xfId="0" applyFont="1" applyFill="1" applyBorder="1" applyAlignment="1">
      <alignment horizontal="center" vertical="center"/>
    </xf>
    <xf numFmtId="0" fontId="24" fillId="40" borderId="4" xfId="0" applyFont="1" applyFill="1" applyBorder="1" applyAlignment="1">
      <alignment horizontal="center" vertical="center"/>
    </xf>
    <xf numFmtId="0" fontId="20" fillId="40" borderId="0" xfId="0" applyFont="1" applyFill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4" borderId="4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22" fillId="6" borderId="4" xfId="0" applyFont="1" applyFill="1" applyBorder="1" applyAlignment="1">
      <alignment horizontal="center" vertical="center" wrapText="1"/>
    </xf>
    <xf numFmtId="0" fontId="22" fillId="13" borderId="4" xfId="0" applyFont="1" applyFill="1" applyBorder="1" applyAlignment="1">
      <alignment horizontal="center" vertical="center" wrapText="1"/>
    </xf>
    <xf numFmtId="0" fontId="24" fillId="8" borderId="4" xfId="0" applyFont="1" applyFill="1" applyBorder="1" applyAlignment="1">
      <alignment horizontal="center" vertical="center" wrapText="1"/>
    </xf>
    <xf numFmtId="0" fontId="22" fillId="10" borderId="4" xfId="0" applyFont="1" applyFill="1" applyBorder="1" applyAlignment="1">
      <alignment horizontal="center" vertical="center"/>
    </xf>
    <xf numFmtId="0" fontId="26" fillId="15" borderId="4" xfId="0" applyFont="1" applyFill="1" applyBorder="1" applyAlignment="1">
      <alignment horizontal="center" vertical="center"/>
    </xf>
    <xf numFmtId="0" fontId="20" fillId="0" borderId="0" xfId="0" applyFont="1" applyAlignment="1">
      <alignment horizontal="center" wrapText="1"/>
    </xf>
    <xf numFmtId="0" fontId="20" fillId="22" borderId="13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center" wrapText="1"/>
    </xf>
    <xf numFmtId="0" fontId="20" fillId="0" borderId="4" xfId="0" applyFont="1" applyBorder="1" applyAlignment="1">
      <alignment vertical="center"/>
    </xf>
    <xf numFmtId="0" fontId="20" fillId="0" borderId="4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171" fontId="20" fillId="0" borderId="4" xfId="0" applyNumberFormat="1" applyFont="1" applyBorder="1" applyAlignment="1">
      <alignment horizontal="center" vertical="center"/>
    </xf>
    <xf numFmtId="172" fontId="20" fillId="0" borderId="0" xfId="0" applyNumberFormat="1" applyFont="1" applyAlignment="1">
      <alignment horizontal="center" wrapText="1"/>
    </xf>
    <xf numFmtId="172" fontId="20" fillId="22" borderId="13" xfId="0" applyNumberFormat="1" applyFont="1" applyFill="1" applyBorder="1" applyAlignment="1">
      <alignment horizontal="center" wrapText="1"/>
    </xf>
    <xf numFmtId="172" fontId="21" fillId="22" borderId="4" xfId="0" applyNumberFormat="1" applyFont="1" applyFill="1" applyBorder="1" applyAlignment="1">
      <alignment horizontal="center" wrapText="1"/>
    </xf>
    <xf numFmtId="172" fontId="20" fillId="0" borderId="4" xfId="0" applyNumberFormat="1" applyFont="1" applyBorder="1" applyAlignment="1">
      <alignment horizontal="center" wrapText="1"/>
    </xf>
    <xf numFmtId="172" fontId="20" fillId="0" borderId="0" xfId="0" applyNumberFormat="1" applyFont="1" applyAlignment="1">
      <alignment vertical="center"/>
    </xf>
    <xf numFmtId="172" fontId="46" fillId="0" borderId="4" xfId="0" applyNumberFormat="1" applyFont="1" applyBorder="1" applyAlignment="1">
      <alignment horizontal="center" vertical="center" wrapText="1"/>
    </xf>
    <xf numFmtId="173" fontId="27" fillId="0" borderId="3" xfId="1" applyNumberFormat="1" applyFont="1" applyFill="1" applyBorder="1" applyAlignment="1">
      <alignment horizontal="center" vertical="center"/>
    </xf>
    <xf numFmtId="173" fontId="27" fillId="0" borderId="24" xfId="1" applyNumberFormat="1" applyFont="1" applyFill="1" applyBorder="1" applyAlignment="1">
      <alignment horizontal="center" vertical="center"/>
    </xf>
    <xf numFmtId="173" fontId="27" fillId="0" borderId="1" xfId="1" applyNumberFormat="1" applyFont="1" applyFill="1" applyBorder="1" applyAlignment="1">
      <alignment horizontal="center" vertical="center"/>
    </xf>
    <xf numFmtId="173" fontId="27" fillId="0" borderId="28" xfId="1" applyNumberFormat="1" applyFont="1" applyFill="1" applyBorder="1" applyAlignment="1">
      <alignment horizontal="center" vertical="center"/>
    </xf>
    <xf numFmtId="173" fontId="27" fillId="0" borderId="20" xfId="1" applyNumberFormat="1" applyFont="1" applyFill="1" applyBorder="1" applyAlignment="1">
      <alignment horizontal="center" vertical="center"/>
    </xf>
    <xf numFmtId="0" fontId="37" fillId="39" borderId="30" xfId="2" applyFont="1" applyFill="1" applyBorder="1" applyAlignment="1">
      <alignment horizontal="center" vertical="center" wrapText="1"/>
    </xf>
    <xf numFmtId="0" fontId="38" fillId="33" borderId="30" xfId="2" applyFont="1" applyFill="1" applyBorder="1" applyAlignment="1">
      <alignment vertical="center"/>
    </xf>
    <xf numFmtId="0" fontId="4" fillId="0" borderId="6" xfId="2" applyFont="1" applyBorder="1" applyAlignment="1">
      <alignment horizontal="center" vertical="center"/>
    </xf>
    <xf numFmtId="167" fontId="13" fillId="2" borderId="0" xfId="2" applyNumberFormat="1" applyFont="1" applyFill="1" applyAlignment="1">
      <alignment horizontal="center" vertical="center" wrapText="1"/>
    </xf>
    <xf numFmtId="10" fontId="35" fillId="34" borderId="5" xfId="2" applyNumberFormat="1" applyFont="1" applyFill="1" applyBorder="1" applyAlignment="1">
      <alignment horizontal="center" vertical="center"/>
    </xf>
    <xf numFmtId="49" fontId="35" fillId="34" borderId="6" xfId="2" applyNumberFormat="1" applyFont="1" applyFill="1" applyBorder="1" applyAlignment="1">
      <alignment horizontal="center" vertical="center" wrapText="1"/>
    </xf>
    <xf numFmtId="0" fontId="6" fillId="0" borderId="0" xfId="2"/>
    <xf numFmtId="165" fontId="9" fillId="20" borderId="4" xfId="2" applyNumberFormat="1" applyFont="1" applyFill="1" applyBorder="1" applyAlignment="1">
      <alignment horizontal="center" vertical="center" wrapText="1"/>
    </xf>
    <xf numFmtId="165" fontId="9" fillId="20" borderId="0" xfId="2" applyNumberFormat="1" applyFont="1" applyFill="1" applyAlignment="1">
      <alignment horizontal="center" vertical="center" wrapText="1"/>
    </xf>
    <xf numFmtId="170" fontId="14" fillId="24" borderId="1" xfId="2" applyNumberFormat="1" applyFont="1" applyFill="1" applyBorder="1" applyAlignment="1">
      <alignment horizontal="center" vertical="center" wrapText="1"/>
    </xf>
    <xf numFmtId="165" fontId="9" fillId="18" borderId="1" xfId="2" applyNumberFormat="1" applyFont="1" applyFill="1" applyBorder="1" applyAlignment="1">
      <alignment horizontal="center" vertical="center" wrapText="1"/>
    </xf>
    <xf numFmtId="165" fontId="9" fillId="19" borderId="1" xfId="2" applyNumberFormat="1" applyFont="1" applyFill="1" applyBorder="1" applyAlignment="1">
      <alignment horizontal="center" vertical="center" wrapText="1"/>
    </xf>
    <xf numFmtId="165" fontId="9" fillId="17" borderId="1" xfId="2" applyNumberFormat="1" applyFont="1" applyFill="1" applyBorder="1" applyAlignment="1">
      <alignment horizontal="center" vertical="center" wrapText="1"/>
    </xf>
    <xf numFmtId="0" fontId="10" fillId="0" borderId="0" xfId="2" applyFont="1"/>
    <xf numFmtId="164" fontId="57" fillId="21" borderId="24" xfId="2" applyNumberFormat="1" applyFont="1" applyFill="1" applyBorder="1" applyAlignment="1">
      <alignment horizontal="center" vertical="center"/>
    </xf>
    <xf numFmtId="168" fontId="37" fillId="43" borderId="24" xfId="2" applyNumberFormat="1" applyFont="1" applyFill="1" applyBorder="1" applyAlignment="1">
      <alignment horizontal="center" vertical="center" wrapText="1"/>
    </xf>
    <xf numFmtId="164" fontId="47" fillId="42" borderId="24" xfId="2" applyNumberFormat="1" applyFont="1" applyFill="1" applyBorder="1" applyAlignment="1">
      <alignment horizontal="center" vertical="center"/>
    </xf>
    <xf numFmtId="168" fontId="36" fillId="44" borderId="24" xfId="2" applyNumberFormat="1" applyFont="1" applyFill="1" applyBorder="1" applyAlignment="1">
      <alignment horizontal="center" vertical="center" wrapText="1"/>
    </xf>
    <xf numFmtId="172" fontId="47" fillId="41" borderId="24" xfId="2" applyNumberFormat="1" applyFont="1" applyFill="1" applyBorder="1" applyAlignment="1">
      <alignment horizontal="center" vertical="center"/>
    </xf>
    <xf numFmtId="172" fontId="56" fillId="33" borderId="24" xfId="2" applyNumberFormat="1" applyFont="1" applyFill="1" applyBorder="1" applyAlignment="1">
      <alignment horizontal="center" vertical="center"/>
    </xf>
    <xf numFmtId="164" fontId="57" fillId="21" borderId="3" xfId="2" applyNumberFormat="1" applyFont="1" applyFill="1" applyBorder="1" applyAlignment="1">
      <alignment horizontal="center" vertical="center"/>
    </xf>
    <xf numFmtId="168" fontId="37" fillId="43" borderId="3" xfId="2" applyNumberFormat="1" applyFont="1" applyFill="1" applyBorder="1" applyAlignment="1">
      <alignment horizontal="center" vertical="center" wrapText="1"/>
    </xf>
    <xf numFmtId="164" fontId="47" fillId="42" borderId="3" xfId="2" applyNumberFormat="1" applyFont="1" applyFill="1" applyBorder="1" applyAlignment="1">
      <alignment horizontal="center" vertical="center"/>
    </xf>
    <xf numFmtId="168" fontId="36" fillId="44" borderId="3" xfId="2" applyNumberFormat="1" applyFont="1" applyFill="1" applyBorder="1" applyAlignment="1">
      <alignment horizontal="center" vertical="center" wrapText="1"/>
    </xf>
    <xf numFmtId="172" fontId="47" fillId="41" borderId="3" xfId="2" applyNumberFormat="1" applyFont="1" applyFill="1" applyBorder="1" applyAlignment="1">
      <alignment horizontal="center" vertical="center"/>
    </xf>
    <xf numFmtId="164" fontId="57" fillId="21" borderId="28" xfId="2" applyNumberFormat="1" applyFont="1" applyFill="1" applyBorder="1" applyAlignment="1">
      <alignment horizontal="center" vertical="center"/>
    </xf>
    <xf numFmtId="168" fontId="37" fillId="43" borderId="28" xfId="2" applyNumberFormat="1" applyFont="1" applyFill="1" applyBorder="1" applyAlignment="1">
      <alignment horizontal="center" vertical="center" wrapText="1"/>
    </xf>
    <xf numFmtId="164" fontId="47" fillId="42" borderId="28" xfId="2" applyNumberFormat="1" applyFont="1" applyFill="1" applyBorder="1" applyAlignment="1">
      <alignment horizontal="center" vertical="center"/>
    </xf>
    <xf numFmtId="168" fontId="36" fillId="44" borderId="28" xfId="2" applyNumberFormat="1" applyFont="1" applyFill="1" applyBorder="1" applyAlignment="1">
      <alignment horizontal="center" vertical="center" wrapText="1"/>
    </xf>
    <xf numFmtId="172" fontId="47" fillId="41" borderId="28" xfId="2" applyNumberFormat="1" applyFont="1" applyFill="1" applyBorder="1" applyAlignment="1">
      <alignment horizontal="center" vertical="center"/>
    </xf>
    <xf numFmtId="0" fontId="36" fillId="45" borderId="4" xfId="2" applyFont="1" applyFill="1" applyBorder="1" applyAlignment="1">
      <alignment horizontal="center" vertical="center" wrapText="1"/>
    </xf>
    <xf numFmtId="168" fontId="40" fillId="32" borderId="1" xfId="2" applyNumberFormat="1" applyFont="1" applyFill="1" applyBorder="1" applyAlignment="1">
      <alignment horizontal="center" vertical="center" wrapText="1"/>
    </xf>
    <xf numFmtId="168" fontId="36" fillId="2" borderId="3" xfId="2" applyNumberFormat="1" applyFont="1" applyFill="1" applyBorder="1" applyAlignment="1">
      <alignment horizontal="center" vertical="center" wrapText="1"/>
    </xf>
    <xf numFmtId="0" fontId="43" fillId="50" borderId="4" xfId="2" applyFont="1" applyFill="1" applyBorder="1" applyAlignment="1">
      <alignment horizontal="center" vertical="center" wrapText="1"/>
    </xf>
    <xf numFmtId="168" fontId="40" fillId="32" borderId="20" xfId="2" applyNumberFormat="1" applyFont="1" applyFill="1" applyBorder="1" applyAlignment="1">
      <alignment horizontal="center" vertical="center" wrapText="1"/>
    </xf>
    <xf numFmtId="168" fontId="36" fillId="2" borderId="28" xfId="2" applyNumberFormat="1" applyFont="1" applyFill="1" applyBorder="1" applyAlignment="1">
      <alignment horizontal="center" vertical="center" wrapText="1"/>
    </xf>
    <xf numFmtId="168" fontId="40" fillId="32" borderId="24" xfId="2" applyNumberFormat="1" applyFont="1" applyFill="1" applyBorder="1" applyAlignment="1">
      <alignment horizontal="center" vertical="center" wrapText="1"/>
    </xf>
    <xf numFmtId="168" fontId="36" fillId="2" borderId="24" xfId="2" applyNumberFormat="1" applyFont="1" applyFill="1" applyBorder="1" applyAlignment="1">
      <alignment horizontal="center" vertical="center" wrapText="1"/>
    </xf>
    <xf numFmtId="0" fontId="43" fillId="47" borderId="4" xfId="2" applyFont="1" applyFill="1" applyBorder="1" applyAlignment="1">
      <alignment horizontal="center" vertical="center" wrapText="1"/>
    </xf>
    <xf numFmtId="0" fontId="43" fillId="47" borderId="21" xfId="2" applyFont="1" applyFill="1" applyBorder="1" applyAlignment="1">
      <alignment horizontal="center" vertical="center" wrapText="1"/>
    </xf>
    <xf numFmtId="168" fontId="40" fillId="32" borderId="3" xfId="2" applyNumberFormat="1" applyFont="1" applyFill="1" applyBorder="1" applyAlignment="1">
      <alignment horizontal="center" vertical="center" wrapText="1"/>
    </xf>
    <xf numFmtId="0" fontId="43" fillId="13" borderId="7" xfId="2" applyFont="1" applyFill="1" applyBorder="1" applyAlignment="1">
      <alignment horizontal="center" vertical="center" wrapText="1"/>
    </xf>
    <xf numFmtId="0" fontId="43" fillId="13" borderId="4" xfId="2" applyFont="1" applyFill="1" applyBorder="1" applyAlignment="1">
      <alignment horizontal="center" vertical="center" wrapText="1"/>
    </xf>
    <xf numFmtId="0" fontId="43" fillId="48" borderId="4" xfId="2" applyFont="1" applyFill="1" applyBorder="1" applyAlignment="1">
      <alignment horizontal="center" vertical="center" wrapText="1"/>
    </xf>
    <xf numFmtId="0" fontId="45" fillId="8" borderId="4" xfId="2" applyFont="1" applyFill="1" applyBorder="1" applyAlignment="1">
      <alignment horizontal="center" vertical="center" wrapText="1"/>
    </xf>
    <xf numFmtId="0" fontId="11" fillId="0" borderId="0" xfId="2" applyFont="1"/>
    <xf numFmtId="0" fontId="5" fillId="0" borderId="0" xfId="2" applyFont="1" applyAlignment="1">
      <alignment horizontal="center" vertical="center"/>
    </xf>
    <xf numFmtId="0" fontId="5" fillId="21" borderId="0" xfId="2" applyFont="1" applyFill="1" applyAlignment="1">
      <alignment horizontal="center" vertical="center"/>
    </xf>
    <xf numFmtId="165" fontId="2" fillId="0" borderId="0" xfId="2" applyNumberFormat="1" applyFont="1" applyAlignment="1">
      <alignment horizontal="right"/>
    </xf>
    <xf numFmtId="165" fontId="2" fillId="0" borderId="0" xfId="2" applyNumberFormat="1" applyFont="1" applyAlignment="1">
      <alignment horizontal="center"/>
    </xf>
    <xf numFmtId="166" fontId="7" fillId="0" borderId="0" xfId="2" applyNumberFormat="1" applyFont="1" applyAlignment="1">
      <alignment vertical="center"/>
    </xf>
    <xf numFmtId="166" fontId="3" fillId="0" borderId="0" xfId="2" applyNumberFormat="1" applyFont="1" applyAlignment="1">
      <alignment vertical="center"/>
    </xf>
    <xf numFmtId="166" fontId="3" fillId="0" borderId="0" xfId="2" applyNumberFormat="1" applyFont="1" applyAlignment="1">
      <alignment horizontal="center" vertical="center"/>
    </xf>
    <xf numFmtId="166" fontId="55" fillId="0" borderId="0" xfId="2" applyNumberFormat="1" applyFont="1" applyAlignment="1">
      <alignment horizontal="center" vertical="center"/>
    </xf>
    <xf numFmtId="0" fontId="2" fillId="0" borderId="0" xfId="2" applyFont="1"/>
    <xf numFmtId="0" fontId="2" fillId="0" borderId="0" xfId="2" applyFont="1" applyAlignment="1">
      <alignment horizontal="center" vertical="center"/>
    </xf>
    <xf numFmtId="165" fontId="2" fillId="0" borderId="0" xfId="2" applyNumberFormat="1" applyFont="1" applyAlignment="1">
      <alignment horizontal="center" vertical="center"/>
    </xf>
    <xf numFmtId="0" fontId="6" fillId="0" borderId="0" xfId="2" applyAlignment="1">
      <alignment horizontal="center" vertical="center"/>
    </xf>
    <xf numFmtId="0" fontId="8" fillId="0" borderId="0" xfId="2" applyFont="1"/>
    <xf numFmtId="0" fontId="6" fillId="0" borderId="0" xfId="2" applyAlignment="1">
      <alignment horizontal="center"/>
    </xf>
    <xf numFmtId="0" fontId="16" fillId="11" borderId="1" xfId="2" applyFont="1" applyFill="1" applyBorder="1" applyAlignment="1">
      <alignment vertical="center"/>
    </xf>
    <xf numFmtId="0" fontId="15" fillId="11" borderId="1" xfId="2" applyFont="1" applyFill="1" applyBorder="1" applyAlignment="1">
      <alignment vertical="center"/>
    </xf>
    <xf numFmtId="0" fontId="49" fillId="43" borderId="23" xfId="2" applyFont="1" applyFill="1" applyBorder="1" applyAlignment="1">
      <alignment vertical="center"/>
    </xf>
    <xf numFmtId="0" fontId="29" fillId="27" borderId="18" xfId="2" applyFont="1" applyFill="1" applyBorder="1" applyAlignment="1">
      <alignment vertical="center"/>
    </xf>
    <xf numFmtId="0" fontId="49" fillId="43" borderId="17" xfId="2" applyFont="1" applyFill="1" applyBorder="1" applyAlignment="1">
      <alignment vertical="center"/>
    </xf>
    <xf numFmtId="0" fontId="30" fillId="11" borderId="18" xfId="2" applyFont="1" applyFill="1" applyBorder="1" applyAlignment="1">
      <alignment vertical="center"/>
    </xf>
    <xf numFmtId="0" fontId="50" fillId="43" borderId="18" xfId="2" applyFont="1" applyFill="1" applyBorder="1" applyAlignment="1">
      <alignment vertical="center"/>
    </xf>
    <xf numFmtId="0" fontId="49" fillId="43" borderId="27" xfId="2" applyFont="1" applyFill="1" applyBorder="1" applyAlignment="1">
      <alignment vertical="center"/>
    </xf>
    <xf numFmtId="0" fontId="50" fillId="43" borderId="19" xfId="2" applyFont="1" applyFill="1" applyBorder="1" applyAlignment="1">
      <alignment vertical="center"/>
    </xf>
    <xf numFmtId="0" fontId="16" fillId="12" borderId="1" xfId="2" applyFont="1" applyFill="1" applyBorder="1" applyAlignment="1">
      <alignment vertical="center"/>
    </xf>
    <xf numFmtId="0" fontId="51" fillId="32" borderId="18" xfId="2" applyFont="1" applyFill="1" applyBorder="1" applyAlignment="1">
      <alignment vertical="center"/>
    </xf>
    <xf numFmtId="0" fontId="29" fillId="29" borderId="18" xfId="2" applyFont="1" applyFill="1" applyBorder="1" applyAlignment="1">
      <alignment vertical="center"/>
    </xf>
    <xf numFmtId="0" fontId="52" fillId="49" borderId="18" xfId="2" applyFont="1" applyFill="1" applyBorder="1" applyAlignment="1">
      <alignment vertical="center"/>
    </xf>
    <xf numFmtId="0" fontId="30" fillId="12" borderId="18" xfId="2" applyFont="1" applyFill="1" applyBorder="1" applyAlignment="1">
      <alignment vertical="center"/>
    </xf>
    <xf numFmtId="0" fontId="16" fillId="12" borderId="18" xfId="2" applyFont="1" applyFill="1" applyBorder="1" applyAlignment="1">
      <alignment vertical="center"/>
    </xf>
    <xf numFmtId="0" fontId="51" fillId="46" borderId="18" xfId="2" applyFont="1" applyFill="1" applyBorder="1" applyAlignment="1">
      <alignment vertical="center"/>
    </xf>
    <xf numFmtId="0" fontId="17" fillId="12" borderId="1" xfId="2" applyFont="1" applyFill="1" applyBorder="1" applyAlignment="1">
      <alignment vertical="center"/>
    </xf>
    <xf numFmtId="0" fontId="53" fillId="46" borderId="18" xfId="2" applyFont="1" applyFill="1" applyBorder="1" applyAlignment="1">
      <alignment vertical="center"/>
    </xf>
    <xf numFmtId="0" fontId="29" fillId="30" borderId="18" xfId="2" applyFont="1" applyFill="1" applyBorder="1" applyAlignment="1">
      <alignment vertical="center"/>
    </xf>
    <xf numFmtId="0" fontId="17" fillId="12" borderId="18" xfId="2" applyFont="1" applyFill="1" applyBorder="1" applyAlignment="1">
      <alignment vertical="center"/>
    </xf>
    <xf numFmtId="0" fontId="16" fillId="5" borderId="1" xfId="2" applyFont="1" applyFill="1" applyBorder="1" applyAlignment="1">
      <alignment horizontal="left" vertical="center"/>
    </xf>
    <xf numFmtId="0" fontId="53" fillId="46" borderId="19" xfId="2" applyFont="1" applyFill="1" applyBorder="1" applyAlignment="1">
      <alignment vertical="center"/>
    </xf>
    <xf numFmtId="0" fontId="30" fillId="12" borderId="19" xfId="2" applyFont="1" applyFill="1" applyBorder="1" applyAlignment="1">
      <alignment vertical="center"/>
    </xf>
    <xf numFmtId="0" fontId="53" fillId="46" borderId="23" xfId="2" applyFont="1" applyFill="1" applyBorder="1" applyAlignment="1">
      <alignment vertical="center"/>
    </xf>
    <xf numFmtId="0" fontId="31" fillId="25" borderId="3" xfId="2" applyFont="1" applyFill="1" applyBorder="1" applyAlignment="1">
      <alignment horizontal="left" vertical="center"/>
    </xf>
    <xf numFmtId="0" fontId="16" fillId="5" borderId="1" xfId="2" applyFont="1" applyFill="1" applyBorder="1" applyAlignment="1">
      <alignment vertical="center"/>
    </xf>
    <xf numFmtId="0" fontId="19" fillId="5" borderId="1" xfId="2" applyFont="1" applyFill="1" applyBorder="1" applyAlignment="1">
      <alignment horizontal="left" vertical="center"/>
    </xf>
    <xf numFmtId="0" fontId="29" fillId="26" borderId="1" xfId="2" applyFont="1" applyFill="1" applyBorder="1" applyAlignment="1">
      <alignment horizontal="left" vertical="center"/>
    </xf>
    <xf numFmtId="0" fontId="29" fillId="26" borderId="1" xfId="2" applyFont="1" applyFill="1" applyBorder="1" applyAlignment="1">
      <alignment vertical="center"/>
    </xf>
    <xf numFmtId="0" fontId="32" fillId="5" borderId="1" xfId="2" applyFont="1" applyFill="1" applyBorder="1" applyAlignment="1">
      <alignment vertical="center"/>
    </xf>
    <xf numFmtId="0" fontId="18" fillId="16" borderId="1" xfId="2" applyFont="1" applyFill="1" applyBorder="1" applyAlignment="1">
      <alignment vertical="center"/>
    </xf>
    <xf numFmtId="0" fontId="18" fillId="5" borderId="1" xfId="2" applyFont="1" applyFill="1" applyBorder="1" applyAlignment="1">
      <alignment vertical="center"/>
    </xf>
    <xf numFmtId="0" fontId="18" fillId="28" borderId="1" xfId="2" applyFont="1" applyFill="1" applyBorder="1" applyAlignment="1">
      <alignment horizontal="left" vertical="center"/>
    </xf>
    <xf numFmtId="0" fontId="32" fillId="5" borderId="1" xfId="2" applyFont="1" applyFill="1" applyBorder="1" applyAlignment="1">
      <alignment horizontal="left" vertical="center"/>
    </xf>
    <xf numFmtId="0" fontId="17" fillId="14" borderId="1" xfId="2" applyFont="1" applyFill="1" applyBorder="1" applyAlignment="1">
      <alignment vertical="center"/>
    </xf>
    <xf numFmtId="0" fontId="30" fillId="14" borderId="1" xfId="2" applyFont="1" applyFill="1" applyBorder="1" applyAlignment="1">
      <alignment vertical="center"/>
    </xf>
    <xf numFmtId="0" fontId="53" fillId="46" borderId="3" xfId="2" applyFont="1" applyFill="1" applyBorder="1" applyAlignment="1">
      <alignment vertical="center"/>
    </xf>
    <xf numFmtId="0" fontId="15" fillId="7" borderId="1" xfId="2" applyFont="1" applyFill="1" applyBorder="1" applyAlignment="1">
      <alignment vertical="center"/>
    </xf>
    <xf numFmtId="0" fontId="53" fillId="46" borderId="1" xfId="2" applyFont="1" applyFill="1" applyBorder="1" applyAlignment="1">
      <alignment vertical="center"/>
    </xf>
    <xf numFmtId="0" fontId="18" fillId="28" borderId="1" xfId="2" applyFont="1" applyFill="1" applyBorder="1" applyAlignment="1">
      <alignment vertical="center"/>
    </xf>
    <xf numFmtId="0" fontId="15" fillId="8" borderId="1" xfId="2" applyFont="1" applyFill="1" applyBorder="1" applyAlignment="1">
      <alignment vertical="center"/>
    </xf>
    <xf numFmtId="0" fontId="18" fillId="26" borderId="1" xfId="2" applyFont="1" applyFill="1" applyBorder="1" applyAlignment="1">
      <alignment vertical="center"/>
    </xf>
    <xf numFmtId="0" fontId="15" fillId="8" borderId="4" xfId="2" applyFont="1" applyFill="1" applyBorder="1" applyAlignment="1">
      <alignment vertical="center"/>
    </xf>
    <xf numFmtId="0" fontId="15" fillId="7" borderId="4" xfId="2" applyFont="1" applyFill="1" applyBorder="1" applyAlignment="1">
      <alignment vertical="center"/>
    </xf>
    <xf numFmtId="0" fontId="54" fillId="46" borderId="1" xfId="2" applyFont="1" applyFill="1" applyBorder="1" applyAlignment="1">
      <alignment vertical="center"/>
    </xf>
    <xf numFmtId="0" fontId="18" fillId="7" borderId="1" xfId="2" applyFont="1" applyFill="1" applyBorder="1" applyAlignment="1">
      <alignment vertical="center"/>
    </xf>
    <xf numFmtId="0" fontId="16" fillId="9" borderId="1" xfId="2" applyFont="1" applyFill="1" applyBorder="1" applyAlignment="1">
      <alignment vertical="center"/>
    </xf>
    <xf numFmtId="0" fontId="15" fillId="16" borderId="2" xfId="2" applyFont="1" applyFill="1" applyBorder="1" applyAlignment="1">
      <alignment vertical="center"/>
    </xf>
    <xf numFmtId="0" fontId="29" fillId="26" borderId="15" xfId="2" applyFont="1" applyFill="1" applyBorder="1" applyAlignment="1">
      <alignment vertical="center"/>
    </xf>
    <xf numFmtId="0" fontId="15" fillId="16" borderId="1" xfId="2" applyFont="1" applyFill="1" applyBorder="1" applyAlignment="1">
      <alignment vertical="center"/>
    </xf>
    <xf numFmtId="0" fontId="18" fillId="16" borderId="4" xfId="2" applyFont="1" applyFill="1" applyBorder="1" applyAlignment="1">
      <alignment vertical="center"/>
    </xf>
    <xf numFmtId="0" fontId="15" fillId="15" borderId="0" xfId="2" applyFont="1" applyFill="1" applyAlignment="1">
      <alignment vertical="center"/>
    </xf>
    <xf numFmtId="0" fontId="30" fillId="34" borderId="34" xfId="0" applyFont="1" applyFill="1" applyBorder="1" applyAlignment="1">
      <alignment vertical="center"/>
    </xf>
    <xf numFmtId="0" fontId="17" fillId="38" borderId="33" xfId="0" applyFont="1" applyFill="1" applyBorder="1" applyAlignment="1">
      <alignment vertical="center"/>
    </xf>
    <xf numFmtId="0" fontId="30" fillId="37" borderId="34" xfId="0" applyFont="1" applyFill="1" applyBorder="1" applyAlignment="1">
      <alignment vertical="center"/>
    </xf>
    <xf numFmtId="0" fontId="17" fillId="38" borderId="34" xfId="0" applyFont="1" applyFill="1" applyBorder="1" applyAlignment="1">
      <alignment vertical="center"/>
    </xf>
    <xf numFmtId="0" fontId="17" fillId="38" borderId="34" xfId="0" applyFont="1" applyFill="1" applyBorder="1" applyAlignment="1">
      <alignment horizontal="left" vertical="center"/>
    </xf>
    <xf numFmtId="0" fontId="17" fillId="36" borderId="35" xfId="0" applyFont="1" applyFill="1" applyBorder="1" applyAlignment="1">
      <alignment vertical="center"/>
    </xf>
    <xf numFmtId="0" fontId="17" fillId="36" borderId="34" xfId="0" applyFont="1" applyFill="1" applyBorder="1" applyAlignment="1">
      <alignment vertical="center"/>
    </xf>
    <xf numFmtId="0" fontId="17" fillId="36" borderId="36" xfId="0" applyFont="1" applyFill="1" applyBorder="1" applyAlignment="1">
      <alignment vertical="center"/>
    </xf>
    <xf numFmtId="0" fontId="17" fillId="36" borderId="37" xfId="0" applyFont="1" applyFill="1" applyBorder="1" applyAlignment="1">
      <alignment horizontal="left" vertical="center"/>
    </xf>
    <xf numFmtId="0" fontId="17" fillId="36" borderId="38" xfId="0" applyFont="1" applyFill="1" applyBorder="1" applyAlignment="1">
      <alignment vertical="center"/>
    </xf>
    <xf numFmtId="0" fontId="17" fillId="36" borderId="39" xfId="0" applyFont="1" applyFill="1" applyBorder="1" applyAlignment="1">
      <alignment horizontal="left" vertical="center"/>
    </xf>
    <xf numFmtId="0" fontId="39" fillId="0" borderId="18" xfId="2" applyFont="1" applyBorder="1" applyAlignment="1">
      <alignment vertical="center"/>
    </xf>
    <xf numFmtId="0" fontId="39" fillId="0" borderId="19" xfId="2" applyFont="1" applyBorder="1" applyAlignment="1">
      <alignment vertical="center"/>
    </xf>
    <xf numFmtId="0" fontId="39" fillId="0" borderId="23" xfId="2" applyFont="1" applyBorder="1" applyAlignment="1">
      <alignment vertical="center"/>
    </xf>
    <xf numFmtId="0" fontId="39" fillId="0" borderId="3" xfId="2" applyFont="1" applyBorder="1" applyAlignment="1">
      <alignment vertical="center"/>
    </xf>
    <xf numFmtId="0" fontId="39" fillId="0" borderId="1" xfId="2" applyFont="1" applyBorder="1" applyAlignment="1">
      <alignment vertical="center"/>
    </xf>
    <xf numFmtId="0" fontId="41" fillId="0" borderId="1" xfId="2" applyFont="1" applyBorder="1" applyAlignment="1">
      <alignment vertical="center"/>
    </xf>
    <xf numFmtId="0" fontId="58" fillId="0" borderId="23" xfId="2" applyFont="1" applyBorder="1" applyAlignment="1">
      <alignment vertical="center"/>
    </xf>
    <xf numFmtId="0" fontId="58" fillId="0" borderId="17" xfId="2" applyFont="1" applyBorder="1" applyAlignment="1">
      <alignment vertical="center"/>
    </xf>
    <xf numFmtId="0" fontId="41" fillId="0" borderId="18" xfId="2" applyFont="1" applyBorder="1" applyAlignment="1">
      <alignment vertical="center"/>
    </xf>
    <xf numFmtId="0" fontId="58" fillId="0" borderId="27" xfId="2" applyFont="1" applyBorder="1" applyAlignment="1">
      <alignment vertical="center"/>
    </xf>
    <xf numFmtId="0" fontId="41" fillId="0" borderId="23" xfId="2" applyFont="1" applyBorder="1" applyAlignment="1">
      <alignment vertical="center"/>
    </xf>
    <xf numFmtId="0" fontId="41" fillId="0" borderId="19" xfId="2" applyFont="1" applyBorder="1" applyAlignment="1">
      <alignment vertical="center"/>
    </xf>
    <xf numFmtId="169" fontId="59" fillId="23" borderId="32" xfId="1" applyNumberFormat="1" applyFont="1" applyFill="1" applyBorder="1" applyAlignment="1">
      <alignment horizontal="center" vertical="center" wrapText="1"/>
    </xf>
    <xf numFmtId="165" fontId="13" fillId="19" borderId="1" xfId="2" applyNumberFormat="1" applyFont="1" applyFill="1" applyBorder="1" applyAlignment="1">
      <alignment horizontal="center" vertical="center" wrapText="1"/>
    </xf>
    <xf numFmtId="165" fontId="13" fillId="17" borderId="3" xfId="2" applyNumberFormat="1" applyFont="1" applyFill="1" applyBorder="1" applyAlignment="1">
      <alignment horizontal="center" vertical="center" wrapText="1"/>
    </xf>
    <xf numFmtId="0" fontId="60" fillId="46" borderId="18" xfId="2" applyFont="1" applyFill="1" applyBorder="1" applyAlignment="1">
      <alignment vertical="center"/>
    </xf>
    <xf numFmtId="0" fontId="60" fillId="46" borderId="1" xfId="2" applyFont="1" applyFill="1" applyBorder="1" applyAlignment="1">
      <alignment vertical="center"/>
    </xf>
    <xf numFmtId="0" fontId="61" fillId="21" borderId="4" xfId="2" applyFont="1" applyFill="1" applyBorder="1" applyAlignment="1">
      <alignment horizontal="center" vertical="center" wrapText="1"/>
    </xf>
    <xf numFmtId="0" fontId="61" fillId="34" borderId="29" xfId="2" applyFont="1" applyFill="1" applyBorder="1" applyAlignment="1">
      <alignment horizontal="center" vertical="center" wrapText="1"/>
    </xf>
    <xf numFmtId="0" fontId="61" fillId="35" borderId="21" xfId="2" applyFont="1" applyFill="1" applyBorder="1" applyAlignment="1">
      <alignment horizontal="center" vertical="center" wrapText="1"/>
    </xf>
    <xf numFmtId="0" fontId="61" fillId="45" borderId="4" xfId="2" applyFont="1" applyFill="1" applyBorder="1" applyAlignment="1">
      <alignment horizontal="center" vertical="center" wrapText="1"/>
    </xf>
    <xf numFmtId="0" fontId="48" fillId="13" borderId="4" xfId="2" applyFont="1" applyFill="1" applyBorder="1" applyAlignment="1">
      <alignment horizontal="center" vertical="center" wrapText="1"/>
    </xf>
    <xf numFmtId="0" fontId="48" fillId="48" borderId="4" xfId="2" applyFont="1" applyFill="1" applyBorder="1" applyAlignment="1">
      <alignment horizontal="center" vertical="center" wrapText="1"/>
    </xf>
    <xf numFmtId="0" fontId="64" fillId="40" borderId="4" xfId="0" applyFont="1" applyFill="1" applyBorder="1" applyAlignment="1">
      <alignment horizontal="center" vertical="center" wrapText="1"/>
    </xf>
    <xf numFmtId="0" fontId="64" fillId="40" borderId="4" xfId="0" applyFont="1" applyFill="1" applyBorder="1" applyAlignment="1">
      <alignment horizontal="center" vertical="center"/>
    </xf>
    <xf numFmtId="0" fontId="1" fillId="0" borderId="0" xfId="3"/>
    <xf numFmtId="0" fontId="1" fillId="51" borderId="40" xfId="3" applyFill="1" applyBorder="1" applyAlignment="1">
      <alignment vertical="center" textRotation="90" wrapText="1"/>
    </xf>
    <xf numFmtId="0" fontId="1" fillId="51" borderId="41" xfId="3" applyFill="1" applyBorder="1" applyAlignment="1">
      <alignment vertical="center" textRotation="90" wrapText="1"/>
    </xf>
    <xf numFmtId="0" fontId="1" fillId="51" borderId="42" xfId="3" applyFill="1" applyBorder="1" applyAlignment="1">
      <alignment vertical="center" textRotation="90" wrapText="1"/>
    </xf>
    <xf numFmtId="0" fontId="1" fillId="0" borderId="0" xfId="3" applyAlignment="1">
      <alignment vertical="center"/>
    </xf>
    <xf numFmtId="0" fontId="1" fillId="2" borderId="43" xfId="3" applyFill="1" applyBorder="1"/>
    <xf numFmtId="0" fontId="1" fillId="2" borderId="26" xfId="3" applyFill="1" applyBorder="1"/>
    <xf numFmtId="0" fontId="1" fillId="2" borderId="44" xfId="3" applyFill="1" applyBorder="1"/>
    <xf numFmtId="16" fontId="1" fillId="0" borderId="45" xfId="3" applyNumberFormat="1" applyBorder="1" applyAlignment="1">
      <alignment textRotation="90"/>
    </xf>
    <xf numFmtId="16" fontId="1" fillId="0" borderId="46" xfId="3" applyNumberFormat="1" applyBorder="1" applyAlignment="1">
      <alignment textRotation="90"/>
    </xf>
    <xf numFmtId="16" fontId="1" fillId="0" borderId="47" xfId="3" applyNumberFormat="1" applyBorder="1" applyAlignment="1">
      <alignment textRotation="90"/>
    </xf>
    <xf numFmtId="0" fontId="1" fillId="0" borderId="0" xfId="3" applyAlignment="1">
      <alignment textRotation="90"/>
    </xf>
    <xf numFmtId="0" fontId="1" fillId="0" borderId="48" xfId="3" applyBorder="1"/>
    <xf numFmtId="0" fontId="1" fillId="0" borderId="49" xfId="3" applyBorder="1"/>
    <xf numFmtId="0" fontId="1" fillId="0" borderId="50" xfId="3" applyBorder="1"/>
    <xf numFmtId="0" fontId="1" fillId="33" borderId="51" xfId="3" applyFill="1" applyBorder="1"/>
    <xf numFmtId="0" fontId="1" fillId="33" borderId="45" xfId="3" applyFill="1" applyBorder="1"/>
    <xf numFmtId="0" fontId="1" fillId="33" borderId="46" xfId="3" applyFill="1" applyBorder="1"/>
    <xf numFmtId="0" fontId="1" fillId="52" borderId="46" xfId="3" applyFill="1" applyBorder="1"/>
    <xf numFmtId="0" fontId="1" fillId="33" borderId="47" xfId="3" applyFill="1" applyBorder="1"/>
    <xf numFmtId="0" fontId="1" fillId="33" borderId="0" xfId="3" applyFill="1"/>
    <xf numFmtId="0" fontId="1" fillId="0" borderId="52" xfId="3" applyBorder="1"/>
    <xf numFmtId="0" fontId="1" fillId="50" borderId="53" xfId="3" applyFill="1" applyBorder="1"/>
    <xf numFmtId="0" fontId="1" fillId="50" borderId="54" xfId="3" applyFill="1" applyBorder="1"/>
    <xf numFmtId="0" fontId="1" fillId="0" borderId="54" xfId="3" applyBorder="1"/>
    <xf numFmtId="0" fontId="1" fillId="52" borderId="54" xfId="3" applyFill="1" applyBorder="1"/>
    <xf numFmtId="0" fontId="1" fillId="0" borderId="55" xfId="3" applyBorder="1"/>
    <xf numFmtId="0" fontId="1" fillId="0" borderId="53" xfId="3" applyBorder="1"/>
    <xf numFmtId="0" fontId="63" fillId="0" borderId="52" xfId="3" applyFont="1" applyBorder="1"/>
    <xf numFmtId="0" fontId="1" fillId="0" borderId="52" xfId="3" applyBorder="1" applyAlignment="1">
      <alignment horizontal="left"/>
    </xf>
    <xf numFmtId="0" fontId="1" fillId="22" borderId="54" xfId="3" applyFill="1" applyBorder="1"/>
    <xf numFmtId="0" fontId="1" fillId="53" borderId="54" xfId="3" applyFill="1" applyBorder="1"/>
    <xf numFmtId="0" fontId="12" fillId="54" borderId="52" xfId="3" applyFont="1" applyFill="1" applyBorder="1" applyAlignment="1">
      <alignment vertical="center"/>
    </xf>
    <xf numFmtId="0" fontId="65" fillId="54" borderId="52" xfId="3" applyFont="1" applyFill="1" applyBorder="1" applyAlignment="1">
      <alignment vertical="center"/>
    </xf>
    <xf numFmtId="0" fontId="66" fillId="2" borderId="54" xfId="3" applyFont="1" applyFill="1" applyBorder="1"/>
    <xf numFmtId="0" fontId="66" fillId="50" borderId="54" xfId="3" applyFont="1" applyFill="1" applyBorder="1"/>
    <xf numFmtId="0" fontId="66" fillId="0" borderId="54" xfId="3" applyFont="1" applyBorder="1"/>
    <xf numFmtId="0" fontId="66" fillId="52" borderId="54" xfId="3" applyFont="1" applyFill="1" applyBorder="1"/>
    <xf numFmtId="0" fontId="66" fillId="0" borderId="55" xfId="3" applyFont="1" applyBorder="1"/>
    <xf numFmtId="0" fontId="62" fillId="0" borderId="54" xfId="3" applyFont="1" applyBorder="1"/>
    <xf numFmtId="1" fontId="66" fillId="47" borderId="54" xfId="3" applyNumberFormat="1" applyFont="1" applyFill="1" applyBorder="1"/>
    <xf numFmtId="1" fontId="66" fillId="52" borderId="54" xfId="3" applyNumberFormat="1" applyFont="1" applyFill="1" applyBorder="1"/>
    <xf numFmtId="1" fontId="66" fillId="47" borderId="55" xfId="3" applyNumberFormat="1" applyFont="1" applyFill="1" applyBorder="1"/>
    <xf numFmtId="0" fontId="65" fillId="0" borderId="52" xfId="3" applyFont="1" applyBorder="1" applyAlignment="1">
      <alignment vertical="center"/>
    </xf>
    <xf numFmtId="1" fontId="66" fillId="0" borderId="54" xfId="3" applyNumberFormat="1" applyFont="1" applyBorder="1"/>
    <xf numFmtId="1" fontId="66" fillId="0" borderId="55" xfId="3" applyNumberFormat="1" applyFont="1" applyBorder="1"/>
    <xf numFmtId="0" fontId="1" fillId="0" borderId="56" xfId="3" applyBorder="1"/>
    <xf numFmtId="0" fontId="1" fillId="0" borderId="57" xfId="3" applyBorder="1"/>
    <xf numFmtId="0" fontId="1" fillId="0" borderId="58" xfId="3" applyBorder="1"/>
    <xf numFmtId="0" fontId="1" fillId="52" borderId="58" xfId="3" applyFill="1" applyBorder="1"/>
    <xf numFmtId="0" fontId="1" fillId="0" borderId="59" xfId="3" applyBorder="1"/>
    <xf numFmtId="0" fontId="1" fillId="0" borderId="60" xfId="3" applyBorder="1"/>
    <xf numFmtId="0" fontId="1" fillId="52" borderId="49" xfId="3" applyFill="1" applyBorder="1"/>
    <xf numFmtId="0" fontId="68" fillId="39" borderId="4" xfId="0" applyFont="1" applyFill="1" applyBorder="1" applyAlignment="1">
      <alignment vertical="center"/>
    </xf>
    <xf numFmtId="0" fontId="69" fillId="39" borderId="0" xfId="3" applyFont="1" applyFill="1" applyAlignment="1">
      <alignment textRotation="180"/>
    </xf>
    <xf numFmtId="0" fontId="65" fillId="55" borderId="52" xfId="3" applyFont="1" applyFill="1" applyBorder="1" applyAlignment="1">
      <alignment vertical="center"/>
    </xf>
    <xf numFmtId="0" fontId="62" fillId="0" borderId="52" xfId="3" applyFont="1" applyBorder="1"/>
    <xf numFmtId="0" fontId="62" fillId="0" borderId="0" xfId="3" applyFont="1"/>
    <xf numFmtId="0" fontId="67" fillId="39" borderId="61" xfId="3" applyFont="1" applyFill="1" applyBorder="1" applyAlignment="1">
      <alignment horizontal="left" vertical="center"/>
    </xf>
    <xf numFmtId="0" fontId="67" fillId="39" borderId="62" xfId="3" applyFont="1" applyFill="1" applyBorder="1" applyAlignment="1">
      <alignment horizontal="left" vertical="center"/>
    </xf>
    <xf numFmtId="0" fontId="67" fillId="39" borderId="63" xfId="3" applyFont="1" applyFill="1" applyBorder="1" applyAlignment="1">
      <alignment horizontal="left" vertical="center"/>
    </xf>
    <xf numFmtId="0" fontId="34" fillId="39" borderId="9" xfId="2" applyFont="1" applyFill="1" applyBorder="1" applyAlignment="1">
      <alignment horizontal="center" vertical="center" wrapText="1"/>
    </xf>
    <xf numFmtId="0" fontId="34" fillId="39" borderId="0" xfId="2" applyFont="1" applyFill="1" applyAlignment="1">
      <alignment horizontal="center" vertical="center" wrapText="1"/>
    </xf>
    <xf numFmtId="0" fontId="34" fillId="39" borderId="10" xfId="2" applyFont="1" applyFill="1" applyBorder="1" applyAlignment="1">
      <alignment horizontal="center" vertical="center" wrapText="1"/>
    </xf>
    <xf numFmtId="49" fontId="35" fillId="34" borderId="16" xfId="2" applyNumberFormat="1" applyFont="1" applyFill="1" applyBorder="1" applyAlignment="1">
      <alignment horizontal="center" vertical="center" wrapText="1"/>
    </xf>
    <xf numFmtId="49" fontId="35" fillId="34" borderId="0" xfId="2" applyNumberFormat="1" applyFont="1" applyFill="1" applyAlignment="1">
      <alignment horizontal="center" vertical="center" wrapText="1"/>
    </xf>
    <xf numFmtId="49" fontId="35" fillId="34" borderId="11" xfId="2" applyNumberFormat="1" applyFont="1" applyFill="1" applyBorder="1" applyAlignment="1">
      <alignment horizontal="center" vertical="center" wrapText="1"/>
    </xf>
    <xf numFmtId="10" fontId="35" fillId="34" borderId="9" xfId="2" applyNumberFormat="1" applyFont="1" applyFill="1" applyBorder="1" applyAlignment="1">
      <alignment horizontal="center" vertical="center"/>
    </xf>
    <xf numFmtId="10" fontId="35" fillId="34" borderId="11" xfId="2" applyNumberFormat="1" applyFont="1" applyFill="1" applyBorder="1" applyAlignment="1">
      <alignment horizontal="center" vertical="center"/>
    </xf>
  </cellXfs>
  <cellStyles count="4">
    <cellStyle name="Millares" xfId="1" builtinId="3"/>
    <cellStyle name="Normal" xfId="0" builtinId="0"/>
    <cellStyle name="Normal 2" xfId="2" xr:uid="{C7FC99F5-0100-497C-8726-7288293B8FE0}"/>
    <cellStyle name="Normal 3" xfId="3" xr:uid="{A09C5266-5A9E-4E17-9A82-A59C4EEE601B}"/>
  </cellStyles>
  <dxfs count="14"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theme="4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7" tint="0.79995117038483843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  <color rgb="FFFFFFCC"/>
      <color rgb="FFCCFF33"/>
      <color rgb="FFCCEA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21D6-894F-4E79-B526-1F6D5F1EF157}">
  <sheetPr>
    <tabColor theme="4" tint="-0.249977111117893"/>
    <outlinePr summaryBelow="0" summaryRight="0"/>
    <pageSetUpPr fitToPage="1"/>
  </sheetPr>
  <dimension ref="A1:Q995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6" sqref="N6"/>
    </sheetView>
  </sheetViews>
  <sheetFormatPr baseColWidth="10" defaultColWidth="12.7109375" defaultRowHeight="15" customHeight="1" outlineLevelCol="1" x14ac:dyDescent="0.2"/>
  <cols>
    <col min="1" max="1" width="87.5703125" style="76" customWidth="1"/>
    <col min="2" max="2" width="12.7109375" style="127" customWidth="1" outlineLevel="1"/>
    <col min="3" max="3" width="24.5703125" style="127" customWidth="1"/>
    <col min="4" max="4" width="16.5703125" style="2" customWidth="1"/>
    <col min="5" max="5" width="14.42578125" style="2" customWidth="1" outlineLevel="1"/>
    <col min="6" max="6" width="25" style="127" customWidth="1"/>
    <col min="7" max="7" width="17.42578125" style="127" customWidth="1"/>
    <col min="8" max="8" width="17.140625" style="76" customWidth="1" outlineLevel="1"/>
    <col min="9" max="9" width="19.7109375" style="76" customWidth="1"/>
    <col min="10" max="10" width="16.85546875" style="128" customWidth="1"/>
    <col min="11" max="11" width="55.42578125" style="76" customWidth="1"/>
    <col min="12" max="12" width="17.140625" style="76" customWidth="1" outlineLevel="1"/>
    <col min="13" max="14" width="18.28515625" style="76" customWidth="1"/>
    <col min="15" max="15" width="17.140625" style="76" customWidth="1" outlineLevel="1"/>
    <col min="16" max="16" width="46.28515625" style="129" customWidth="1"/>
    <col min="17" max="17" width="22.140625" style="76" customWidth="1"/>
    <col min="18" max="16384" width="12.7109375" style="76"/>
  </cols>
  <sheetData>
    <row r="1" spans="1:17" ht="48.6" customHeight="1" thickBot="1" x14ac:dyDescent="0.25">
      <c r="A1" s="70" t="s">
        <v>475</v>
      </c>
      <c r="B1" s="71"/>
      <c r="C1" s="72" t="s">
        <v>28</v>
      </c>
      <c r="D1" s="73">
        <f ca="1">+TODAY()</f>
        <v>46318</v>
      </c>
      <c r="E1" s="279" t="s">
        <v>125</v>
      </c>
      <c r="F1" s="280"/>
      <c r="G1" s="280"/>
      <c r="H1" s="280"/>
      <c r="I1" s="280"/>
      <c r="J1" s="281"/>
      <c r="K1" s="282" t="s">
        <v>258</v>
      </c>
      <c r="L1" s="283"/>
      <c r="M1" s="284"/>
      <c r="N1" s="285" t="s">
        <v>257</v>
      </c>
      <c r="O1" s="286"/>
      <c r="P1" s="74" t="s">
        <v>20</v>
      </c>
      <c r="Q1" s="75" t="s">
        <v>256</v>
      </c>
    </row>
    <row r="2" spans="1:17" s="83" customFormat="1" ht="91.15" customHeight="1" thickBot="1" x14ac:dyDescent="0.25">
      <c r="A2" s="205" t="s">
        <v>126</v>
      </c>
      <c r="B2" s="3" t="s">
        <v>152</v>
      </c>
      <c r="C2" s="77" t="s">
        <v>153</v>
      </c>
      <c r="D2" s="78" t="s">
        <v>29</v>
      </c>
      <c r="E2" s="79" t="s">
        <v>151</v>
      </c>
      <c r="F2" s="79" t="s">
        <v>150</v>
      </c>
      <c r="G2" s="79" t="s">
        <v>29</v>
      </c>
      <c r="H2" s="80" t="s">
        <v>90</v>
      </c>
      <c r="I2" s="81" t="s">
        <v>89</v>
      </c>
      <c r="J2" s="81" t="s">
        <v>29</v>
      </c>
      <c r="K2" s="206" t="s">
        <v>18</v>
      </c>
      <c r="L2" s="79" t="s">
        <v>91</v>
      </c>
      <c r="M2" s="79" t="s">
        <v>92</v>
      </c>
      <c r="N2" s="79" t="s">
        <v>29</v>
      </c>
      <c r="O2" s="82" t="s">
        <v>94</v>
      </c>
      <c r="P2" s="206" t="s">
        <v>88</v>
      </c>
      <c r="Q2" s="207" t="s">
        <v>82</v>
      </c>
    </row>
    <row r="3" spans="1:17" ht="39" customHeight="1" thickBot="1" x14ac:dyDescent="0.25">
      <c r="A3" s="199" t="s">
        <v>154</v>
      </c>
      <c r="B3" s="66">
        <v>15</v>
      </c>
      <c r="C3" s="84">
        <f>+F3-E3-B3</f>
        <v>46241</v>
      </c>
      <c r="D3" s="85" t="s">
        <v>21</v>
      </c>
      <c r="E3" s="66">
        <v>15</v>
      </c>
      <c r="F3" s="86">
        <f t="shared" ref="F3:F64" si="0">+I3-H3</f>
        <v>46271</v>
      </c>
      <c r="G3" s="85" t="s">
        <v>21</v>
      </c>
      <c r="H3" s="66">
        <v>7</v>
      </c>
      <c r="I3" s="84">
        <f t="shared" ref="I3:I32" si="1">+M3-L3</f>
        <v>46278</v>
      </c>
      <c r="J3" s="85" t="s">
        <v>21</v>
      </c>
      <c r="K3" s="87" t="s">
        <v>155</v>
      </c>
      <c r="L3" s="66">
        <v>7</v>
      </c>
      <c r="M3" s="88">
        <f t="shared" ref="M3:M64" si="2">+Q3-O3</f>
        <v>46285</v>
      </c>
      <c r="N3" s="85" t="s">
        <v>21</v>
      </c>
      <c r="O3" s="65">
        <v>15</v>
      </c>
      <c r="P3" s="210" t="s">
        <v>31</v>
      </c>
      <c r="Q3" s="89">
        <v>46300</v>
      </c>
    </row>
    <row r="4" spans="1:17" ht="39" customHeight="1" thickBot="1" x14ac:dyDescent="0.25">
      <c r="A4" s="200" t="s">
        <v>42</v>
      </c>
      <c r="B4" s="65">
        <v>15</v>
      </c>
      <c r="C4" s="90">
        <f>+F4-E4-B4</f>
        <v>46213</v>
      </c>
      <c r="D4" s="91" t="s">
        <v>21</v>
      </c>
      <c r="E4" s="65">
        <v>15</v>
      </c>
      <c r="F4" s="92">
        <f t="shared" si="0"/>
        <v>46243</v>
      </c>
      <c r="G4" s="91" t="s">
        <v>21</v>
      </c>
      <c r="H4" s="65">
        <v>7</v>
      </c>
      <c r="I4" s="90">
        <f t="shared" si="1"/>
        <v>46250</v>
      </c>
      <c r="J4" s="91" t="s">
        <v>21</v>
      </c>
      <c r="K4" s="93" t="s">
        <v>129</v>
      </c>
      <c r="L4" s="65">
        <v>7</v>
      </c>
      <c r="M4" s="94">
        <f t="shared" si="2"/>
        <v>46257</v>
      </c>
      <c r="N4" s="91" t="s">
        <v>21</v>
      </c>
      <c r="O4" s="65">
        <v>15</v>
      </c>
      <c r="P4" s="210" t="s">
        <v>31</v>
      </c>
      <c r="Q4" s="89">
        <f>VLOOKUP($A$1&amp;"xx"&amp;P4,HITOS!D:E,2,FALSE)</f>
        <v>46272</v>
      </c>
    </row>
    <row r="5" spans="1:17" ht="39" customHeight="1" thickBot="1" x14ac:dyDescent="0.25">
      <c r="A5" s="200" t="s">
        <v>0</v>
      </c>
      <c r="B5" s="67">
        <v>15</v>
      </c>
      <c r="C5" s="90">
        <f>+F5-B5</f>
        <v>46228</v>
      </c>
      <c r="D5" s="91" t="s">
        <v>21</v>
      </c>
      <c r="E5" s="67">
        <v>15</v>
      </c>
      <c r="F5" s="92">
        <f t="shared" si="0"/>
        <v>46243</v>
      </c>
      <c r="G5" s="91" t="s">
        <v>21</v>
      </c>
      <c r="H5" s="67">
        <v>7</v>
      </c>
      <c r="I5" s="90">
        <f t="shared" si="1"/>
        <v>46250</v>
      </c>
      <c r="J5" s="91" t="s">
        <v>21</v>
      </c>
      <c r="K5" s="93" t="s">
        <v>129</v>
      </c>
      <c r="L5" s="67">
        <v>7</v>
      </c>
      <c r="M5" s="94">
        <f t="shared" si="2"/>
        <v>46257</v>
      </c>
      <c r="N5" s="91" t="s">
        <v>21</v>
      </c>
      <c r="O5" s="65">
        <v>15</v>
      </c>
      <c r="P5" s="210" t="s">
        <v>31</v>
      </c>
      <c r="Q5" s="89">
        <f>VLOOKUP($A$1&amp;"xx"&amp;P5,HITOS!D:E,2,FALSE)</f>
        <v>46272</v>
      </c>
    </row>
    <row r="6" spans="1:17" ht="39" customHeight="1" thickBot="1" x14ac:dyDescent="0.25">
      <c r="A6" s="201" t="s">
        <v>259</v>
      </c>
      <c r="B6" s="67"/>
      <c r="C6" s="90">
        <f>+F6-B6</f>
        <v>46250</v>
      </c>
      <c r="D6" s="91" t="s">
        <v>21</v>
      </c>
      <c r="E6" s="67">
        <v>15</v>
      </c>
      <c r="F6" s="92">
        <f t="shared" si="0"/>
        <v>46250</v>
      </c>
      <c r="G6" s="91" t="s">
        <v>21</v>
      </c>
      <c r="H6" s="67">
        <v>7</v>
      </c>
      <c r="I6" s="90">
        <f t="shared" si="1"/>
        <v>46257</v>
      </c>
      <c r="J6" s="91" t="s">
        <v>21</v>
      </c>
      <c r="K6" s="93"/>
      <c r="L6" s="67"/>
      <c r="M6" s="94">
        <f t="shared" si="2"/>
        <v>46257</v>
      </c>
      <c r="N6" s="91" t="s">
        <v>21</v>
      </c>
      <c r="O6" s="65">
        <v>15</v>
      </c>
      <c r="P6" s="210" t="s">
        <v>31</v>
      </c>
      <c r="Q6" s="89">
        <f>VLOOKUP($A$1&amp;"xx"&amp;P6,HITOS!D:E,2,FALSE)</f>
        <v>46272</v>
      </c>
    </row>
    <row r="7" spans="1:17" ht="39" customHeight="1" thickBot="1" x14ac:dyDescent="0.25">
      <c r="A7" s="202" t="s">
        <v>157</v>
      </c>
      <c r="B7" s="68">
        <v>15</v>
      </c>
      <c r="C7" s="95">
        <f>+F7-E7-B7</f>
        <v>46213</v>
      </c>
      <c r="D7" s="96" t="s">
        <v>21</v>
      </c>
      <c r="E7" s="68">
        <v>15</v>
      </c>
      <c r="F7" s="97">
        <f t="shared" si="0"/>
        <v>46243</v>
      </c>
      <c r="G7" s="96" t="s">
        <v>21</v>
      </c>
      <c r="H7" s="68">
        <v>7</v>
      </c>
      <c r="I7" s="95">
        <f t="shared" si="1"/>
        <v>46250</v>
      </c>
      <c r="J7" s="96" t="s">
        <v>21</v>
      </c>
      <c r="K7" s="98" t="s">
        <v>486</v>
      </c>
      <c r="L7" s="68">
        <v>7</v>
      </c>
      <c r="M7" s="99">
        <f t="shared" si="2"/>
        <v>46257</v>
      </c>
      <c r="N7" s="96" t="s">
        <v>21</v>
      </c>
      <c r="O7" s="65">
        <v>15</v>
      </c>
      <c r="P7" s="210" t="s">
        <v>31</v>
      </c>
      <c r="Q7" s="89">
        <f>VLOOKUP($A$1&amp;"xx"&amp;P7,HITOS!D:E,2,FALSE)</f>
        <v>46272</v>
      </c>
    </row>
    <row r="8" spans="1:17" ht="39" customHeight="1" thickBot="1" x14ac:dyDescent="0.25">
      <c r="A8" s="203" t="s">
        <v>166</v>
      </c>
      <c r="B8" s="66">
        <v>15</v>
      </c>
      <c r="C8" s="84">
        <f t="shared" ref="C8:C37" si="3">+F8-B8</f>
        <v>46228</v>
      </c>
      <c r="D8" s="85" t="s">
        <v>21</v>
      </c>
      <c r="E8" s="66">
        <v>15</v>
      </c>
      <c r="F8" s="86">
        <f t="shared" si="0"/>
        <v>46243</v>
      </c>
      <c r="G8" s="85" t="s">
        <v>21</v>
      </c>
      <c r="H8" s="66">
        <v>7</v>
      </c>
      <c r="I8" s="84">
        <f t="shared" si="1"/>
        <v>46250</v>
      </c>
      <c r="J8" s="85" t="s">
        <v>21</v>
      </c>
      <c r="K8" s="87" t="s">
        <v>487</v>
      </c>
      <c r="L8" s="66">
        <v>7</v>
      </c>
      <c r="M8" s="88">
        <f t="shared" si="2"/>
        <v>46257</v>
      </c>
      <c r="N8" s="85" t="s">
        <v>21</v>
      </c>
      <c r="O8" s="65">
        <v>15</v>
      </c>
      <c r="P8" s="210" t="s">
        <v>31</v>
      </c>
      <c r="Q8" s="89">
        <f>VLOOKUP($A$1&amp;"xx"&amp;P8,HITOS!D:E,2,FALSE)</f>
        <v>46272</v>
      </c>
    </row>
    <row r="9" spans="1:17" ht="39" customHeight="1" thickBot="1" x14ac:dyDescent="0.25">
      <c r="A9" s="204" t="s">
        <v>156</v>
      </c>
      <c r="B9" s="69">
        <v>15</v>
      </c>
      <c r="C9" s="95">
        <f t="shared" si="3"/>
        <v>46228</v>
      </c>
      <c r="D9" s="96" t="s">
        <v>21</v>
      </c>
      <c r="E9" s="69">
        <v>15</v>
      </c>
      <c r="F9" s="97">
        <f t="shared" si="0"/>
        <v>46243</v>
      </c>
      <c r="G9" s="96" t="s">
        <v>21</v>
      </c>
      <c r="H9" s="69">
        <v>7</v>
      </c>
      <c r="I9" s="95">
        <f t="shared" si="1"/>
        <v>46250</v>
      </c>
      <c r="J9" s="96" t="s">
        <v>21</v>
      </c>
      <c r="K9" s="98" t="s">
        <v>488</v>
      </c>
      <c r="L9" s="69">
        <v>7</v>
      </c>
      <c r="M9" s="99">
        <f t="shared" si="2"/>
        <v>46257</v>
      </c>
      <c r="N9" s="96" t="s">
        <v>21</v>
      </c>
      <c r="O9" s="65">
        <v>15</v>
      </c>
      <c r="P9" s="210" t="s">
        <v>31</v>
      </c>
      <c r="Q9" s="89">
        <f>VLOOKUP($A$1&amp;"xx"&amp;P9,HITOS!D:E,2,FALSE)</f>
        <v>46272</v>
      </c>
    </row>
    <row r="10" spans="1:17" ht="39" customHeight="1" thickBot="1" x14ac:dyDescent="0.25">
      <c r="A10" s="201" t="s">
        <v>6</v>
      </c>
      <c r="B10" s="66">
        <v>15</v>
      </c>
      <c r="C10" s="84">
        <f t="shared" si="3"/>
        <v>46228</v>
      </c>
      <c r="D10" s="85" t="s">
        <v>21</v>
      </c>
      <c r="E10" s="66">
        <v>15</v>
      </c>
      <c r="F10" s="86">
        <f t="shared" si="0"/>
        <v>46243</v>
      </c>
      <c r="G10" s="85" t="s">
        <v>21</v>
      </c>
      <c r="H10" s="66">
        <v>7</v>
      </c>
      <c r="I10" s="84">
        <f t="shared" si="1"/>
        <v>46250</v>
      </c>
      <c r="J10" s="85" t="s">
        <v>21</v>
      </c>
      <c r="K10" s="87" t="s">
        <v>489</v>
      </c>
      <c r="L10" s="66">
        <v>7</v>
      </c>
      <c r="M10" s="88">
        <f t="shared" si="2"/>
        <v>46257</v>
      </c>
      <c r="N10" s="91" t="s">
        <v>21</v>
      </c>
      <c r="O10" s="65">
        <v>15</v>
      </c>
      <c r="P10" s="210" t="s">
        <v>31</v>
      </c>
      <c r="Q10" s="89">
        <f>VLOOKUP($A$1&amp;"xx"&amp;P10,HITOS!D:E,2,FALSE)</f>
        <v>46272</v>
      </c>
    </row>
    <row r="11" spans="1:17" ht="39" customHeight="1" thickBot="1" x14ac:dyDescent="0.25">
      <c r="A11" s="201" t="s">
        <v>158</v>
      </c>
      <c r="B11" s="67">
        <v>15</v>
      </c>
      <c r="C11" s="90">
        <f t="shared" si="3"/>
        <v>46228</v>
      </c>
      <c r="D11" s="91" t="s">
        <v>21</v>
      </c>
      <c r="E11" s="67">
        <v>15</v>
      </c>
      <c r="F11" s="92">
        <f t="shared" si="0"/>
        <v>46243</v>
      </c>
      <c r="G11" s="91" t="s">
        <v>21</v>
      </c>
      <c r="H11" s="67">
        <v>7</v>
      </c>
      <c r="I11" s="90">
        <f t="shared" si="1"/>
        <v>46250</v>
      </c>
      <c r="J11" s="91" t="s">
        <v>21</v>
      </c>
      <c r="K11" s="93" t="s">
        <v>490</v>
      </c>
      <c r="L11" s="67">
        <v>7</v>
      </c>
      <c r="M11" s="94">
        <f t="shared" si="2"/>
        <v>46257</v>
      </c>
      <c r="N11" s="91" t="s">
        <v>21</v>
      </c>
      <c r="O11" s="65">
        <v>15</v>
      </c>
      <c r="P11" s="210" t="s">
        <v>31</v>
      </c>
      <c r="Q11" s="89">
        <f>VLOOKUP($A$1&amp;"xx"&amp;P11,HITOS!D:E,2,FALSE)</f>
        <v>46272</v>
      </c>
    </row>
    <row r="12" spans="1:17" ht="39" customHeight="1" thickBot="1" x14ac:dyDescent="0.25">
      <c r="A12" s="201" t="s">
        <v>159</v>
      </c>
      <c r="B12" s="67">
        <v>15</v>
      </c>
      <c r="C12" s="90">
        <f t="shared" si="3"/>
        <v>46228</v>
      </c>
      <c r="D12" s="91" t="s">
        <v>21</v>
      </c>
      <c r="E12" s="67">
        <v>15</v>
      </c>
      <c r="F12" s="92">
        <f t="shared" si="0"/>
        <v>46243</v>
      </c>
      <c r="G12" s="91" t="s">
        <v>21</v>
      </c>
      <c r="H12" s="67">
        <v>7</v>
      </c>
      <c r="I12" s="90">
        <f t="shared" si="1"/>
        <v>46250</v>
      </c>
      <c r="J12" s="91" t="s">
        <v>21</v>
      </c>
      <c r="K12" s="93" t="s">
        <v>491</v>
      </c>
      <c r="L12" s="67">
        <v>7</v>
      </c>
      <c r="M12" s="94">
        <f t="shared" si="2"/>
        <v>46257</v>
      </c>
      <c r="N12" s="91" t="s">
        <v>21</v>
      </c>
      <c r="O12" s="65">
        <v>15</v>
      </c>
      <c r="P12" s="210" t="s">
        <v>31</v>
      </c>
      <c r="Q12" s="89">
        <f>VLOOKUP($A$1&amp;"xx"&amp;P12,HITOS!D:E,2,FALSE)</f>
        <v>46272</v>
      </c>
    </row>
    <row r="13" spans="1:17" ht="39" customHeight="1" thickBot="1" x14ac:dyDescent="0.25">
      <c r="A13" s="201" t="s">
        <v>3</v>
      </c>
      <c r="B13" s="67">
        <v>15</v>
      </c>
      <c r="C13" s="90">
        <f t="shared" si="3"/>
        <v>46228</v>
      </c>
      <c r="D13" s="101" t="s">
        <v>22</v>
      </c>
      <c r="E13" s="67">
        <v>15</v>
      </c>
      <c r="F13" s="92">
        <f t="shared" si="0"/>
        <v>46243</v>
      </c>
      <c r="G13" s="101" t="s">
        <v>22</v>
      </c>
      <c r="H13" s="67">
        <v>7</v>
      </c>
      <c r="I13" s="90">
        <f t="shared" si="1"/>
        <v>46250</v>
      </c>
      <c r="J13" s="101" t="s">
        <v>22</v>
      </c>
      <c r="K13" s="93" t="s">
        <v>492</v>
      </c>
      <c r="L13" s="67">
        <v>7</v>
      </c>
      <c r="M13" s="94">
        <f t="shared" si="2"/>
        <v>46257</v>
      </c>
      <c r="N13" s="101" t="s">
        <v>22</v>
      </c>
      <c r="O13" s="65">
        <v>15</v>
      </c>
      <c r="P13" s="210" t="s">
        <v>31</v>
      </c>
      <c r="Q13" s="89">
        <f>VLOOKUP($A$1&amp;"xx"&amp;P13,HITOS!D:E,2,FALSE)</f>
        <v>46272</v>
      </c>
    </row>
    <row r="14" spans="1:17" ht="39" customHeight="1" thickBot="1" x14ac:dyDescent="0.25">
      <c r="A14" s="201" t="s">
        <v>24</v>
      </c>
      <c r="B14" s="67">
        <v>15</v>
      </c>
      <c r="C14" s="90">
        <f t="shared" si="3"/>
        <v>46228</v>
      </c>
      <c r="D14" s="101" t="s">
        <v>22</v>
      </c>
      <c r="E14" s="67">
        <v>15</v>
      </c>
      <c r="F14" s="92">
        <f t="shared" si="0"/>
        <v>46243</v>
      </c>
      <c r="G14" s="101" t="s">
        <v>22</v>
      </c>
      <c r="H14" s="67">
        <v>7</v>
      </c>
      <c r="I14" s="90">
        <f t="shared" si="1"/>
        <v>46250</v>
      </c>
      <c r="J14" s="101" t="s">
        <v>22</v>
      </c>
      <c r="K14" s="102"/>
      <c r="L14" s="67">
        <v>7</v>
      </c>
      <c r="M14" s="94">
        <f t="shared" si="2"/>
        <v>46257</v>
      </c>
      <c r="N14" s="101" t="s">
        <v>22</v>
      </c>
      <c r="O14" s="65">
        <v>15</v>
      </c>
      <c r="P14" s="210" t="s">
        <v>31</v>
      </c>
      <c r="Q14" s="89">
        <f>VLOOKUP($A$1&amp;"xx"&amp;P14,HITOS!D:E,2,FALSE)</f>
        <v>46272</v>
      </c>
    </row>
    <row r="15" spans="1:17" ht="39" customHeight="1" thickBot="1" x14ac:dyDescent="0.25">
      <c r="A15" s="201" t="s">
        <v>163</v>
      </c>
      <c r="B15" s="67">
        <v>15</v>
      </c>
      <c r="C15" s="90">
        <f t="shared" si="3"/>
        <v>46408</v>
      </c>
      <c r="D15" s="101" t="s">
        <v>22</v>
      </c>
      <c r="E15" s="67">
        <v>15</v>
      </c>
      <c r="F15" s="92">
        <f t="shared" si="0"/>
        <v>46423</v>
      </c>
      <c r="G15" s="101" t="s">
        <v>22</v>
      </c>
      <c r="H15" s="67">
        <v>7</v>
      </c>
      <c r="I15" s="90">
        <f t="shared" si="1"/>
        <v>46430</v>
      </c>
      <c r="J15" s="101" t="s">
        <v>22</v>
      </c>
      <c r="K15" s="102"/>
      <c r="L15" s="67">
        <v>7</v>
      </c>
      <c r="M15" s="94">
        <f t="shared" si="2"/>
        <v>46437</v>
      </c>
      <c r="N15" s="101" t="s">
        <v>22</v>
      </c>
      <c r="O15" s="65">
        <v>15</v>
      </c>
      <c r="P15" s="100" t="str">
        <f>+HITOS!$B$19</f>
        <v xml:space="preserve">FIN DE TORRE </v>
      </c>
      <c r="Q15" s="89">
        <f>VLOOKUP($A$1&amp;"xx"&amp;P15,HITOS!D:E,2,FALSE)</f>
        <v>46452</v>
      </c>
    </row>
    <row r="16" spans="1:17" ht="39" customHeight="1" thickBot="1" x14ac:dyDescent="0.25">
      <c r="A16" s="201" t="s">
        <v>167</v>
      </c>
      <c r="B16" s="67">
        <v>15</v>
      </c>
      <c r="C16" s="90">
        <f t="shared" si="3"/>
        <v>46408</v>
      </c>
      <c r="D16" s="101" t="s">
        <v>22</v>
      </c>
      <c r="E16" s="67">
        <v>15</v>
      </c>
      <c r="F16" s="92">
        <f t="shared" si="0"/>
        <v>46423</v>
      </c>
      <c r="G16" s="101" t="s">
        <v>22</v>
      </c>
      <c r="H16" s="67">
        <v>7</v>
      </c>
      <c r="I16" s="90">
        <f t="shared" si="1"/>
        <v>46430</v>
      </c>
      <c r="J16" s="101" t="s">
        <v>22</v>
      </c>
      <c r="K16" s="93" t="s">
        <v>487</v>
      </c>
      <c r="L16" s="67">
        <v>7</v>
      </c>
      <c r="M16" s="94">
        <f t="shared" si="2"/>
        <v>46437</v>
      </c>
      <c r="N16" s="101" t="s">
        <v>22</v>
      </c>
      <c r="O16" s="65">
        <v>15</v>
      </c>
      <c r="P16" s="100" t="str">
        <f>+HITOS!$B$19</f>
        <v xml:space="preserve">FIN DE TORRE </v>
      </c>
      <c r="Q16" s="89">
        <f>VLOOKUP($A$1&amp;"xx"&amp;P16,HITOS!D:E,2,FALSE)</f>
        <v>46452</v>
      </c>
    </row>
    <row r="17" spans="1:17" ht="39" customHeight="1" thickBot="1" x14ac:dyDescent="0.25">
      <c r="A17" s="193" t="s">
        <v>173</v>
      </c>
      <c r="B17" s="67">
        <v>15</v>
      </c>
      <c r="C17" s="90">
        <f t="shared" si="3"/>
        <v>46347</v>
      </c>
      <c r="D17" s="101" t="s">
        <v>22</v>
      </c>
      <c r="E17" s="67">
        <v>15</v>
      </c>
      <c r="F17" s="92">
        <f t="shared" si="0"/>
        <v>46362</v>
      </c>
      <c r="G17" s="101" t="s">
        <v>22</v>
      </c>
      <c r="H17" s="67">
        <v>7</v>
      </c>
      <c r="I17" s="90">
        <f t="shared" si="1"/>
        <v>46369</v>
      </c>
      <c r="J17" s="101" t="s">
        <v>22</v>
      </c>
      <c r="K17" s="102"/>
      <c r="L17" s="67">
        <v>7</v>
      </c>
      <c r="M17" s="94">
        <f t="shared" si="2"/>
        <v>46376</v>
      </c>
      <c r="N17" s="101" t="s">
        <v>22</v>
      </c>
      <c r="O17" s="65">
        <v>15</v>
      </c>
      <c r="P17" s="103" t="str">
        <f>HITOS!$B$20</f>
        <v>ACABADOS HUMEDOS EN TORRE</v>
      </c>
      <c r="Q17" s="89">
        <f>VLOOKUP($A$1&amp;"xx"&amp;P17,HITOS!D:E,2,FALSE)</f>
        <v>46391</v>
      </c>
    </row>
    <row r="18" spans="1:17" ht="39" customHeight="1" thickBot="1" x14ac:dyDescent="0.25">
      <c r="A18" s="193" t="s">
        <v>174</v>
      </c>
      <c r="B18" s="67">
        <v>15</v>
      </c>
      <c r="C18" s="90">
        <f t="shared" si="3"/>
        <v>46347</v>
      </c>
      <c r="D18" s="101" t="s">
        <v>22</v>
      </c>
      <c r="E18" s="67">
        <v>15</v>
      </c>
      <c r="F18" s="92">
        <f t="shared" si="0"/>
        <v>46362</v>
      </c>
      <c r="G18" s="101" t="s">
        <v>22</v>
      </c>
      <c r="H18" s="67">
        <v>7</v>
      </c>
      <c r="I18" s="90">
        <f t="shared" si="1"/>
        <v>46369</v>
      </c>
      <c r="J18" s="101" t="s">
        <v>22</v>
      </c>
      <c r="K18" s="102"/>
      <c r="L18" s="67">
        <v>7</v>
      </c>
      <c r="M18" s="94">
        <f t="shared" si="2"/>
        <v>46376</v>
      </c>
      <c r="N18" s="101" t="s">
        <v>22</v>
      </c>
      <c r="O18" s="65">
        <v>15</v>
      </c>
      <c r="P18" s="103" t="str">
        <f>HITOS!$B$20</f>
        <v>ACABADOS HUMEDOS EN TORRE</v>
      </c>
      <c r="Q18" s="89">
        <f>VLOOKUP($A$1&amp;"xx"&amp;P18,HITOS!D:E,2,FALSE)</f>
        <v>46391</v>
      </c>
    </row>
    <row r="19" spans="1:17" ht="39" customHeight="1" thickBot="1" x14ac:dyDescent="0.25">
      <c r="A19" s="193" t="s">
        <v>168</v>
      </c>
      <c r="B19" s="67">
        <v>15</v>
      </c>
      <c r="C19" s="90">
        <f t="shared" si="3"/>
        <v>46347</v>
      </c>
      <c r="D19" s="101" t="s">
        <v>22</v>
      </c>
      <c r="E19" s="67">
        <v>15</v>
      </c>
      <c r="F19" s="92">
        <f t="shared" si="0"/>
        <v>46362</v>
      </c>
      <c r="G19" s="101" t="s">
        <v>22</v>
      </c>
      <c r="H19" s="67">
        <v>7</v>
      </c>
      <c r="I19" s="90">
        <f t="shared" si="1"/>
        <v>46369</v>
      </c>
      <c r="J19" s="101" t="s">
        <v>22</v>
      </c>
      <c r="K19" s="102"/>
      <c r="L19" s="67">
        <v>7</v>
      </c>
      <c r="M19" s="94">
        <f t="shared" si="2"/>
        <v>46376</v>
      </c>
      <c r="N19" s="101" t="s">
        <v>22</v>
      </c>
      <c r="O19" s="65">
        <v>15</v>
      </c>
      <c r="P19" s="103" t="str">
        <f>HITOS!$B$20</f>
        <v>ACABADOS HUMEDOS EN TORRE</v>
      </c>
      <c r="Q19" s="89">
        <f>VLOOKUP($A$1&amp;"xx"&amp;P19,HITOS!D:E,2,FALSE)</f>
        <v>46391</v>
      </c>
    </row>
    <row r="20" spans="1:17" ht="39" customHeight="1" thickBot="1" x14ac:dyDescent="0.25">
      <c r="A20" s="194" t="s">
        <v>169</v>
      </c>
      <c r="B20" s="69">
        <v>15</v>
      </c>
      <c r="C20" s="95">
        <f t="shared" si="3"/>
        <v>46261</v>
      </c>
      <c r="D20" s="104" t="s">
        <v>22</v>
      </c>
      <c r="E20" s="69">
        <v>15</v>
      </c>
      <c r="F20" s="97">
        <f t="shared" si="0"/>
        <v>46276</v>
      </c>
      <c r="G20" s="104" t="s">
        <v>22</v>
      </c>
      <c r="H20" s="69">
        <v>7</v>
      </c>
      <c r="I20" s="95">
        <f t="shared" si="1"/>
        <v>46283</v>
      </c>
      <c r="J20" s="104" t="s">
        <v>22</v>
      </c>
      <c r="K20" s="105"/>
      <c r="L20" s="69">
        <v>7</v>
      </c>
      <c r="M20" s="99">
        <f t="shared" si="2"/>
        <v>46290</v>
      </c>
      <c r="N20" s="104" t="s">
        <v>22</v>
      </c>
      <c r="O20" s="65">
        <v>15</v>
      </c>
      <c r="P20" s="216" t="s">
        <v>470</v>
      </c>
      <c r="Q20" s="89">
        <f>VLOOKUP($A$1&amp;"xx"&amp;P20,HITOS!D:E,2,FALSE)</f>
        <v>46305</v>
      </c>
    </row>
    <row r="21" spans="1:17" ht="39" customHeight="1" thickBot="1" x14ac:dyDescent="0.25">
      <c r="A21" s="195" t="s">
        <v>164</v>
      </c>
      <c r="B21" s="66">
        <v>15</v>
      </c>
      <c r="C21" s="84">
        <f t="shared" si="3"/>
        <v>46261</v>
      </c>
      <c r="D21" s="106" t="s">
        <v>22</v>
      </c>
      <c r="E21" s="66">
        <v>15</v>
      </c>
      <c r="F21" s="86">
        <f t="shared" si="0"/>
        <v>46276</v>
      </c>
      <c r="G21" s="106" t="s">
        <v>22</v>
      </c>
      <c r="H21" s="66">
        <v>7</v>
      </c>
      <c r="I21" s="84">
        <f t="shared" si="1"/>
        <v>46283</v>
      </c>
      <c r="J21" s="106" t="s">
        <v>22</v>
      </c>
      <c r="K21" s="107"/>
      <c r="L21" s="66">
        <v>7</v>
      </c>
      <c r="M21" s="88">
        <f t="shared" si="2"/>
        <v>46290</v>
      </c>
      <c r="N21" s="106" t="s">
        <v>22</v>
      </c>
      <c r="O21" s="65">
        <v>15</v>
      </c>
      <c r="P21" s="216" t="s">
        <v>470</v>
      </c>
      <c r="Q21" s="89">
        <f>VLOOKUP($A$1&amp;"xx"&amp;P21,HITOS!D:E,2,FALSE)</f>
        <v>46305</v>
      </c>
    </row>
    <row r="22" spans="1:17" ht="39" customHeight="1" thickBot="1" x14ac:dyDescent="0.25">
      <c r="A22" s="193" t="s">
        <v>172</v>
      </c>
      <c r="B22" s="67">
        <v>15</v>
      </c>
      <c r="C22" s="90">
        <f t="shared" si="3"/>
        <v>46261</v>
      </c>
      <c r="D22" s="101" t="s">
        <v>22</v>
      </c>
      <c r="E22" s="67">
        <v>15</v>
      </c>
      <c r="F22" s="92">
        <f t="shared" si="0"/>
        <v>46276</v>
      </c>
      <c r="G22" s="101" t="s">
        <v>22</v>
      </c>
      <c r="H22" s="67">
        <v>7</v>
      </c>
      <c r="I22" s="90">
        <f t="shared" si="1"/>
        <v>46283</v>
      </c>
      <c r="J22" s="101" t="s">
        <v>22</v>
      </c>
      <c r="K22" s="102"/>
      <c r="L22" s="67">
        <v>7</v>
      </c>
      <c r="M22" s="94">
        <f t="shared" si="2"/>
        <v>46290</v>
      </c>
      <c r="N22" s="101" t="s">
        <v>22</v>
      </c>
      <c r="O22" s="65">
        <v>15</v>
      </c>
      <c r="P22" s="216" t="s">
        <v>470</v>
      </c>
      <c r="Q22" s="89">
        <f>VLOOKUP($A$1&amp;"xx"&amp;P22,HITOS!D:E,2,FALSE)</f>
        <v>46305</v>
      </c>
    </row>
    <row r="23" spans="1:17" ht="39" customHeight="1" thickBot="1" x14ac:dyDescent="0.25">
      <c r="A23" s="193" t="s">
        <v>165</v>
      </c>
      <c r="B23" s="67">
        <v>15</v>
      </c>
      <c r="C23" s="90">
        <f t="shared" si="3"/>
        <v>46261</v>
      </c>
      <c r="D23" s="101" t="s">
        <v>22</v>
      </c>
      <c r="E23" s="67">
        <v>15</v>
      </c>
      <c r="F23" s="92">
        <f t="shared" si="0"/>
        <v>46276</v>
      </c>
      <c r="G23" s="101" t="s">
        <v>22</v>
      </c>
      <c r="H23" s="67">
        <v>7</v>
      </c>
      <c r="I23" s="90">
        <f t="shared" si="1"/>
        <v>46283</v>
      </c>
      <c r="J23" s="101" t="s">
        <v>22</v>
      </c>
      <c r="K23" s="102"/>
      <c r="L23" s="67">
        <v>7</v>
      </c>
      <c r="M23" s="94">
        <f t="shared" si="2"/>
        <v>46290</v>
      </c>
      <c r="N23" s="101" t="s">
        <v>22</v>
      </c>
      <c r="O23" s="65">
        <v>15</v>
      </c>
      <c r="P23" s="216" t="s">
        <v>470</v>
      </c>
      <c r="Q23" s="89">
        <f>VLOOKUP($A$1&amp;"xx"&amp;P23,HITOS!D:E,2,FALSE)</f>
        <v>46305</v>
      </c>
    </row>
    <row r="24" spans="1:17" ht="39" customHeight="1" thickBot="1" x14ac:dyDescent="0.25">
      <c r="A24" s="193" t="s">
        <v>175</v>
      </c>
      <c r="B24" s="67">
        <v>15</v>
      </c>
      <c r="C24" s="90">
        <f t="shared" si="3"/>
        <v>46327</v>
      </c>
      <c r="D24" s="101" t="s">
        <v>22</v>
      </c>
      <c r="E24" s="67">
        <v>15</v>
      </c>
      <c r="F24" s="92">
        <f t="shared" si="0"/>
        <v>46342</v>
      </c>
      <c r="G24" s="101" t="s">
        <v>22</v>
      </c>
      <c r="H24" s="67">
        <v>7</v>
      </c>
      <c r="I24" s="90">
        <f t="shared" si="1"/>
        <v>46349</v>
      </c>
      <c r="J24" s="101" t="s">
        <v>22</v>
      </c>
      <c r="K24" s="102"/>
      <c r="L24" s="67">
        <v>7</v>
      </c>
      <c r="M24" s="94">
        <f t="shared" si="2"/>
        <v>46356</v>
      </c>
      <c r="N24" s="101" t="s">
        <v>22</v>
      </c>
      <c r="O24" s="65">
        <v>15</v>
      </c>
      <c r="P24" s="108" t="str">
        <f>HITOS!$B$21</f>
        <v>ACABADOS SECOS EN TORRE</v>
      </c>
      <c r="Q24" s="89">
        <f>VLOOKUP($A$1&amp;"xx"&amp;P24,HITOS!D:E,2,FALSE)</f>
        <v>46371</v>
      </c>
    </row>
    <row r="25" spans="1:17" ht="39" customHeight="1" thickBot="1" x14ac:dyDescent="0.25">
      <c r="A25" s="193" t="s">
        <v>178</v>
      </c>
      <c r="B25" s="67">
        <v>15</v>
      </c>
      <c r="C25" s="90">
        <f t="shared" si="3"/>
        <v>46327</v>
      </c>
      <c r="D25" s="101" t="s">
        <v>22</v>
      </c>
      <c r="E25" s="67">
        <v>15</v>
      </c>
      <c r="F25" s="92">
        <f t="shared" si="0"/>
        <v>46342</v>
      </c>
      <c r="G25" s="101" t="s">
        <v>22</v>
      </c>
      <c r="H25" s="67">
        <v>7</v>
      </c>
      <c r="I25" s="90">
        <f t="shared" si="1"/>
        <v>46349</v>
      </c>
      <c r="J25" s="101" t="s">
        <v>22</v>
      </c>
      <c r="K25" s="102"/>
      <c r="L25" s="67">
        <v>7</v>
      </c>
      <c r="M25" s="94">
        <f t="shared" si="2"/>
        <v>46356</v>
      </c>
      <c r="N25" s="101" t="s">
        <v>22</v>
      </c>
      <c r="O25" s="65">
        <v>15</v>
      </c>
      <c r="P25" s="108" t="str">
        <f>HITOS!$B$21</f>
        <v>ACABADOS SECOS EN TORRE</v>
      </c>
      <c r="Q25" s="89">
        <f>VLOOKUP($A$1&amp;"xx"&amp;P25,HITOS!D:E,2,FALSE)</f>
        <v>46371</v>
      </c>
    </row>
    <row r="26" spans="1:17" ht="39" customHeight="1" thickBot="1" x14ac:dyDescent="0.25">
      <c r="A26" s="193" t="s">
        <v>196</v>
      </c>
      <c r="B26" s="67">
        <v>15</v>
      </c>
      <c r="C26" s="90">
        <f t="shared" si="3"/>
        <v>46327</v>
      </c>
      <c r="D26" s="101" t="s">
        <v>22</v>
      </c>
      <c r="E26" s="67">
        <v>15</v>
      </c>
      <c r="F26" s="92">
        <f t="shared" si="0"/>
        <v>46342</v>
      </c>
      <c r="G26" s="101" t="s">
        <v>22</v>
      </c>
      <c r="H26" s="67">
        <v>7</v>
      </c>
      <c r="I26" s="90">
        <f t="shared" si="1"/>
        <v>46349</v>
      </c>
      <c r="J26" s="101" t="s">
        <v>22</v>
      </c>
      <c r="K26" s="102"/>
      <c r="L26" s="67">
        <v>7</v>
      </c>
      <c r="M26" s="94">
        <f t="shared" si="2"/>
        <v>46356</v>
      </c>
      <c r="N26" s="101" t="s">
        <v>22</v>
      </c>
      <c r="O26" s="65">
        <v>15</v>
      </c>
      <c r="P26" s="108" t="str">
        <f>HITOS!$B$21</f>
        <v>ACABADOS SECOS EN TORRE</v>
      </c>
      <c r="Q26" s="89">
        <f>VLOOKUP($A$1&amp;"xx"&amp;P26,HITOS!D:E,2,FALSE)</f>
        <v>46371</v>
      </c>
    </row>
    <row r="27" spans="1:17" ht="39" customHeight="1" thickBot="1" x14ac:dyDescent="0.25">
      <c r="A27" s="193" t="s">
        <v>179</v>
      </c>
      <c r="B27" s="67">
        <v>15</v>
      </c>
      <c r="C27" s="90">
        <f t="shared" si="3"/>
        <v>46327</v>
      </c>
      <c r="D27" s="101" t="s">
        <v>22</v>
      </c>
      <c r="E27" s="67">
        <v>15</v>
      </c>
      <c r="F27" s="92">
        <f t="shared" si="0"/>
        <v>46342</v>
      </c>
      <c r="G27" s="101" t="s">
        <v>22</v>
      </c>
      <c r="H27" s="67">
        <v>7</v>
      </c>
      <c r="I27" s="90">
        <f t="shared" si="1"/>
        <v>46349</v>
      </c>
      <c r="J27" s="101" t="s">
        <v>22</v>
      </c>
      <c r="K27" s="102"/>
      <c r="L27" s="67">
        <v>7</v>
      </c>
      <c r="M27" s="94">
        <f t="shared" si="2"/>
        <v>46356</v>
      </c>
      <c r="N27" s="101" t="s">
        <v>22</v>
      </c>
      <c r="O27" s="65">
        <v>15</v>
      </c>
      <c r="P27" s="108" t="str">
        <f>HITOS!$B$21</f>
        <v>ACABADOS SECOS EN TORRE</v>
      </c>
      <c r="Q27" s="89">
        <f>VLOOKUP($A$1&amp;"xx"&amp;P27,HITOS!D:E,2,FALSE)</f>
        <v>46371</v>
      </c>
    </row>
    <row r="28" spans="1:17" ht="39" customHeight="1" thickBot="1" x14ac:dyDescent="0.25">
      <c r="A28" s="193" t="s">
        <v>170</v>
      </c>
      <c r="B28" s="67">
        <v>15</v>
      </c>
      <c r="C28" s="90">
        <f t="shared" si="3"/>
        <v>46327</v>
      </c>
      <c r="D28" s="101" t="s">
        <v>22</v>
      </c>
      <c r="E28" s="67">
        <v>15</v>
      </c>
      <c r="F28" s="92">
        <f t="shared" si="0"/>
        <v>46342</v>
      </c>
      <c r="G28" s="101" t="s">
        <v>22</v>
      </c>
      <c r="H28" s="67">
        <v>7</v>
      </c>
      <c r="I28" s="90">
        <f t="shared" si="1"/>
        <v>46349</v>
      </c>
      <c r="J28" s="101" t="s">
        <v>22</v>
      </c>
      <c r="K28" s="102"/>
      <c r="L28" s="67">
        <v>7</v>
      </c>
      <c r="M28" s="94">
        <f t="shared" si="2"/>
        <v>46356</v>
      </c>
      <c r="N28" s="101" t="s">
        <v>22</v>
      </c>
      <c r="O28" s="65">
        <v>15</v>
      </c>
      <c r="P28" s="108" t="str">
        <f>HITOS!$B$21</f>
        <v>ACABADOS SECOS EN TORRE</v>
      </c>
      <c r="Q28" s="89">
        <f>VLOOKUP($A$1&amp;"xx"&amp;P28,HITOS!D:E,2,FALSE)</f>
        <v>46371</v>
      </c>
    </row>
    <row r="29" spans="1:17" ht="39" customHeight="1" thickBot="1" x14ac:dyDescent="0.25">
      <c r="A29" s="193" t="s">
        <v>171</v>
      </c>
      <c r="B29" s="67">
        <v>15</v>
      </c>
      <c r="C29" s="90">
        <f t="shared" si="3"/>
        <v>46327</v>
      </c>
      <c r="D29" s="101" t="s">
        <v>22</v>
      </c>
      <c r="E29" s="67">
        <v>15</v>
      </c>
      <c r="F29" s="92">
        <f t="shared" si="0"/>
        <v>46342</v>
      </c>
      <c r="G29" s="101" t="s">
        <v>22</v>
      </c>
      <c r="H29" s="67">
        <v>7</v>
      </c>
      <c r="I29" s="90">
        <f t="shared" si="1"/>
        <v>46349</v>
      </c>
      <c r="J29" s="101" t="s">
        <v>22</v>
      </c>
      <c r="K29" s="102"/>
      <c r="L29" s="67">
        <v>7</v>
      </c>
      <c r="M29" s="94">
        <f t="shared" si="2"/>
        <v>46356</v>
      </c>
      <c r="N29" s="101" t="s">
        <v>22</v>
      </c>
      <c r="O29" s="65">
        <v>15</v>
      </c>
      <c r="P29" s="108" t="str">
        <f>HITOS!$B$21</f>
        <v>ACABADOS SECOS EN TORRE</v>
      </c>
      <c r="Q29" s="89">
        <f>VLOOKUP($A$1&amp;"xx"&amp;P29,HITOS!D:E,2,FALSE)</f>
        <v>46371</v>
      </c>
    </row>
    <row r="30" spans="1:17" ht="39" customHeight="1" thickBot="1" x14ac:dyDescent="0.25">
      <c r="A30" s="193" t="s">
        <v>176</v>
      </c>
      <c r="B30" s="67">
        <v>15</v>
      </c>
      <c r="C30" s="90">
        <f t="shared" si="3"/>
        <v>46327</v>
      </c>
      <c r="D30" s="101" t="s">
        <v>22</v>
      </c>
      <c r="E30" s="67">
        <v>15</v>
      </c>
      <c r="F30" s="92">
        <f t="shared" si="0"/>
        <v>46342</v>
      </c>
      <c r="G30" s="101" t="s">
        <v>22</v>
      </c>
      <c r="H30" s="67">
        <v>7</v>
      </c>
      <c r="I30" s="90">
        <f t="shared" si="1"/>
        <v>46349</v>
      </c>
      <c r="J30" s="101" t="s">
        <v>22</v>
      </c>
      <c r="K30" s="102"/>
      <c r="L30" s="67">
        <v>7</v>
      </c>
      <c r="M30" s="94">
        <f t="shared" si="2"/>
        <v>46356</v>
      </c>
      <c r="N30" s="101" t="s">
        <v>22</v>
      </c>
      <c r="O30" s="65">
        <v>15</v>
      </c>
      <c r="P30" s="108" t="str">
        <f>HITOS!$B$21</f>
        <v>ACABADOS SECOS EN TORRE</v>
      </c>
      <c r="Q30" s="89">
        <f>VLOOKUP($A$1&amp;"xx"&amp;P30,HITOS!D:E,2,FALSE)</f>
        <v>46371</v>
      </c>
    </row>
    <row r="31" spans="1:17" ht="39" customHeight="1" thickBot="1" x14ac:dyDescent="0.25">
      <c r="A31" s="193" t="s">
        <v>183</v>
      </c>
      <c r="B31" s="67">
        <v>15</v>
      </c>
      <c r="C31" s="90">
        <f t="shared" si="3"/>
        <v>46327</v>
      </c>
      <c r="D31" s="101" t="s">
        <v>22</v>
      </c>
      <c r="E31" s="67">
        <v>15</v>
      </c>
      <c r="F31" s="92">
        <f t="shared" si="0"/>
        <v>46342</v>
      </c>
      <c r="G31" s="101" t="s">
        <v>22</v>
      </c>
      <c r="H31" s="67">
        <v>7</v>
      </c>
      <c r="I31" s="90">
        <f t="shared" si="1"/>
        <v>46349</v>
      </c>
      <c r="J31" s="101" t="s">
        <v>22</v>
      </c>
      <c r="K31" s="102"/>
      <c r="L31" s="67">
        <v>7</v>
      </c>
      <c r="M31" s="94">
        <f t="shared" si="2"/>
        <v>46356</v>
      </c>
      <c r="N31" s="101" t="s">
        <v>22</v>
      </c>
      <c r="O31" s="65">
        <v>15</v>
      </c>
      <c r="P31" s="108" t="str">
        <f>HITOS!$B$21</f>
        <v>ACABADOS SECOS EN TORRE</v>
      </c>
      <c r="Q31" s="89">
        <f>VLOOKUP($A$1&amp;"xx"&amp;P31,HITOS!D:E,2,FALSE)</f>
        <v>46371</v>
      </c>
    </row>
    <row r="32" spans="1:17" ht="39" customHeight="1" thickBot="1" x14ac:dyDescent="0.25">
      <c r="A32" s="193" t="s">
        <v>51</v>
      </c>
      <c r="B32" s="67">
        <v>15</v>
      </c>
      <c r="C32" s="90">
        <f t="shared" si="3"/>
        <v>46327</v>
      </c>
      <c r="D32" s="101" t="s">
        <v>22</v>
      </c>
      <c r="E32" s="67">
        <v>15</v>
      </c>
      <c r="F32" s="92">
        <f t="shared" si="0"/>
        <v>46342</v>
      </c>
      <c r="G32" s="101" t="s">
        <v>22</v>
      </c>
      <c r="H32" s="67">
        <v>7</v>
      </c>
      <c r="I32" s="90">
        <f t="shared" si="1"/>
        <v>46349</v>
      </c>
      <c r="J32" s="101" t="s">
        <v>22</v>
      </c>
      <c r="K32" s="102"/>
      <c r="L32" s="67">
        <v>7</v>
      </c>
      <c r="M32" s="94">
        <f t="shared" si="2"/>
        <v>46356</v>
      </c>
      <c r="N32" s="101" t="s">
        <v>22</v>
      </c>
      <c r="O32" s="65">
        <v>15</v>
      </c>
      <c r="P32" s="108" t="str">
        <f>HITOS!$B$21</f>
        <v>ACABADOS SECOS EN TORRE</v>
      </c>
      <c r="Q32" s="89">
        <f>VLOOKUP($A$1&amp;"xx"&amp;P32,HITOS!D:E,2,FALSE)</f>
        <v>46371</v>
      </c>
    </row>
    <row r="33" spans="1:17" ht="39" customHeight="1" thickBot="1" x14ac:dyDescent="0.25">
      <c r="A33" s="193" t="s">
        <v>182</v>
      </c>
      <c r="B33" s="67">
        <v>15</v>
      </c>
      <c r="C33" s="90">
        <f t="shared" si="3"/>
        <v>46327</v>
      </c>
      <c r="D33" s="101" t="s">
        <v>22</v>
      </c>
      <c r="E33" s="67">
        <v>15</v>
      </c>
      <c r="F33" s="92">
        <f t="shared" si="0"/>
        <v>46342</v>
      </c>
      <c r="G33" s="101" t="s">
        <v>22</v>
      </c>
      <c r="H33" s="67">
        <v>7</v>
      </c>
      <c r="I33" s="90">
        <f t="shared" ref="I33:I67" si="4">+M33-L33</f>
        <v>46349</v>
      </c>
      <c r="J33" s="101" t="s">
        <v>22</v>
      </c>
      <c r="K33" s="102"/>
      <c r="L33" s="67">
        <v>7</v>
      </c>
      <c r="M33" s="94">
        <f t="shared" si="2"/>
        <v>46356</v>
      </c>
      <c r="N33" s="101" t="s">
        <v>22</v>
      </c>
      <c r="O33" s="65">
        <v>15</v>
      </c>
      <c r="P33" s="108" t="str">
        <f>HITOS!$B$21</f>
        <v>ACABADOS SECOS EN TORRE</v>
      </c>
      <c r="Q33" s="89">
        <f>VLOOKUP($A$1&amp;"xx"&amp;P33,HITOS!D:E,2,FALSE)</f>
        <v>46371</v>
      </c>
    </row>
    <row r="34" spans="1:17" ht="39" customHeight="1" thickBot="1" x14ac:dyDescent="0.25">
      <c r="A34" s="193" t="s">
        <v>202</v>
      </c>
      <c r="B34" s="67">
        <v>15</v>
      </c>
      <c r="C34" s="90">
        <f t="shared" si="3"/>
        <v>46327</v>
      </c>
      <c r="D34" s="101" t="s">
        <v>22</v>
      </c>
      <c r="E34" s="67">
        <v>15</v>
      </c>
      <c r="F34" s="92">
        <f t="shared" si="0"/>
        <v>46342</v>
      </c>
      <c r="G34" s="101" t="s">
        <v>22</v>
      </c>
      <c r="H34" s="67">
        <v>7</v>
      </c>
      <c r="I34" s="90">
        <f t="shared" si="4"/>
        <v>46349</v>
      </c>
      <c r="J34" s="101" t="s">
        <v>22</v>
      </c>
      <c r="K34" s="102"/>
      <c r="L34" s="67">
        <v>7</v>
      </c>
      <c r="M34" s="94">
        <f t="shared" si="2"/>
        <v>46356</v>
      </c>
      <c r="N34" s="101" t="s">
        <v>22</v>
      </c>
      <c r="O34" s="65">
        <v>15</v>
      </c>
      <c r="P34" s="108" t="str">
        <f>HITOS!$B$21</f>
        <v>ACABADOS SECOS EN TORRE</v>
      </c>
      <c r="Q34" s="89">
        <f>VLOOKUP($A$1&amp;"xx"&amp;P34,HITOS!D:E,2,FALSE)</f>
        <v>46371</v>
      </c>
    </row>
    <row r="35" spans="1:17" ht="39" customHeight="1" thickBot="1" x14ac:dyDescent="0.25">
      <c r="A35" s="193" t="s">
        <v>187</v>
      </c>
      <c r="B35" s="67">
        <v>15</v>
      </c>
      <c r="C35" s="90">
        <f t="shared" si="3"/>
        <v>46327</v>
      </c>
      <c r="D35" s="101" t="s">
        <v>22</v>
      </c>
      <c r="E35" s="67">
        <v>15</v>
      </c>
      <c r="F35" s="92">
        <f t="shared" si="0"/>
        <v>46342</v>
      </c>
      <c r="G35" s="101" t="s">
        <v>22</v>
      </c>
      <c r="H35" s="67">
        <v>7</v>
      </c>
      <c r="I35" s="90">
        <f t="shared" si="4"/>
        <v>46349</v>
      </c>
      <c r="J35" s="101" t="s">
        <v>22</v>
      </c>
      <c r="K35" s="102"/>
      <c r="L35" s="67">
        <v>7</v>
      </c>
      <c r="M35" s="94">
        <f t="shared" si="2"/>
        <v>46356</v>
      </c>
      <c r="N35" s="101" t="s">
        <v>22</v>
      </c>
      <c r="O35" s="65">
        <v>15</v>
      </c>
      <c r="P35" s="108" t="str">
        <f>HITOS!$B$21</f>
        <v>ACABADOS SECOS EN TORRE</v>
      </c>
      <c r="Q35" s="89">
        <f>VLOOKUP($A$1&amp;"xx"&amp;P35,HITOS!D:E,2,FALSE)</f>
        <v>46371</v>
      </c>
    </row>
    <row r="36" spans="1:17" ht="39" customHeight="1" thickBot="1" x14ac:dyDescent="0.25">
      <c r="A36" s="193" t="s">
        <v>186</v>
      </c>
      <c r="B36" s="67">
        <v>15</v>
      </c>
      <c r="C36" s="90">
        <f t="shared" si="3"/>
        <v>46327</v>
      </c>
      <c r="D36" s="101" t="s">
        <v>22</v>
      </c>
      <c r="E36" s="67">
        <v>15</v>
      </c>
      <c r="F36" s="92">
        <f t="shared" si="0"/>
        <v>46342</v>
      </c>
      <c r="G36" s="101" t="s">
        <v>22</v>
      </c>
      <c r="H36" s="67">
        <v>7</v>
      </c>
      <c r="I36" s="90">
        <f t="shared" si="4"/>
        <v>46349</v>
      </c>
      <c r="J36" s="101" t="s">
        <v>22</v>
      </c>
      <c r="K36" s="102"/>
      <c r="L36" s="67">
        <v>7</v>
      </c>
      <c r="M36" s="94">
        <f t="shared" si="2"/>
        <v>46356</v>
      </c>
      <c r="N36" s="101" t="s">
        <v>22</v>
      </c>
      <c r="O36" s="65">
        <v>15</v>
      </c>
      <c r="P36" s="108" t="str">
        <f>HITOS!$B$21</f>
        <v>ACABADOS SECOS EN TORRE</v>
      </c>
      <c r="Q36" s="89">
        <f>VLOOKUP($A$1&amp;"xx"&amp;P36,HITOS!D:E,2,FALSE)</f>
        <v>46371</v>
      </c>
    </row>
    <row r="37" spans="1:17" ht="39" customHeight="1" thickBot="1" x14ac:dyDescent="0.25">
      <c r="A37" s="194" t="s">
        <v>185</v>
      </c>
      <c r="B37" s="69">
        <v>15</v>
      </c>
      <c r="C37" s="95">
        <f t="shared" si="3"/>
        <v>46327</v>
      </c>
      <c r="D37" s="104" t="s">
        <v>22</v>
      </c>
      <c r="E37" s="69">
        <v>15</v>
      </c>
      <c r="F37" s="97">
        <f t="shared" si="0"/>
        <v>46342</v>
      </c>
      <c r="G37" s="104" t="s">
        <v>22</v>
      </c>
      <c r="H37" s="69">
        <v>7</v>
      </c>
      <c r="I37" s="95">
        <f t="shared" si="4"/>
        <v>46349</v>
      </c>
      <c r="J37" s="104" t="s">
        <v>22</v>
      </c>
      <c r="K37" s="105"/>
      <c r="L37" s="69">
        <v>7</v>
      </c>
      <c r="M37" s="99">
        <f t="shared" si="2"/>
        <v>46356</v>
      </c>
      <c r="N37" s="104" t="s">
        <v>22</v>
      </c>
      <c r="O37" s="65">
        <v>15</v>
      </c>
      <c r="P37" s="109" t="str">
        <f>HITOS!$B$21</f>
        <v>ACABADOS SECOS EN TORRE</v>
      </c>
      <c r="Q37" s="89">
        <f>VLOOKUP($A$1&amp;"xx"&amp;P37,HITOS!D:E,2,FALSE)</f>
        <v>46371</v>
      </c>
    </row>
    <row r="38" spans="1:17" ht="39" customHeight="1" thickBot="1" x14ac:dyDescent="0.25">
      <c r="A38" s="196" t="s">
        <v>200</v>
      </c>
      <c r="B38" s="65">
        <v>15</v>
      </c>
      <c r="C38" s="90">
        <f t="shared" ref="C38:C67" si="5">+F38-B38</f>
        <v>46711</v>
      </c>
      <c r="D38" s="110" t="s">
        <v>22</v>
      </c>
      <c r="E38" s="65">
        <v>15</v>
      </c>
      <c r="F38" s="92">
        <f t="shared" si="0"/>
        <v>46726</v>
      </c>
      <c r="G38" s="110" t="s">
        <v>22</v>
      </c>
      <c r="H38" s="65">
        <v>7</v>
      </c>
      <c r="I38" s="90">
        <f t="shared" si="4"/>
        <v>46733</v>
      </c>
      <c r="J38" s="110" t="s">
        <v>22</v>
      </c>
      <c r="K38" s="102"/>
      <c r="L38" s="65">
        <v>7</v>
      </c>
      <c r="M38" s="94">
        <f t="shared" si="2"/>
        <v>46740</v>
      </c>
      <c r="N38" s="110" t="s">
        <v>22</v>
      </c>
      <c r="O38" s="65">
        <v>15</v>
      </c>
      <c r="P38" s="111" t="str">
        <f>HITOS!$B$22</f>
        <v>ENTREGA DE DPTOS TORRE 3</v>
      </c>
      <c r="Q38" s="89">
        <f>VLOOKUP($A$1&amp;"xx"&amp;P38,HITOS!D:E,2,FALSE)</f>
        <v>46755</v>
      </c>
    </row>
    <row r="39" spans="1:17" ht="39" customHeight="1" thickBot="1" x14ac:dyDescent="0.25">
      <c r="A39" s="197" t="s">
        <v>198</v>
      </c>
      <c r="B39" s="67">
        <v>15</v>
      </c>
      <c r="C39" s="90">
        <f t="shared" si="5"/>
        <v>46711</v>
      </c>
      <c r="D39" s="101" t="s">
        <v>22</v>
      </c>
      <c r="E39" s="67">
        <v>15</v>
      </c>
      <c r="F39" s="92">
        <f t="shared" si="0"/>
        <v>46726</v>
      </c>
      <c r="G39" s="101" t="s">
        <v>22</v>
      </c>
      <c r="H39" s="67">
        <v>7</v>
      </c>
      <c r="I39" s="90">
        <f t="shared" si="4"/>
        <v>46733</v>
      </c>
      <c r="J39" s="101" t="s">
        <v>22</v>
      </c>
      <c r="K39" s="102"/>
      <c r="L39" s="67">
        <v>7</v>
      </c>
      <c r="M39" s="94">
        <f t="shared" si="2"/>
        <v>46740</v>
      </c>
      <c r="N39" s="101" t="s">
        <v>22</v>
      </c>
      <c r="O39" s="65">
        <v>15</v>
      </c>
      <c r="P39" s="112" t="str">
        <f>HITOS!$B$22</f>
        <v>ENTREGA DE DPTOS TORRE 3</v>
      </c>
      <c r="Q39" s="89">
        <f>VLOOKUP($A$1&amp;"xx"&amp;P39,HITOS!D:E,2,FALSE)</f>
        <v>46755</v>
      </c>
    </row>
    <row r="40" spans="1:17" ht="39" customHeight="1" thickBot="1" x14ac:dyDescent="0.25">
      <c r="A40" s="197" t="s">
        <v>177</v>
      </c>
      <c r="B40" s="67">
        <v>15</v>
      </c>
      <c r="C40" s="90">
        <f t="shared" si="5"/>
        <v>46711</v>
      </c>
      <c r="D40" s="101" t="s">
        <v>22</v>
      </c>
      <c r="E40" s="67">
        <v>15</v>
      </c>
      <c r="F40" s="92">
        <f t="shared" si="0"/>
        <v>46726</v>
      </c>
      <c r="G40" s="101" t="s">
        <v>22</v>
      </c>
      <c r="H40" s="67">
        <v>7</v>
      </c>
      <c r="I40" s="90">
        <f t="shared" si="4"/>
        <v>46733</v>
      </c>
      <c r="J40" s="101" t="s">
        <v>22</v>
      </c>
      <c r="K40" s="102"/>
      <c r="L40" s="67">
        <v>7</v>
      </c>
      <c r="M40" s="94">
        <f t="shared" si="2"/>
        <v>46740</v>
      </c>
      <c r="N40" s="101" t="s">
        <v>22</v>
      </c>
      <c r="O40" s="65">
        <v>15</v>
      </c>
      <c r="P40" s="112" t="str">
        <f>HITOS!$B$22</f>
        <v>ENTREGA DE DPTOS TORRE 3</v>
      </c>
      <c r="Q40" s="89">
        <f>VLOOKUP($A$1&amp;"xx"&amp;P40,HITOS!D:E,2,FALSE)</f>
        <v>46755</v>
      </c>
    </row>
    <row r="41" spans="1:17" ht="39" customHeight="1" thickBot="1" x14ac:dyDescent="0.25">
      <c r="A41" s="197" t="s">
        <v>180</v>
      </c>
      <c r="B41" s="67">
        <v>15</v>
      </c>
      <c r="C41" s="90">
        <f t="shared" si="5"/>
        <v>46711</v>
      </c>
      <c r="D41" s="101" t="s">
        <v>22</v>
      </c>
      <c r="E41" s="67">
        <v>15</v>
      </c>
      <c r="F41" s="92">
        <f t="shared" si="0"/>
        <v>46726</v>
      </c>
      <c r="G41" s="101" t="s">
        <v>22</v>
      </c>
      <c r="H41" s="67">
        <v>7</v>
      </c>
      <c r="I41" s="90">
        <f t="shared" si="4"/>
        <v>46733</v>
      </c>
      <c r="J41" s="101" t="s">
        <v>22</v>
      </c>
      <c r="K41" s="102"/>
      <c r="L41" s="67">
        <v>7</v>
      </c>
      <c r="M41" s="94">
        <f t="shared" si="2"/>
        <v>46740</v>
      </c>
      <c r="N41" s="101" t="s">
        <v>22</v>
      </c>
      <c r="O41" s="65">
        <v>15</v>
      </c>
      <c r="P41" s="112" t="str">
        <f>HITOS!$B$22</f>
        <v>ENTREGA DE DPTOS TORRE 3</v>
      </c>
      <c r="Q41" s="89">
        <f>VLOOKUP($A$1&amp;"xx"&amp;P41,HITOS!D:E,2,FALSE)</f>
        <v>46755</v>
      </c>
    </row>
    <row r="42" spans="1:17" ht="39" customHeight="1" thickBot="1" x14ac:dyDescent="0.25">
      <c r="A42" s="197" t="s">
        <v>184</v>
      </c>
      <c r="B42" s="67">
        <v>15</v>
      </c>
      <c r="C42" s="90">
        <f t="shared" si="5"/>
        <v>46711</v>
      </c>
      <c r="D42" s="101" t="s">
        <v>22</v>
      </c>
      <c r="E42" s="67">
        <v>15</v>
      </c>
      <c r="F42" s="92">
        <f t="shared" si="0"/>
        <v>46726</v>
      </c>
      <c r="G42" s="101" t="s">
        <v>22</v>
      </c>
      <c r="H42" s="67">
        <v>7</v>
      </c>
      <c r="I42" s="90">
        <f t="shared" si="4"/>
        <v>46733</v>
      </c>
      <c r="J42" s="101" t="s">
        <v>22</v>
      </c>
      <c r="K42" s="102"/>
      <c r="L42" s="67">
        <v>7</v>
      </c>
      <c r="M42" s="94">
        <f t="shared" si="2"/>
        <v>46740</v>
      </c>
      <c r="N42" s="101" t="s">
        <v>22</v>
      </c>
      <c r="O42" s="65">
        <v>15</v>
      </c>
      <c r="P42" s="112" t="str">
        <f>HITOS!$B$22</f>
        <v>ENTREGA DE DPTOS TORRE 3</v>
      </c>
      <c r="Q42" s="89">
        <f>VLOOKUP($A$1&amp;"xx"&amp;P42,HITOS!D:E,2,FALSE)</f>
        <v>46755</v>
      </c>
    </row>
    <row r="43" spans="1:17" ht="39" customHeight="1" thickBot="1" x14ac:dyDescent="0.25">
      <c r="A43" s="197" t="s">
        <v>195</v>
      </c>
      <c r="B43" s="67">
        <v>15</v>
      </c>
      <c r="C43" s="90">
        <f t="shared" si="5"/>
        <v>46711</v>
      </c>
      <c r="D43" s="101" t="s">
        <v>22</v>
      </c>
      <c r="E43" s="67">
        <v>15</v>
      </c>
      <c r="F43" s="92">
        <f t="shared" si="0"/>
        <v>46726</v>
      </c>
      <c r="G43" s="101" t="s">
        <v>22</v>
      </c>
      <c r="H43" s="67">
        <v>7</v>
      </c>
      <c r="I43" s="90">
        <f t="shared" si="4"/>
        <v>46733</v>
      </c>
      <c r="J43" s="101" t="s">
        <v>22</v>
      </c>
      <c r="K43" s="102"/>
      <c r="L43" s="67">
        <v>7</v>
      </c>
      <c r="M43" s="94">
        <f t="shared" si="2"/>
        <v>46740</v>
      </c>
      <c r="N43" s="101" t="s">
        <v>22</v>
      </c>
      <c r="O43" s="65">
        <v>15</v>
      </c>
      <c r="P43" s="112" t="str">
        <f>HITOS!$B$22</f>
        <v>ENTREGA DE DPTOS TORRE 3</v>
      </c>
      <c r="Q43" s="89">
        <f>VLOOKUP($A$1&amp;"xx"&amp;P43,HITOS!D:E,2,FALSE)</f>
        <v>46755</v>
      </c>
    </row>
    <row r="44" spans="1:17" ht="39" customHeight="1" thickBot="1" x14ac:dyDescent="0.25">
      <c r="A44" s="197" t="s">
        <v>199</v>
      </c>
      <c r="B44" s="67">
        <v>15</v>
      </c>
      <c r="C44" s="90">
        <f t="shared" si="5"/>
        <v>46711</v>
      </c>
      <c r="D44" s="101" t="s">
        <v>22</v>
      </c>
      <c r="E44" s="67">
        <v>15</v>
      </c>
      <c r="F44" s="92">
        <f t="shared" si="0"/>
        <v>46726</v>
      </c>
      <c r="G44" s="101" t="s">
        <v>22</v>
      </c>
      <c r="H44" s="67">
        <v>7</v>
      </c>
      <c r="I44" s="90">
        <f t="shared" si="4"/>
        <v>46733</v>
      </c>
      <c r="J44" s="101" t="s">
        <v>22</v>
      </c>
      <c r="K44" s="102"/>
      <c r="L44" s="67">
        <v>7</v>
      </c>
      <c r="M44" s="94">
        <f t="shared" si="2"/>
        <v>46740</v>
      </c>
      <c r="N44" s="101" t="s">
        <v>22</v>
      </c>
      <c r="O44" s="65">
        <v>15</v>
      </c>
      <c r="P44" s="112" t="str">
        <f>HITOS!$B$22</f>
        <v>ENTREGA DE DPTOS TORRE 3</v>
      </c>
      <c r="Q44" s="89">
        <f>VLOOKUP($A$1&amp;"xx"&amp;P44,HITOS!D:E,2,FALSE)</f>
        <v>46755</v>
      </c>
    </row>
    <row r="45" spans="1:17" ht="39" customHeight="1" thickBot="1" x14ac:dyDescent="0.25">
      <c r="A45" s="197" t="s">
        <v>197</v>
      </c>
      <c r="B45" s="67">
        <v>15</v>
      </c>
      <c r="C45" s="90" t="e">
        <f t="shared" si="5"/>
        <v>#REF!</v>
      </c>
      <c r="D45" s="101" t="s">
        <v>22</v>
      </c>
      <c r="E45" s="67">
        <v>15</v>
      </c>
      <c r="F45" s="92" t="e">
        <f t="shared" si="0"/>
        <v>#REF!</v>
      </c>
      <c r="G45" s="101" t="s">
        <v>22</v>
      </c>
      <c r="H45" s="67">
        <v>7</v>
      </c>
      <c r="I45" s="90" t="e">
        <f t="shared" si="4"/>
        <v>#REF!</v>
      </c>
      <c r="J45" s="101" t="s">
        <v>22</v>
      </c>
      <c r="K45" s="102"/>
      <c r="L45" s="67">
        <v>7</v>
      </c>
      <c r="M45" s="94" t="e">
        <f t="shared" si="2"/>
        <v>#REF!</v>
      </c>
      <c r="N45" s="101" t="s">
        <v>22</v>
      </c>
      <c r="O45" s="65">
        <v>15</v>
      </c>
      <c r="P45" s="113" t="e">
        <f>HITOS!#REF!</f>
        <v>#REF!</v>
      </c>
      <c r="Q45" s="89" t="e">
        <f>VLOOKUP($A$1&amp;"xx"&amp;P45,HITOS!D:E,2,FALSE)</f>
        <v>#REF!</v>
      </c>
    </row>
    <row r="46" spans="1:17" ht="39" customHeight="1" thickBot="1" x14ac:dyDescent="0.25">
      <c r="A46" s="197" t="s">
        <v>181</v>
      </c>
      <c r="B46" s="67">
        <v>15</v>
      </c>
      <c r="C46" s="90" t="e">
        <f t="shared" si="5"/>
        <v>#REF!</v>
      </c>
      <c r="D46" s="101" t="s">
        <v>22</v>
      </c>
      <c r="E46" s="67">
        <v>15</v>
      </c>
      <c r="F46" s="92" t="e">
        <f t="shared" si="0"/>
        <v>#REF!</v>
      </c>
      <c r="G46" s="101" t="s">
        <v>22</v>
      </c>
      <c r="H46" s="67">
        <v>7</v>
      </c>
      <c r="I46" s="90" t="e">
        <f t="shared" si="4"/>
        <v>#REF!</v>
      </c>
      <c r="J46" s="101" t="s">
        <v>22</v>
      </c>
      <c r="K46" s="102"/>
      <c r="L46" s="67">
        <v>7</v>
      </c>
      <c r="M46" s="94" t="e">
        <f t="shared" si="2"/>
        <v>#REF!</v>
      </c>
      <c r="N46" s="101" t="s">
        <v>22</v>
      </c>
      <c r="O46" s="65">
        <v>15</v>
      </c>
      <c r="P46" s="113" t="e">
        <f>HITOS!#REF!</f>
        <v>#REF!</v>
      </c>
      <c r="Q46" s="89" t="e">
        <f>VLOOKUP($A$1&amp;"xx"&amp;P46,HITOS!D:E,2,FALSE)</f>
        <v>#REF!</v>
      </c>
    </row>
    <row r="47" spans="1:17" ht="39" customHeight="1" thickBot="1" x14ac:dyDescent="0.25">
      <c r="A47" s="197" t="s">
        <v>189</v>
      </c>
      <c r="B47" s="67">
        <v>15</v>
      </c>
      <c r="C47" s="90" t="e">
        <f t="shared" si="5"/>
        <v>#REF!</v>
      </c>
      <c r="D47" s="101" t="s">
        <v>22</v>
      </c>
      <c r="E47" s="67">
        <v>15</v>
      </c>
      <c r="F47" s="92" t="e">
        <f t="shared" si="0"/>
        <v>#REF!</v>
      </c>
      <c r="G47" s="101" t="s">
        <v>22</v>
      </c>
      <c r="H47" s="67">
        <v>7</v>
      </c>
      <c r="I47" s="90" t="e">
        <f t="shared" si="4"/>
        <v>#REF!</v>
      </c>
      <c r="J47" s="101" t="s">
        <v>22</v>
      </c>
      <c r="K47" s="102"/>
      <c r="L47" s="67">
        <v>7</v>
      </c>
      <c r="M47" s="94" t="e">
        <f t="shared" si="2"/>
        <v>#REF!</v>
      </c>
      <c r="N47" s="101" t="s">
        <v>22</v>
      </c>
      <c r="O47" s="65">
        <v>15</v>
      </c>
      <c r="P47" s="113" t="e">
        <f>HITOS!#REF!</f>
        <v>#REF!</v>
      </c>
      <c r="Q47" s="89" t="e">
        <f>VLOOKUP($A$1&amp;"xx"&amp;P47,HITOS!D:E,2,FALSE)</f>
        <v>#REF!</v>
      </c>
    </row>
    <row r="48" spans="1:17" ht="39" customHeight="1" thickBot="1" x14ac:dyDescent="0.25">
      <c r="A48" s="197" t="s">
        <v>208</v>
      </c>
      <c r="B48" s="67">
        <v>15</v>
      </c>
      <c r="C48" s="90" t="e">
        <f t="shared" si="5"/>
        <v>#REF!</v>
      </c>
      <c r="D48" s="101" t="s">
        <v>22</v>
      </c>
      <c r="E48" s="67">
        <v>15</v>
      </c>
      <c r="F48" s="92" t="e">
        <f t="shared" si="0"/>
        <v>#REF!</v>
      </c>
      <c r="G48" s="101" t="s">
        <v>22</v>
      </c>
      <c r="H48" s="67">
        <v>7</v>
      </c>
      <c r="I48" s="90" t="e">
        <f t="shared" si="4"/>
        <v>#REF!</v>
      </c>
      <c r="J48" s="101" t="s">
        <v>22</v>
      </c>
      <c r="K48" s="102"/>
      <c r="L48" s="67">
        <v>7</v>
      </c>
      <c r="M48" s="94" t="e">
        <f t="shared" si="2"/>
        <v>#REF!</v>
      </c>
      <c r="N48" s="101" t="s">
        <v>22</v>
      </c>
      <c r="O48" s="65">
        <v>15</v>
      </c>
      <c r="P48" s="113" t="e">
        <f>HITOS!#REF!</f>
        <v>#REF!</v>
      </c>
      <c r="Q48" s="89" t="e">
        <f>VLOOKUP($A$1&amp;"xx"&amp;P48,HITOS!D:E,2,FALSE)</f>
        <v>#REF!</v>
      </c>
    </row>
    <row r="49" spans="1:17" ht="39" customHeight="1" thickBot="1" x14ac:dyDescent="0.25">
      <c r="A49" s="197" t="s">
        <v>188</v>
      </c>
      <c r="B49" s="67">
        <v>15</v>
      </c>
      <c r="C49" s="90" t="e">
        <f t="shared" si="5"/>
        <v>#REF!</v>
      </c>
      <c r="D49" s="101" t="s">
        <v>22</v>
      </c>
      <c r="E49" s="67">
        <v>15</v>
      </c>
      <c r="F49" s="92" t="e">
        <f t="shared" si="0"/>
        <v>#REF!</v>
      </c>
      <c r="G49" s="101" t="s">
        <v>22</v>
      </c>
      <c r="H49" s="67">
        <v>7</v>
      </c>
      <c r="I49" s="90" t="e">
        <f t="shared" si="4"/>
        <v>#REF!</v>
      </c>
      <c r="J49" s="101" t="s">
        <v>22</v>
      </c>
      <c r="K49" s="102"/>
      <c r="L49" s="67">
        <v>7</v>
      </c>
      <c r="M49" s="94" t="e">
        <f t="shared" si="2"/>
        <v>#REF!</v>
      </c>
      <c r="N49" s="101" t="s">
        <v>22</v>
      </c>
      <c r="O49" s="65">
        <v>15</v>
      </c>
      <c r="P49" s="113" t="e">
        <f>HITOS!#REF!</f>
        <v>#REF!</v>
      </c>
      <c r="Q49" s="89" t="e">
        <f>VLOOKUP($A$1&amp;"xx"&amp;P49,HITOS!D:E,2,FALSE)</f>
        <v>#REF!</v>
      </c>
    </row>
    <row r="50" spans="1:17" ht="39" customHeight="1" thickBot="1" x14ac:dyDescent="0.25">
      <c r="A50" s="197" t="s">
        <v>192</v>
      </c>
      <c r="B50" s="67">
        <v>15</v>
      </c>
      <c r="C50" s="90" t="e">
        <f t="shared" si="5"/>
        <v>#REF!</v>
      </c>
      <c r="D50" s="101" t="s">
        <v>22</v>
      </c>
      <c r="E50" s="67">
        <v>15</v>
      </c>
      <c r="F50" s="92" t="e">
        <f t="shared" si="0"/>
        <v>#REF!</v>
      </c>
      <c r="G50" s="101" t="s">
        <v>22</v>
      </c>
      <c r="H50" s="67">
        <v>7</v>
      </c>
      <c r="I50" s="90" t="e">
        <f t="shared" si="4"/>
        <v>#REF!</v>
      </c>
      <c r="J50" s="101" t="s">
        <v>22</v>
      </c>
      <c r="K50" s="102"/>
      <c r="L50" s="67">
        <v>7</v>
      </c>
      <c r="M50" s="94" t="e">
        <f t="shared" si="2"/>
        <v>#REF!</v>
      </c>
      <c r="N50" s="101" t="s">
        <v>22</v>
      </c>
      <c r="O50" s="65">
        <v>15</v>
      </c>
      <c r="P50" s="113" t="e">
        <f>HITOS!#REF!</f>
        <v>#REF!</v>
      </c>
      <c r="Q50" s="89" t="e">
        <f>VLOOKUP($A$1&amp;"xx"&amp;P50,HITOS!D:E,2,FALSE)</f>
        <v>#REF!</v>
      </c>
    </row>
    <row r="51" spans="1:17" ht="39" customHeight="1" thickBot="1" x14ac:dyDescent="0.25">
      <c r="A51" s="197" t="s">
        <v>190</v>
      </c>
      <c r="B51" s="67">
        <v>15</v>
      </c>
      <c r="C51" s="90" t="e">
        <f t="shared" si="5"/>
        <v>#REF!</v>
      </c>
      <c r="D51" s="101" t="s">
        <v>22</v>
      </c>
      <c r="E51" s="67">
        <v>15</v>
      </c>
      <c r="F51" s="92" t="e">
        <f t="shared" si="0"/>
        <v>#REF!</v>
      </c>
      <c r="G51" s="101" t="s">
        <v>22</v>
      </c>
      <c r="H51" s="67">
        <v>7</v>
      </c>
      <c r="I51" s="90" t="e">
        <f t="shared" si="4"/>
        <v>#REF!</v>
      </c>
      <c r="J51" s="101" t="s">
        <v>22</v>
      </c>
      <c r="K51" s="102"/>
      <c r="L51" s="67">
        <v>7</v>
      </c>
      <c r="M51" s="94" t="e">
        <f t="shared" si="2"/>
        <v>#REF!</v>
      </c>
      <c r="N51" s="101" t="s">
        <v>22</v>
      </c>
      <c r="O51" s="65">
        <v>15</v>
      </c>
      <c r="P51" s="113" t="e">
        <f>HITOS!#REF!</f>
        <v>#REF!</v>
      </c>
      <c r="Q51" s="89" t="e">
        <f>VLOOKUP($A$1&amp;"xx"&amp;P51,HITOS!D:E,2,FALSE)</f>
        <v>#REF!</v>
      </c>
    </row>
    <row r="52" spans="1:17" ht="39" customHeight="1" thickBot="1" x14ac:dyDescent="0.25">
      <c r="A52" s="197" t="s">
        <v>191</v>
      </c>
      <c r="B52" s="67">
        <v>15</v>
      </c>
      <c r="C52" s="90" t="e">
        <f t="shared" si="5"/>
        <v>#REF!</v>
      </c>
      <c r="D52" s="101" t="s">
        <v>22</v>
      </c>
      <c r="E52" s="67">
        <v>15</v>
      </c>
      <c r="F52" s="92" t="e">
        <f t="shared" si="0"/>
        <v>#REF!</v>
      </c>
      <c r="G52" s="101" t="s">
        <v>22</v>
      </c>
      <c r="H52" s="67">
        <v>7</v>
      </c>
      <c r="I52" s="90" t="e">
        <f t="shared" si="4"/>
        <v>#REF!</v>
      </c>
      <c r="J52" s="101" t="s">
        <v>22</v>
      </c>
      <c r="K52" s="102"/>
      <c r="L52" s="67">
        <v>7</v>
      </c>
      <c r="M52" s="94" t="e">
        <f t="shared" si="2"/>
        <v>#REF!</v>
      </c>
      <c r="N52" s="101" t="s">
        <v>22</v>
      </c>
      <c r="O52" s="65">
        <v>15</v>
      </c>
      <c r="P52" s="113" t="e">
        <f>HITOS!#REF!</f>
        <v>#REF!</v>
      </c>
      <c r="Q52" s="89" t="e">
        <f>VLOOKUP($A$1&amp;"xx"&amp;P52,HITOS!D:E,2,FALSE)</f>
        <v>#REF!</v>
      </c>
    </row>
    <row r="53" spans="1:17" ht="39" customHeight="1" thickBot="1" x14ac:dyDescent="0.25">
      <c r="A53" s="197" t="s">
        <v>193</v>
      </c>
      <c r="B53" s="67">
        <v>15</v>
      </c>
      <c r="C53" s="90" t="e">
        <f t="shared" si="5"/>
        <v>#REF!</v>
      </c>
      <c r="D53" s="101" t="s">
        <v>22</v>
      </c>
      <c r="E53" s="67">
        <v>15</v>
      </c>
      <c r="F53" s="92" t="e">
        <f t="shared" si="0"/>
        <v>#REF!</v>
      </c>
      <c r="G53" s="101" t="s">
        <v>22</v>
      </c>
      <c r="H53" s="67">
        <v>7</v>
      </c>
      <c r="I53" s="90" t="e">
        <f t="shared" si="4"/>
        <v>#REF!</v>
      </c>
      <c r="J53" s="101" t="s">
        <v>22</v>
      </c>
      <c r="K53" s="102"/>
      <c r="L53" s="67">
        <v>7</v>
      </c>
      <c r="M53" s="94" t="e">
        <f t="shared" si="2"/>
        <v>#REF!</v>
      </c>
      <c r="N53" s="101" t="s">
        <v>22</v>
      </c>
      <c r="O53" s="65">
        <v>15</v>
      </c>
      <c r="P53" s="113" t="e">
        <f>HITOS!#REF!</f>
        <v>#REF!</v>
      </c>
      <c r="Q53" s="89" t="e">
        <f>VLOOKUP($A$1&amp;"xx"&amp;P53,HITOS!D:E,2,FALSE)</f>
        <v>#REF!</v>
      </c>
    </row>
    <row r="54" spans="1:17" ht="39" customHeight="1" thickBot="1" x14ac:dyDescent="0.25">
      <c r="A54" s="197" t="s">
        <v>194</v>
      </c>
      <c r="B54" s="67">
        <v>15</v>
      </c>
      <c r="C54" s="90" t="e">
        <f t="shared" si="5"/>
        <v>#REF!</v>
      </c>
      <c r="D54" s="101" t="s">
        <v>22</v>
      </c>
      <c r="E54" s="67">
        <v>15</v>
      </c>
      <c r="F54" s="92" t="e">
        <f t="shared" si="0"/>
        <v>#REF!</v>
      </c>
      <c r="G54" s="101" t="s">
        <v>22</v>
      </c>
      <c r="H54" s="67">
        <v>7</v>
      </c>
      <c r="I54" s="90" t="e">
        <f t="shared" si="4"/>
        <v>#REF!</v>
      </c>
      <c r="J54" s="101" t="s">
        <v>22</v>
      </c>
      <c r="K54" s="102"/>
      <c r="L54" s="67">
        <v>7</v>
      </c>
      <c r="M54" s="94" t="e">
        <f t="shared" si="2"/>
        <v>#REF!</v>
      </c>
      <c r="N54" s="101" t="s">
        <v>22</v>
      </c>
      <c r="O54" s="65">
        <v>15</v>
      </c>
      <c r="P54" s="113" t="e">
        <f>HITOS!#REF!</f>
        <v>#REF!</v>
      </c>
      <c r="Q54" s="89" t="e">
        <f>VLOOKUP($A$1&amp;"xx"&amp;P54,HITOS!D:E,2,FALSE)</f>
        <v>#REF!</v>
      </c>
    </row>
    <row r="55" spans="1:17" ht="39" customHeight="1" thickBot="1" x14ac:dyDescent="0.25">
      <c r="A55" s="198" t="s">
        <v>209</v>
      </c>
      <c r="B55" s="67">
        <v>15</v>
      </c>
      <c r="C55" s="90" t="e">
        <f t="shared" si="5"/>
        <v>#REF!</v>
      </c>
      <c r="D55" s="101" t="s">
        <v>22</v>
      </c>
      <c r="E55" s="67">
        <v>15</v>
      </c>
      <c r="F55" s="92" t="e">
        <f t="shared" si="0"/>
        <v>#REF!</v>
      </c>
      <c r="G55" s="101" t="s">
        <v>22</v>
      </c>
      <c r="H55" s="67">
        <v>7</v>
      </c>
      <c r="I55" s="90" t="e">
        <f t="shared" si="4"/>
        <v>#REF!</v>
      </c>
      <c r="J55" s="101" t="s">
        <v>22</v>
      </c>
      <c r="K55" s="102"/>
      <c r="L55" s="67">
        <v>7</v>
      </c>
      <c r="M55" s="94" t="e">
        <f t="shared" si="2"/>
        <v>#REF!</v>
      </c>
      <c r="N55" s="101" t="s">
        <v>22</v>
      </c>
      <c r="O55" s="65">
        <v>15</v>
      </c>
      <c r="P55" s="114" t="e">
        <f>+HITOS!#REF!</f>
        <v>#REF!</v>
      </c>
      <c r="Q55" s="89" t="e">
        <f>VLOOKUP($A$1&amp;"xx"&amp;P55,HITOS!D:E,2,FALSE)</f>
        <v>#REF!</v>
      </c>
    </row>
    <row r="56" spans="1:17" ht="39" customHeight="1" thickBot="1" x14ac:dyDescent="0.25">
      <c r="A56" s="198" t="s">
        <v>201</v>
      </c>
      <c r="B56" s="67">
        <v>15</v>
      </c>
      <c r="C56" s="90" t="e">
        <f t="shared" si="5"/>
        <v>#REF!</v>
      </c>
      <c r="D56" s="101" t="s">
        <v>22</v>
      </c>
      <c r="E56" s="67">
        <v>15</v>
      </c>
      <c r="F56" s="92" t="e">
        <f t="shared" si="0"/>
        <v>#REF!</v>
      </c>
      <c r="G56" s="101" t="s">
        <v>22</v>
      </c>
      <c r="H56" s="67">
        <v>7</v>
      </c>
      <c r="I56" s="90" t="e">
        <f t="shared" si="4"/>
        <v>#REF!</v>
      </c>
      <c r="J56" s="101" t="s">
        <v>22</v>
      </c>
      <c r="K56" s="102"/>
      <c r="L56" s="67">
        <v>7</v>
      </c>
      <c r="M56" s="94" t="e">
        <f t="shared" si="2"/>
        <v>#REF!</v>
      </c>
      <c r="N56" s="101" t="s">
        <v>22</v>
      </c>
      <c r="O56" s="65">
        <v>15</v>
      </c>
      <c r="P56" s="114" t="e">
        <f>+HITOS!#REF!</f>
        <v>#REF!</v>
      </c>
      <c r="Q56" s="89" t="e">
        <f>VLOOKUP($A$1&amp;"xx"&amp;P56,HITOS!D:E,2,FALSE)</f>
        <v>#REF!</v>
      </c>
    </row>
    <row r="57" spans="1:17" ht="39" customHeight="1" thickBot="1" x14ac:dyDescent="0.25">
      <c r="A57" s="198" t="s">
        <v>203</v>
      </c>
      <c r="B57" s="67">
        <v>15</v>
      </c>
      <c r="C57" s="90" t="e">
        <f t="shared" si="5"/>
        <v>#REF!</v>
      </c>
      <c r="D57" s="101" t="s">
        <v>22</v>
      </c>
      <c r="E57" s="67">
        <v>15</v>
      </c>
      <c r="F57" s="92" t="e">
        <f t="shared" si="0"/>
        <v>#REF!</v>
      </c>
      <c r="G57" s="101" t="s">
        <v>22</v>
      </c>
      <c r="H57" s="67">
        <v>7</v>
      </c>
      <c r="I57" s="90" t="e">
        <f t="shared" si="4"/>
        <v>#REF!</v>
      </c>
      <c r="J57" s="101" t="s">
        <v>22</v>
      </c>
      <c r="K57" s="102"/>
      <c r="L57" s="67">
        <v>7</v>
      </c>
      <c r="M57" s="94" t="e">
        <f t="shared" si="2"/>
        <v>#REF!</v>
      </c>
      <c r="N57" s="101" t="s">
        <v>22</v>
      </c>
      <c r="O57" s="65">
        <v>15</v>
      </c>
      <c r="P57" s="114" t="e">
        <f>+HITOS!#REF!</f>
        <v>#REF!</v>
      </c>
      <c r="Q57" s="89" t="e">
        <f>VLOOKUP($A$1&amp;"xx"&amp;P57,HITOS!D:E,2,FALSE)</f>
        <v>#REF!</v>
      </c>
    </row>
    <row r="58" spans="1:17" ht="39" customHeight="1" thickBot="1" x14ac:dyDescent="0.25">
      <c r="A58" s="198" t="s">
        <v>204</v>
      </c>
      <c r="B58" s="67">
        <v>15</v>
      </c>
      <c r="C58" s="90" t="e">
        <f t="shared" si="5"/>
        <v>#REF!</v>
      </c>
      <c r="D58" s="101" t="s">
        <v>22</v>
      </c>
      <c r="E58" s="67">
        <v>15</v>
      </c>
      <c r="F58" s="92" t="e">
        <f t="shared" si="0"/>
        <v>#REF!</v>
      </c>
      <c r="G58" s="101" t="s">
        <v>22</v>
      </c>
      <c r="H58" s="67">
        <v>7</v>
      </c>
      <c r="I58" s="90" t="e">
        <f t="shared" si="4"/>
        <v>#REF!</v>
      </c>
      <c r="J58" s="101" t="s">
        <v>22</v>
      </c>
      <c r="K58" s="102"/>
      <c r="L58" s="67">
        <v>7</v>
      </c>
      <c r="M58" s="94" t="e">
        <f t="shared" si="2"/>
        <v>#REF!</v>
      </c>
      <c r="N58" s="101" t="s">
        <v>22</v>
      </c>
      <c r="O58" s="65">
        <v>15</v>
      </c>
      <c r="P58" s="114" t="e">
        <f>+HITOS!#REF!</f>
        <v>#REF!</v>
      </c>
      <c r="Q58" s="89" t="e">
        <f>VLOOKUP($A$1&amp;"xx"&amp;P58,HITOS!D:E,2,FALSE)</f>
        <v>#REF!</v>
      </c>
    </row>
    <row r="59" spans="1:17" ht="39" customHeight="1" thickBot="1" x14ac:dyDescent="0.25">
      <c r="A59" s="198" t="s">
        <v>205</v>
      </c>
      <c r="B59" s="67">
        <v>15</v>
      </c>
      <c r="C59" s="90" t="e">
        <f t="shared" si="5"/>
        <v>#REF!</v>
      </c>
      <c r="D59" s="101" t="s">
        <v>22</v>
      </c>
      <c r="E59" s="67">
        <v>15</v>
      </c>
      <c r="F59" s="92" t="e">
        <f t="shared" si="0"/>
        <v>#REF!</v>
      </c>
      <c r="G59" s="101" t="s">
        <v>22</v>
      </c>
      <c r="H59" s="67">
        <v>7</v>
      </c>
      <c r="I59" s="90" t="e">
        <f t="shared" si="4"/>
        <v>#REF!</v>
      </c>
      <c r="J59" s="101" t="s">
        <v>22</v>
      </c>
      <c r="K59" s="102"/>
      <c r="L59" s="67">
        <v>7</v>
      </c>
      <c r="M59" s="94" t="e">
        <f t="shared" si="2"/>
        <v>#REF!</v>
      </c>
      <c r="N59" s="101" t="s">
        <v>22</v>
      </c>
      <c r="O59" s="65">
        <v>15</v>
      </c>
      <c r="P59" s="114" t="e">
        <f>+HITOS!#REF!</f>
        <v>#REF!</v>
      </c>
      <c r="Q59" s="89" t="e">
        <f>VLOOKUP($A$1&amp;"xx"&amp;P59,HITOS!D:E,2,FALSE)</f>
        <v>#REF!</v>
      </c>
    </row>
    <row r="60" spans="1:17" ht="39" customHeight="1" thickBot="1" x14ac:dyDescent="0.25">
      <c r="A60" s="198" t="s">
        <v>206</v>
      </c>
      <c r="B60" s="67">
        <v>15</v>
      </c>
      <c r="C60" s="90" t="e">
        <f t="shared" si="5"/>
        <v>#REF!</v>
      </c>
      <c r="D60" s="101" t="s">
        <v>22</v>
      </c>
      <c r="E60" s="67">
        <v>15</v>
      </c>
      <c r="F60" s="92" t="e">
        <f t="shared" si="0"/>
        <v>#REF!</v>
      </c>
      <c r="G60" s="101" t="s">
        <v>22</v>
      </c>
      <c r="H60" s="67">
        <v>7</v>
      </c>
      <c r="I60" s="90" t="e">
        <f t="shared" si="4"/>
        <v>#REF!</v>
      </c>
      <c r="J60" s="101" t="s">
        <v>22</v>
      </c>
      <c r="K60" s="102"/>
      <c r="L60" s="67">
        <v>7</v>
      </c>
      <c r="M60" s="94" t="e">
        <f t="shared" si="2"/>
        <v>#REF!</v>
      </c>
      <c r="N60" s="101" t="s">
        <v>22</v>
      </c>
      <c r="O60" s="65">
        <v>15</v>
      </c>
      <c r="P60" s="114" t="e">
        <f>+HITOS!#REF!</f>
        <v>#REF!</v>
      </c>
      <c r="Q60" s="89" t="e">
        <f>VLOOKUP($A$1&amp;"xx"&amp;P60,HITOS!D:E,2,FALSE)</f>
        <v>#REF!</v>
      </c>
    </row>
    <row r="61" spans="1:17" ht="39" customHeight="1" thickBot="1" x14ac:dyDescent="0.25">
      <c r="A61" s="198" t="s">
        <v>210</v>
      </c>
      <c r="B61" s="67">
        <v>15</v>
      </c>
      <c r="C61" s="90" t="e">
        <f t="shared" si="5"/>
        <v>#REF!</v>
      </c>
      <c r="D61" s="101" t="s">
        <v>22</v>
      </c>
      <c r="E61" s="67">
        <v>15</v>
      </c>
      <c r="F61" s="92" t="e">
        <f t="shared" si="0"/>
        <v>#REF!</v>
      </c>
      <c r="G61" s="101" t="s">
        <v>22</v>
      </c>
      <c r="H61" s="67">
        <v>7</v>
      </c>
      <c r="I61" s="90" t="e">
        <f t="shared" si="4"/>
        <v>#REF!</v>
      </c>
      <c r="J61" s="101" t="s">
        <v>22</v>
      </c>
      <c r="K61" s="102"/>
      <c r="L61" s="67">
        <v>7</v>
      </c>
      <c r="M61" s="94" t="e">
        <f t="shared" si="2"/>
        <v>#REF!</v>
      </c>
      <c r="N61" s="101" t="s">
        <v>22</v>
      </c>
      <c r="O61" s="65">
        <v>15</v>
      </c>
      <c r="P61" s="114" t="e">
        <f>+HITOS!#REF!</f>
        <v>#REF!</v>
      </c>
      <c r="Q61" s="89" t="e">
        <f>VLOOKUP($A$1&amp;"xx"&amp;P61,HITOS!D:E,2,FALSE)</f>
        <v>#REF!</v>
      </c>
    </row>
    <row r="62" spans="1:17" ht="39" customHeight="1" thickBot="1" x14ac:dyDescent="0.25">
      <c r="A62" s="198" t="s">
        <v>207</v>
      </c>
      <c r="B62" s="67">
        <v>15</v>
      </c>
      <c r="C62" s="90">
        <f t="shared" si="5"/>
        <v>46711</v>
      </c>
      <c r="D62" s="101" t="s">
        <v>22</v>
      </c>
      <c r="E62" s="67">
        <v>15</v>
      </c>
      <c r="F62" s="92">
        <f t="shared" si="0"/>
        <v>46726</v>
      </c>
      <c r="G62" s="101" t="s">
        <v>22</v>
      </c>
      <c r="H62" s="67">
        <v>7</v>
      </c>
      <c r="I62" s="90">
        <f t="shared" si="4"/>
        <v>46733</v>
      </c>
      <c r="J62" s="101" t="s">
        <v>22</v>
      </c>
      <c r="K62" s="102"/>
      <c r="L62" s="67">
        <v>7</v>
      </c>
      <c r="M62" s="94">
        <f t="shared" si="2"/>
        <v>46740</v>
      </c>
      <c r="N62" s="101" t="s">
        <v>22</v>
      </c>
      <c r="O62" s="65">
        <v>15</v>
      </c>
      <c r="P62" s="217" t="s">
        <v>493</v>
      </c>
      <c r="Q62" s="89">
        <f>VLOOKUP($A$1&amp;"xx"&amp;P62,HITOS!D:E,2,FALSE)</f>
        <v>46755</v>
      </c>
    </row>
    <row r="63" spans="1:17" ht="39" customHeight="1" thickBot="1" x14ac:dyDescent="0.25">
      <c r="A63" s="198" t="s">
        <v>211</v>
      </c>
      <c r="B63" s="67">
        <v>15</v>
      </c>
      <c r="C63" s="90">
        <f t="shared" si="5"/>
        <v>46711</v>
      </c>
      <c r="D63" s="101" t="s">
        <v>22</v>
      </c>
      <c r="E63" s="67">
        <v>15</v>
      </c>
      <c r="F63" s="92">
        <f t="shared" si="0"/>
        <v>46726</v>
      </c>
      <c r="G63" s="101" t="s">
        <v>22</v>
      </c>
      <c r="H63" s="67">
        <v>7</v>
      </c>
      <c r="I63" s="90">
        <f t="shared" si="4"/>
        <v>46733</v>
      </c>
      <c r="J63" s="101" t="s">
        <v>22</v>
      </c>
      <c r="K63" s="102"/>
      <c r="L63" s="67">
        <v>7</v>
      </c>
      <c r="M63" s="94">
        <f t="shared" si="2"/>
        <v>46740</v>
      </c>
      <c r="N63" s="101" t="s">
        <v>22</v>
      </c>
      <c r="O63" s="65">
        <v>15</v>
      </c>
      <c r="P63" s="217" t="s">
        <v>493</v>
      </c>
      <c r="Q63" s="89">
        <f>VLOOKUP($A$1&amp;"xx"&amp;P63,HITOS!D:E,2,FALSE)</f>
        <v>46755</v>
      </c>
    </row>
    <row r="64" spans="1:17" ht="39" customHeight="1" thickBot="1" x14ac:dyDescent="0.25">
      <c r="A64" s="198" t="s">
        <v>215</v>
      </c>
      <c r="B64" s="67">
        <v>15</v>
      </c>
      <c r="C64" s="90">
        <f t="shared" si="5"/>
        <v>46711</v>
      </c>
      <c r="D64" s="101" t="s">
        <v>22</v>
      </c>
      <c r="E64" s="67">
        <v>15</v>
      </c>
      <c r="F64" s="92">
        <f t="shared" si="0"/>
        <v>46726</v>
      </c>
      <c r="G64" s="101" t="s">
        <v>22</v>
      </c>
      <c r="H64" s="67">
        <v>7</v>
      </c>
      <c r="I64" s="90">
        <f t="shared" si="4"/>
        <v>46733</v>
      </c>
      <c r="J64" s="101" t="s">
        <v>22</v>
      </c>
      <c r="K64" s="102"/>
      <c r="L64" s="67">
        <v>7</v>
      </c>
      <c r="M64" s="94">
        <f t="shared" si="2"/>
        <v>46740</v>
      </c>
      <c r="N64" s="101" t="s">
        <v>22</v>
      </c>
      <c r="O64" s="65">
        <v>15</v>
      </c>
      <c r="P64" s="217" t="s">
        <v>493</v>
      </c>
      <c r="Q64" s="89">
        <f>VLOOKUP($A$1&amp;"xx"&amp;P64,HITOS!D:E,2,FALSE)</f>
        <v>46755</v>
      </c>
    </row>
    <row r="65" spans="1:17" ht="39" customHeight="1" thickBot="1" x14ac:dyDescent="0.25">
      <c r="A65" s="198" t="s">
        <v>212</v>
      </c>
      <c r="B65" s="67">
        <v>15</v>
      </c>
      <c r="C65" s="90">
        <f t="shared" si="5"/>
        <v>46711</v>
      </c>
      <c r="D65" s="101" t="s">
        <v>22</v>
      </c>
      <c r="E65" s="67">
        <v>15</v>
      </c>
      <c r="F65" s="92">
        <f t="shared" ref="F65:F67" si="6">+I65-H65</f>
        <v>46726</v>
      </c>
      <c r="G65" s="101" t="s">
        <v>22</v>
      </c>
      <c r="H65" s="67">
        <v>7</v>
      </c>
      <c r="I65" s="90">
        <f t="shared" si="4"/>
        <v>46733</v>
      </c>
      <c r="J65" s="101" t="s">
        <v>22</v>
      </c>
      <c r="K65" s="102"/>
      <c r="L65" s="67">
        <v>7</v>
      </c>
      <c r="M65" s="94">
        <f t="shared" ref="M65:M67" si="7">+Q65-O65</f>
        <v>46740</v>
      </c>
      <c r="N65" s="101" t="s">
        <v>22</v>
      </c>
      <c r="O65" s="65">
        <v>15</v>
      </c>
      <c r="P65" s="217" t="s">
        <v>493</v>
      </c>
      <c r="Q65" s="89">
        <f>VLOOKUP($A$1&amp;"xx"&amp;P65,HITOS!D:E,2,FALSE)</f>
        <v>46755</v>
      </c>
    </row>
    <row r="66" spans="1:17" ht="39" customHeight="1" thickBot="1" x14ac:dyDescent="0.25">
      <c r="A66" s="198" t="s">
        <v>214</v>
      </c>
      <c r="B66" s="67">
        <v>15</v>
      </c>
      <c r="C66" s="90">
        <f t="shared" si="5"/>
        <v>46711</v>
      </c>
      <c r="D66" s="101" t="s">
        <v>22</v>
      </c>
      <c r="E66" s="67">
        <v>15</v>
      </c>
      <c r="F66" s="92">
        <f t="shared" si="6"/>
        <v>46726</v>
      </c>
      <c r="G66" s="101" t="s">
        <v>22</v>
      </c>
      <c r="H66" s="67">
        <v>7</v>
      </c>
      <c r="I66" s="90">
        <f t="shared" si="4"/>
        <v>46733</v>
      </c>
      <c r="J66" s="101" t="s">
        <v>22</v>
      </c>
      <c r="K66" s="102"/>
      <c r="L66" s="67">
        <v>7</v>
      </c>
      <c r="M66" s="94">
        <f t="shared" si="7"/>
        <v>46740</v>
      </c>
      <c r="N66" s="101" t="s">
        <v>22</v>
      </c>
      <c r="O66" s="65">
        <v>15</v>
      </c>
      <c r="P66" s="217" t="s">
        <v>493</v>
      </c>
      <c r="Q66" s="89">
        <f>VLOOKUP($A$1&amp;"xx"&amp;P66,HITOS!D:E,2,FALSE)</f>
        <v>46755</v>
      </c>
    </row>
    <row r="67" spans="1:17" ht="39" customHeight="1" x14ac:dyDescent="0.2">
      <c r="A67" s="198" t="s">
        <v>213</v>
      </c>
      <c r="B67" s="67">
        <v>15</v>
      </c>
      <c r="C67" s="90">
        <f t="shared" si="5"/>
        <v>46711</v>
      </c>
      <c r="D67" s="101" t="s">
        <v>22</v>
      </c>
      <c r="E67" s="67">
        <v>15</v>
      </c>
      <c r="F67" s="92">
        <f t="shared" si="6"/>
        <v>46726</v>
      </c>
      <c r="G67" s="101" t="s">
        <v>22</v>
      </c>
      <c r="H67" s="67">
        <v>7</v>
      </c>
      <c r="I67" s="90">
        <f t="shared" si="4"/>
        <v>46733</v>
      </c>
      <c r="J67" s="101" t="s">
        <v>22</v>
      </c>
      <c r="K67" s="102"/>
      <c r="L67" s="67">
        <v>7</v>
      </c>
      <c r="M67" s="94">
        <f t="shared" si="7"/>
        <v>46740</v>
      </c>
      <c r="N67" s="101" t="s">
        <v>22</v>
      </c>
      <c r="O67" s="65">
        <v>15</v>
      </c>
      <c r="P67" s="217" t="s">
        <v>493</v>
      </c>
      <c r="Q67" s="89">
        <f>VLOOKUP($A$1&amp;"xx"&amp;P67,HITOS!D:E,2,FALSE)</f>
        <v>46755</v>
      </c>
    </row>
    <row r="68" spans="1:17" ht="12.75" customHeight="1" x14ac:dyDescent="0.2">
      <c r="A68" s="115"/>
      <c r="B68" s="116"/>
      <c r="C68" s="117"/>
      <c r="D68" s="1"/>
      <c r="E68" s="1"/>
      <c r="F68" s="116"/>
      <c r="G68" s="116"/>
      <c r="H68" s="118"/>
      <c r="I68" s="119"/>
      <c r="J68" s="120"/>
      <c r="K68" s="121"/>
      <c r="L68" s="121"/>
      <c r="M68" s="121"/>
      <c r="N68" s="121"/>
      <c r="O68" s="121"/>
      <c r="P68" s="122"/>
      <c r="Q68" s="123"/>
    </row>
    <row r="69" spans="1:17" ht="12.75" customHeight="1" x14ac:dyDescent="0.2">
      <c r="A69" s="124"/>
      <c r="B69" s="116"/>
      <c r="C69" s="116"/>
      <c r="D69" s="1"/>
      <c r="E69" s="1"/>
      <c r="F69" s="116"/>
      <c r="G69" s="116"/>
      <c r="H69" s="118"/>
      <c r="I69" s="119"/>
      <c r="J69" s="120"/>
      <c r="K69" s="121"/>
      <c r="L69" s="121"/>
      <c r="M69" s="121"/>
      <c r="N69" s="121"/>
      <c r="O69" s="121"/>
      <c r="P69" s="122"/>
      <c r="Q69" s="121"/>
    </row>
    <row r="70" spans="1:17" ht="12.75" customHeight="1" x14ac:dyDescent="0.2">
      <c r="A70" s="124"/>
      <c r="B70" s="116"/>
      <c r="C70" s="116"/>
      <c r="D70" s="1"/>
      <c r="E70" s="1"/>
      <c r="F70" s="116"/>
      <c r="G70" s="116"/>
      <c r="H70" s="118"/>
      <c r="I70" s="119"/>
      <c r="J70" s="120"/>
      <c r="K70" s="121"/>
      <c r="L70" s="121"/>
      <c r="M70" s="121"/>
      <c r="N70" s="121"/>
      <c r="O70" s="121"/>
      <c r="P70" s="122"/>
      <c r="Q70" s="121"/>
    </row>
    <row r="71" spans="1:17" ht="12.75" customHeight="1" x14ac:dyDescent="0.2">
      <c r="A71" s="124"/>
      <c r="B71" s="116"/>
      <c r="C71" s="116"/>
      <c r="D71" s="1"/>
      <c r="E71" s="1"/>
      <c r="F71" s="116"/>
      <c r="G71" s="116"/>
      <c r="H71" s="118"/>
      <c r="I71" s="119"/>
      <c r="J71" s="120"/>
      <c r="K71" s="121"/>
      <c r="L71" s="121"/>
      <c r="M71" s="121"/>
      <c r="N71" s="121"/>
      <c r="O71" s="121"/>
      <c r="P71" s="122"/>
      <c r="Q71" s="121"/>
    </row>
    <row r="72" spans="1:17" ht="12.75" customHeight="1" x14ac:dyDescent="0.2">
      <c r="A72" s="124"/>
      <c r="B72" s="125"/>
      <c r="C72" s="125"/>
      <c r="D72" s="1"/>
      <c r="E72" s="1"/>
      <c r="F72" s="125"/>
      <c r="G72" s="125"/>
      <c r="H72" s="118"/>
      <c r="I72" s="119"/>
      <c r="J72" s="120"/>
      <c r="K72" s="121"/>
      <c r="L72" s="121"/>
      <c r="M72" s="121"/>
      <c r="N72" s="121"/>
      <c r="O72" s="121"/>
      <c r="P72" s="122"/>
      <c r="Q72" s="121"/>
    </row>
    <row r="73" spans="1:17" ht="12.75" customHeight="1" x14ac:dyDescent="0.2">
      <c r="A73" s="124"/>
      <c r="B73" s="125"/>
      <c r="C73" s="125"/>
      <c r="D73" s="1"/>
      <c r="E73" s="1"/>
      <c r="F73" s="125"/>
      <c r="G73" s="125"/>
      <c r="H73" s="118"/>
      <c r="I73" s="119"/>
      <c r="J73" s="120"/>
      <c r="K73" s="121"/>
      <c r="L73" s="121"/>
      <c r="M73" s="121"/>
      <c r="N73" s="121"/>
      <c r="O73" s="121"/>
      <c r="P73" s="122"/>
      <c r="Q73" s="121"/>
    </row>
    <row r="74" spans="1:17" ht="12.75" customHeight="1" x14ac:dyDescent="0.2">
      <c r="A74" s="124"/>
      <c r="B74" s="125"/>
      <c r="C74" s="125"/>
      <c r="D74" s="1"/>
      <c r="E74" s="1"/>
      <c r="F74" s="125"/>
      <c r="G74" s="125"/>
      <c r="H74" s="118"/>
      <c r="I74" s="119"/>
      <c r="J74" s="120"/>
      <c r="K74" s="121"/>
      <c r="L74" s="121"/>
      <c r="M74" s="121"/>
      <c r="N74" s="121"/>
      <c r="O74" s="121"/>
      <c r="P74" s="122"/>
      <c r="Q74" s="121"/>
    </row>
    <row r="75" spans="1:17" ht="12.75" customHeight="1" x14ac:dyDescent="0.2">
      <c r="A75" s="124"/>
      <c r="B75" s="125"/>
      <c r="C75" s="125"/>
      <c r="D75" s="1"/>
      <c r="E75" s="1"/>
      <c r="F75" s="125"/>
      <c r="G75" s="125"/>
      <c r="H75" s="118"/>
      <c r="I75" s="119"/>
      <c r="J75" s="120"/>
      <c r="K75" s="121"/>
      <c r="L75" s="121"/>
      <c r="M75" s="121"/>
      <c r="N75" s="121"/>
      <c r="O75" s="121"/>
      <c r="P75" s="122"/>
      <c r="Q75" s="121"/>
    </row>
    <row r="76" spans="1:17" ht="12.75" customHeight="1" x14ac:dyDescent="0.2">
      <c r="A76" s="124"/>
      <c r="B76" s="125"/>
      <c r="C76" s="125"/>
      <c r="D76" s="1"/>
      <c r="E76" s="1"/>
      <c r="F76" s="125"/>
      <c r="G76" s="125" t="s">
        <v>260</v>
      </c>
      <c r="H76" s="118"/>
      <c r="I76" s="119"/>
      <c r="J76" s="120"/>
      <c r="K76" s="121"/>
      <c r="L76" s="121"/>
      <c r="M76" s="121"/>
      <c r="N76" s="121"/>
      <c r="O76" s="121"/>
      <c r="P76" s="122"/>
      <c r="Q76" s="121"/>
    </row>
    <row r="77" spans="1:17" ht="12.75" customHeight="1" x14ac:dyDescent="0.2">
      <c r="A77" s="124"/>
      <c r="B77" s="125"/>
      <c r="C77" s="125"/>
      <c r="D77" s="1"/>
      <c r="E77" s="1"/>
      <c r="F77" s="125"/>
      <c r="G77" s="125"/>
      <c r="H77" s="118"/>
      <c r="I77" s="119"/>
      <c r="J77" s="120"/>
      <c r="K77" s="121"/>
      <c r="L77" s="121"/>
      <c r="M77" s="121"/>
      <c r="N77" s="121"/>
      <c r="O77" s="121"/>
      <c r="P77" s="122"/>
      <c r="Q77" s="121"/>
    </row>
    <row r="78" spans="1:17" ht="12.75" customHeight="1" x14ac:dyDescent="0.2">
      <c r="A78" s="124"/>
      <c r="B78" s="125"/>
      <c r="C78" s="125"/>
      <c r="D78" s="1"/>
      <c r="E78" s="1"/>
      <c r="F78" s="125"/>
      <c r="G78" s="22"/>
      <c r="H78" s="118"/>
      <c r="I78" s="119"/>
      <c r="J78" s="120"/>
      <c r="K78" s="121"/>
      <c r="L78" s="121"/>
      <c r="M78" s="121"/>
      <c r="N78" s="121"/>
      <c r="O78" s="121"/>
      <c r="P78" s="122"/>
      <c r="Q78" s="121"/>
    </row>
    <row r="79" spans="1:17" ht="12.75" customHeight="1" x14ac:dyDescent="0.2">
      <c r="A79" s="124"/>
      <c r="B79" s="125"/>
      <c r="C79" s="125"/>
      <c r="D79" s="1"/>
      <c r="E79" s="1"/>
      <c r="F79" s="125"/>
      <c r="G79" s="21"/>
      <c r="H79" s="118"/>
      <c r="I79" s="119"/>
      <c r="J79" s="120"/>
      <c r="K79" s="121"/>
      <c r="L79" s="121"/>
      <c r="M79" s="121"/>
      <c r="N79" s="121"/>
      <c r="O79" s="121"/>
      <c r="P79" s="122"/>
      <c r="Q79" s="121"/>
    </row>
    <row r="80" spans="1:17" ht="12.75" customHeight="1" x14ac:dyDescent="0.2">
      <c r="A80" s="124"/>
      <c r="B80" s="125"/>
      <c r="C80" s="125"/>
      <c r="D80" s="1"/>
      <c r="E80" s="1"/>
      <c r="F80" s="125"/>
      <c r="G80" s="23"/>
      <c r="H80" s="118"/>
      <c r="I80" s="119"/>
      <c r="J80" s="120"/>
      <c r="K80" s="121"/>
      <c r="L80" s="121"/>
      <c r="M80" s="121"/>
      <c r="N80" s="121"/>
      <c r="O80" s="121"/>
      <c r="P80" s="122"/>
      <c r="Q80" s="121"/>
    </row>
    <row r="81" spans="1:17" ht="12.75" customHeight="1" x14ac:dyDescent="0.2">
      <c r="A81" s="124"/>
      <c r="B81" s="125"/>
      <c r="C81" s="125"/>
      <c r="D81" s="1"/>
      <c r="E81" s="1"/>
      <c r="F81" s="125"/>
      <c r="G81" s="125"/>
      <c r="H81" s="118"/>
      <c r="I81" s="119"/>
      <c r="J81" s="120"/>
      <c r="K81" s="121"/>
      <c r="L81" s="121"/>
      <c r="M81" s="121"/>
      <c r="N81" s="121"/>
      <c r="O81" s="121"/>
      <c r="P81" s="122"/>
      <c r="Q81" s="121"/>
    </row>
    <row r="82" spans="1:17" ht="12.75" customHeight="1" x14ac:dyDescent="0.2">
      <c r="A82" s="124"/>
      <c r="B82" s="125"/>
      <c r="C82" s="125"/>
      <c r="D82" s="1"/>
      <c r="E82" s="1"/>
      <c r="F82" s="125"/>
      <c r="G82" s="125"/>
      <c r="H82" s="118"/>
      <c r="I82" s="119"/>
      <c r="J82" s="120"/>
      <c r="K82" s="121"/>
      <c r="L82" s="121"/>
      <c r="M82" s="121"/>
      <c r="N82" s="121"/>
      <c r="O82" s="121"/>
      <c r="P82" s="122"/>
      <c r="Q82" s="121"/>
    </row>
    <row r="83" spans="1:17" ht="12.75" customHeight="1" x14ac:dyDescent="0.2">
      <c r="A83" s="124"/>
      <c r="B83" s="125"/>
      <c r="C83" s="125"/>
      <c r="D83" s="1"/>
      <c r="E83" s="1"/>
      <c r="F83" s="125"/>
      <c r="G83" s="125"/>
      <c r="H83" s="118"/>
      <c r="I83" s="119"/>
      <c r="J83" s="120"/>
      <c r="K83" s="121"/>
      <c r="L83" s="121"/>
      <c r="M83" s="121"/>
      <c r="N83" s="121"/>
      <c r="O83" s="121"/>
      <c r="P83" s="122"/>
      <c r="Q83" s="121"/>
    </row>
    <row r="84" spans="1:17" ht="12.75" customHeight="1" x14ac:dyDescent="0.2">
      <c r="A84" s="124"/>
      <c r="B84" s="125"/>
      <c r="C84" s="125"/>
      <c r="D84" s="1"/>
      <c r="E84" s="1"/>
      <c r="F84" s="125"/>
      <c r="G84" s="125"/>
      <c r="H84" s="118"/>
      <c r="I84" s="119"/>
      <c r="J84" s="120"/>
      <c r="K84" s="121"/>
      <c r="L84" s="121"/>
      <c r="M84" s="121"/>
      <c r="N84" s="121"/>
      <c r="O84" s="121"/>
      <c r="P84" s="122"/>
      <c r="Q84" s="121"/>
    </row>
    <row r="85" spans="1:17" ht="12.75" customHeight="1" x14ac:dyDescent="0.2">
      <c r="A85" s="124"/>
      <c r="B85" s="125"/>
      <c r="C85" s="125"/>
      <c r="D85" s="1"/>
      <c r="E85" s="1"/>
      <c r="F85" s="125"/>
      <c r="G85" s="125"/>
      <c r="H85" s="118"/>
      <c r="I85" s="119"/>
      <c r="J85" s="120"/>
      <c r="K85" s="121"/>
      <c r="L85" s="121"/>
      <c r="M85" s="121"/>
      <c r="N85" s="121"/>
      <c r="O85" s="121"/>
      <c r="P85" s="122"/>
      <c r="Q85" s="121"/>
    </row>
    <row r="86" spans="1:17" ht="12.75" customHeight="1" x14ac:dyDescent="0.2">
      <c r="A86" s="124"/>
      <c r="B86" s="125"/>
      <c r="C86" s="125"/>
      <c r="D86" s="1"/>
      <c r="E86" s="1"/>
      <c r="F86" s="125"/>
      <c r="G86" s="125"/>
      <c r="H86" s="118"/>
      <c r="I86" s="119"/>
      <c r="J86" s="120"/>
      <c r="K86" s="121"/>
      <c r="L86" s="121"/>
      <c r="M86" s="121"/>
      <c r="N86" s="121"/>
      <c r="O86" s="121"/>
      <c r="P86" s="122"/>
      <c r="Q86" s="121"/>
    </row>
    <row r="87" spans="1:17" ht="12.75" customHeight="1" x14ac:dyDescent="0.2">
      <c r="A87" s="124"/>
      <c r="B87" s="125"/>
      <c r="C87" s="125"/>
      <c r="D87" s="1"/>
      <c r="E87" s="1"/>
      <c r="F87" s="125"/>
      <c r="G87" s="125"/>
      <c r="H87" s="118"/>
      <c r="I87" s="119"/>
      <c r="J87" s="120"/>
      <c r="K87" s="121"/>
      <c r="L87" s="121"/>
      <c r="M87" s="121"/>
      <c r="N87" s="121"/>
      <c r="O87" s="121"/>
      <c r="P87" s="122"/>
      <c r="Q87" s="121"/>
    </row>
    <row r="88" spans="1:17" ht="12.75" customHeight="1" x14ac:dyDescent="0.2">
      <c r="A88" s="124"/>
      <c r="B88" s="125"/>
      <c r="C88" s="125"/>
      <c r="D88" s="1"/>
      <c r="E88" s="1"/>
      <c r="F88" s="125"/>
      <c r="G88" s="125"/>
      <c r="H88" s="118"/>
      <c r="I88" s="119"/>
      <c r="J88" s="120"/>
      <c r="K88" s="121"/>
      <c r="L88" s="121"/>
      <c r="M88" s="121"/>
      <c r="N88" s="121"/>
      <c r="O88" s="121"/>
      <c r="P88" s="122"/>
      <c r="Q88" s="121"/>
    </row>
    <row r="89" spans="1:17" ht="12.75" customHeight="1" x14ac:dyDescent="0.2">
      <c r="A89" s="124"/>
      <c r="B89" s="125"/>
      <c r="C89" s="125"/>
      <c r="D89" s="1"/>
      <c r="E89" s="1"/>
      <c r="F89" s="125"/>
      <c r="G89" s="125"/>
      <c r="H89" s="118"/>
      <c r="I89" s="119"/>
      <c r="J89" s="120"/>
      <c r="K89" s="121"/>
      <c r="L89" s="121"/>
      <c r="M89" s="121"/>
      <c r="N89" s="121"/>
      <c r="O89" s="121"/>
      <c r="P89" s="122"/>
      <c r="Q89" s="121"/>
    </row>
    <row r="90" spans="1:17" ht="12.75" customHeight="1" x14ac:dyDescent="0.2">
      <c r="A90" s="124"/>
      <c r="B90" s="125"/>
      <c r="C90" s="125"/>
      <c r="D90" s="1"/>
      <c r="E90" s="1"/>
      <c r="F90" s="125"/>
      <c r="G90" s="125"/>
      <c r="H90" s="118"/>
      <c r="I90" s="119"/>
      <c r="J90" s="120"/>
      <c r="K90" s="121"/>
      <c r="L90" s="121"/>
      <c r="M90" s="121"/>
      <c r="N90" s="121"/>
      <c r="O90" s="121"/>
      <c r="P90" s="122"/>
      <c r="Q90" s="121"/>
    </row>
    <row r="91" spans="1:17" ht="12.75" customHeight="1" x14ac:dyDescent="0.2">
      <c r="A91" s="124"/>
      <c r="B91" s="125"/>
      <c r="C91" s="125"/>
      <c r="D91" s="1"/>
      <c r="E91" s="1"/>
      <c r="F91" s="125"/>
      <c r="G91" s="125"/>
      <c r="H91" s="118"/>
      <c r="I91" s="119"/>
      <c r="J91" s="120"/>
      <c r="K91" s="121"/>
      <c r="L91" s="121"/>
      <c r="M91" s="121"/>
      <c r="N91" s="121"/>
      <c r="O91" s="121"/>
      <c r="P91" s="122"/>
      <c r="Q91" s="121"/>
    </row>
    <row r="92" spans="1:17" ht="12.75" customHeight="1" x14ac:dyDescent="0.2">
      <c r="A92" s="124"/>
      <c r="B92" s="125"/>
      <c r="C92" s="125"/>
      <c r="D92" s="1"/>
      <c r="E92" s="1"/>
      <c r="F92" s="125"/>
      <c r="G92" s="125"/>
      <c r="H92" s="118"/>
      <c r="I92" s="119"/>
      <c r="J92" s="120"/>
      <c r="K92" s="121"/>
      <c r="L92" s="121"/>
      <c r="M92" s="121"/>
      <c r="N92" s="121"/>
      <c r="O92" s="121"/>
      <c r="P92" s="122"/>
      <c r="Q92" s="121"/>
    </row>
    <row r="93" spans="1:17" ht="12.75" customHeight="1" x14ac:dyDescent="0.2">
      <c r="A93" s="124"/>
      <c r="B93" s="125"/>
      <c r="C93" s="125"/>
      <c r="D93" s="1"/>
      <c r="E93" s="1"/>
      <c r="F93" s="125"/>
      <c r="G93" s="125"/>
      <c r="H93" s="118"/>
      <c r="I93" s="119"/>
      <c r="J93" s="120"/>
      <c r="K93" s="121"/>
      <c r="L93" s="121"/>
      <c r="M93" s="121"/>
      <c r="N93" s="121"/>
      <c r="O93" s="121"/>
      <c r="P93" s="122"/>
      <c r="Q93" s="121"/>
    </row>
    <row r="94" spans="1:17" ht="12.75" customHeight="1" x14ac:dyDescent="0.2">
      <c r="A94" s="124"/>
      <c r="B94" s="125"/>
      <c r="C94" s="125"/>
      <c r="D94" s="1"/>
      <c r="E94" s="1"/>
      <c r="F94" s="125"/>
      <c r="G94" s="125"/>
      <c r="H94" s="118"/>
      <c r="I94" s="119"/>
      <c r="J94" s="120"/>
      <c r="K94" s="121"/>
      <c r="L94" s="121"/>
      <c r="M94" s="121"/>
      <c r="N94" s="121"/>
      <c r="O94" s="121"/>
      <c r="P94" s="122"/>
      <c r="Q94" s="121"/>
    </row>
    <row r="95" spans="1:17" ht="12.75" customHeight="1" x14ac:dyDescent="0.2">
      <c r="A95" s="124"/>
      <c r="B95" s="125"/>
      <c r="C95" s="125"/>
      <c r="D95" s="1"/>
      <c r="E95" s="1"/>
      <c r="F95" s="125"/>
      <c r="G95" s="125"/>
      <c r="H95" s="118"/>
      <c r="I95" s="119"/>
      <c r="J95" s="120"/>
      <c r="K95" s="121"/>
      <c r="L95" s="121"/>
      <c r="M95" s="121"/>
      <c r="N95" s="121"/>
      <c r="O95" s="121"/>
      <c r="P95" s="122"/>
      <c r="Q95" s="121"/>
    </row>
    <row r="96" spans="1:17" ht="12.75" customHeight="1" x14ac:dyDescent="0.2">
      <c r="A96" s="124"/>
      <c r="B96" s="125"/>
      <c r="C96" s="125"/>
      <c r="D96" s="1"/>
      <c r="E96" s="1"/>
      <c r="F96" s="125"/>
      <c r="G96" s="125"/>
      <c r="H96" s="118"/>
      <c r="I96" s="119"/>
      <c r="J96" s="120"/>
      <c r="K96" s="121"/>
      <c r="L96" s="121"/>
      <c r="M96" s="121"/>
      <c r="N96" s="121"/>
      <c r="O96" s="121"/>
      <c r="P96" s="122"/>
      <c r="Q96" s="121"/>
    </row>
    <row r="97" spans="1:17" ht="12.75" customHeight="1" x14ac:dyDescent="0.2">
      <c r="A97" s="124"/>
      <c r="B97" s="125"/>
      <c r="C97" s="125"/>
      <c r="D97" s="1"/>
      <c r="E97" s="1"/>
      <c r="F97" s="125"/>
      <c r="G97" s="125"/>
      <c r="H97" s="118"/>
      <c r="I97" s="119"/>
      <c r="J97" s="120"/>
      <c r="K97" s="121"/>
      <c r="L97" s="121"/>
      <c r="M97" s="121"/>
      <c r="N97" s="121"/>
      <c r="O97" s="121"/>
      <c r="P97" s="122"/>
      <c r="Q97" s="121"/>
    </row>
    <row r="98" spans="1:17" ht="12.75" customHeight="1" x14ac:dyDescent="0.2">
      <c r="A98" s="124"/>
      <c r="B98" s="125"/>
      <c r="C98" s="125"/>
      <c r="D98" s="1"/>
      <c r="E98" s="1"/>
      <c r="F98" s="125"/>
      <c r="G98" s="125"/>
      <c r="H98" s="118"/>
      <c r="I98" s="119"/>
      <c r="J98" s="120"/>
      <c r="K98" s="121"/>
      <c r="L98" s="121"/>
      <c r="M98" s="121"/>
      <c r="N98" s="121"/>
      <c r="O98" s="121"/>
      <c r="P98" s="122"/>
      <c r="Q98" s="121"/>
    </row>
    <row r="99" spans="1:17" ht="12.75" customHeight="1" x14ac:dyDescent="0.2">
      <c r="A99" s="124"/>
      <c r="B99" s="125"/>
      <c r="C99" s="125"/>
      <c r="D99" s="1"/>
      <c r="E99" s="1"/>
      <c r="F99" s="125"/>
      <c r="G99" s="125"/>
      <c r="H99" s="118"/>
      <c r="I99" s="119"/>
      <c r="J99" s="120"/>
      <c r="K99" s="121"/>
      <c r="L99" s="121"/>
      <c r="M99" s="121"/>
      <c r="N99" s="121"/>
      <c r="O99" s="121"/>
      <c r="P99" s="122"/>
      <c r="Q99" s="121"/>
    </row>
    <row r="100" spans="1:17" ht="12.75" customHeight="1" x14ac:dyDescent="0.2">
      <c r="A100" s="124"/>
      <c r="B100" s="125"/>
      <c r="C100" s="125"/>
      <c r="D100" s="1"/>
      <c r="E100" s="1"/>
      <c r="F100" s="125"/>
      <c r="G100" s="125"/>
      <c r="H100" s="118"/>
      <c r="I100" s="119"/>
      <c r="J100" s="120"/>
      <c r="K100" s="121"/>
      <c r="L100" s="121"/>
      <c r="M100" s="121"/>
      <c r="N100" s="121"/>
      <c r="O100" s="121"/>
      <c r="P100" s="122"/>
      <c r="Q100" s="121"/>
    </row>
    <row r="101" spans="1:17" ht="12.75" customHeight="1" x14ac:dyDescent="0.2">
      <c r="A101" s="124"/>
      <c r="B101" s="125"/>
      <c r="C101" s="125"/>
      <c r="D101" s="1"/>
      <c r="E101" s="1"/>
      <c r="F101" s="125"/>
      <c r="G101" s="125"/>
      <c r="H101" s="118"/>
      <c r="I101" s="119"/>
      <c r="J101" s="120"/>
      <c r="K101" s="121"/>
      <c r="L101" s="121"/>
      <c r="M101" s="121"/>
      <c r="N101" s="121"/>
      <c r="O101" s="121"/>
      <c r="P101" s="122"/>
      <c r="Q101" s="121"/>
    </row>
    <row r="102" spans="1:17" ht="12.75" customHeight="1" x14ac:dyDescent="0.2">
      <c r="A102" s="124"/>
      <c r="B102" s="125"/>
      <c r="C102" s="125"/>
      <c r="D102" s="1"/>
      <c r="E102" s="1"/>
      <c r="F102" s="125"/>
      <c r="G102" s="125"/>
      <c r="H102" s="118"/>
      <c r="I102" s="119"/>
      <c r="J102" s="120"/>
      <c r="K102" s="121"/>
      <c r="L102" s="121"/>
      <c r="M102" s="121"/>
      <c r="N102" s="121"/>
      <c r="O102" s="121"/>
      <c r="P102" s="122"/>
      <c r="Q102" s="121"/>
    </row>
    <row r="103" spans="1:17" ht="12.75" customHeight="1" x14ac:dyDescent="0.2">
      <c r="A103" s="124"/>
      <c r="B103" s="125"/>
      <c r="C103" s="125"/>
      <c r="D103" s="1"/>
      <c r="E103" s="1"/>
      <c r="F103" s="125"/>
      <c r="G103" s="125"/>
      <c r="H103" s="118"/>
      <c r="I103" s="119"/>
      <c r="J103" s="120"/>
      <c r="K103" s="121"/>
      <c r="L103" s="121"/>
      <c r="M103" s="121"/>
      <c r="N103" s="121"/>
      <c r="O103" s="121"/>
      <c r="P103" s="122"/>
      <c r="Q103" s="121"/>
    </row>
    <row r="104" spans="1:17" ht="12.75" customHeight="1" x14ac:dyDescent="0.2">
      <c r="A104" s="124"/>
      <c r="B104" s="125"/>
      <c r="C104" s="125"/>
      <c r="D104" s="1"/>
      <c r="E104" s="1"/>
      <c r="F104" s="125"/>
      <c r="G104" s="125"/>
      <c r="H104" s="118"/>
      <c r="I104" s="119"/>
      <c r="J104" s="120"/>
      <c r="K104" s="121"/>
      <c r="L104" s="121"/>
      <c r="M104" s="121"/>
      <c r="N104" s="121"/>
      <c r="O104" s="121"/>
      <c r="P104" s="122"/>
      <c r="Q104" s="121"/>
    </row>
    <row r="105" spans="1:17" ht="12.75" customHeight="1" x14ac:dyDescent="0.2">
      <c r="A105" s="124"/>
      <c r="B105" s="125"/>
      <c r="C105" s="125"/>
      <c r="D105" s="1"/>
      <c r="E105" s="1"/>
      <c r="F105" s="125"/>
      <c r="G105" s="125"/>
      <c r="H105" s="118"/>
      <c r="I105" s="119"/>
      <c r="J105" s="120"/>
      <c r="K105" s="121"/>
      <c r="L105" s="121"/>
      <c r="M105" s="121"/>
      <c r="N105" s="121"/>
      <c r="O105" s="121"/>
      <c r="P105" s="122"/>
      <c r="Q105" s="121"/>
    </row>
    <row r="106" spans="1:17" ht="12.75" customHeight="1" x14ac:dyDescent="0.2">
      <c r="A106" s="124"/>
      <c r="B106" s="125"/>
      <c r="C106" s="125"/>
      <c r="D106" s="1"/>
      <c r="E106" s="1"/>
      <c r="F106" s="125"/>
      <c r="G106" s="125"/>
      <c r="H106" s="118"/>
      <c r="I106" s="119"/>
      <c r="J106" s="120"/>
      <c r="K106" s="121"/>
      <c r="L106" s="121"/>
      <c r="M106" s="121"/>
      <c r="N106" s="121"/>
      <c r="O106" s="121"/>
      <c r="P106" s="122"/>
      <c r="Q106" s="121"/>
    </row>
    <row r="107" spans="1:17" ht="12.75" customHeight="1" x14ac:dyDescent="0.2">
      <c r="A107" s="124"/>
      <c r="B107" s="125"/>
      <c r="C107" s="125"/>
      <c r="D107" s="1"/>
      <c r="E107" s="1"/>
      <c r="F107" s="125"/>
      <c r="G107" s="125"/>
      <c r="H107" s="118"/>
      <c r="I107" s="119"/>
      <c r="J107" s="120"/>
      <c r="K107" s="121"/>
      <c r="L107" s="121"/>
      <c r="M107" s="121"/>
      <c r="N107" s="121"/>
      <c r="O107" s="121"/>
      <c r="P107" s="122"/>
      <c r="Q107" s="121"/>
    </row>
    <row r="108" spans="1:17" ht="12.75" customHeight="1" x14ac:dyDescent="0.2">
      <c r="A108" s="124"/>
      <c r="B108" s="125"/>
      <c r="C108" s="125"/>
      <c r="D108" s="1"/>
      <c r="E108" s="1"/>
      <c r="F108" s="125"/>
      <c r="G108" s="125"/>
      <c r="H108" s="118"/>
      <c r="I108" s="119"/>
      <c r="J108" s="120"/>
      <c r="K108" s="121"/>
      <c r="L108" s="121"/>
      <c r="M108" s="121"/>
      <c r="N108" s="121"/>
      <c r="O108" s="121"/>
      <c r="P108" s="122"/>
      <c r="Q108" s="121"/>
    </row>
    <row r="109" spans="1:17" ht="12.75" customHeight="1" x14ac:dyDescent="0.2">
      <c r="A109" s="124"/>
      <c r="B109" s="125"/>
      <c r="C109" s="125"/>
      <c r="D109" s="1"/>
      <c r="E109" s="1"/>
      <c r="F109" s="125"/>
      <c r="G109" s="125"/>
      <c r="H109" s="118"/>
      <c r="I109" s="119"/>
      <c r="J109" s="120"/>
      <c r="K109" s="121"/>
      <c r="L109" s="121"/>
      <c r="M109" s="121"/>
      <c r="N109" s="121"/>
      <c r="O109" s="121"/>
      <c r="P109" s="122"/>
      <c r="Q109" s="121"/>
    </row>
    <row r="110" spans="1:17" ht="12.75" customHeight="1" x14ac:dyDescent="0.2">
      <c r="A110" s="124"/>
      <c r="B110" s="125"/>
      <c r="C110" s="125"/>
      <c r="D110" s="1"/>
      <c r="E110" s="1"/>
      <c r="F110" s="125"/>
      <c r="G110" s="125"/>
      <c r="H110" s="118"/>
      <c r="I110" s="119"/>
      <c r="J110" s="120"/>
      <c r="K110" s="121"/>
      <c r="L110" s="121"/>
      <c r="M110" s="121"/>
      <c r="N110" s="121"/>
      <c r="O110" s="121"/>
      <c r="P110" s="122"/>
      <c r="Q110" s="121"/>
    </row>
    <row r="111" spans="1:17" ht="12.75" customHeight="1" x14ac:dyDescent="0.2">
      <c r="A111" s="124"/>
      <c r="B111" s="125"/>
      <c r="C111" s="125"/>
      <c r="D111" s="1"/>
      <c r="E111" s="1"/>
      <c r="F111" s="125"/>
      <c r="G111" s="125"/>
      <c r="H111" s="118"/>
      <c r="I111" s="119"/>
      <c r="J111" s="120"/>
      <c r="K111" s="121"/>
      <c r="L111" s="121"/>
      <c r="M111" s="121"/>
      <c r="N111" s="121"/>
      <c r="O111" s="121"/>
      <c r="P111" s="122"/>
      <c r="Q111" s="121"/>
    </row>
    <row r="112" spans="1:17" ht="12.75" customHeight="1" x14ac:dyDescent="0.2">
      <c r="A112" s="124"/>
      <c r="B112" s="125"/>
      <c r="C112" s="125"/>
      <c r="D112" s="1"/>
      <c r="E112" s="1"/>
      <c r="F112" s="125"/>
      <c r="G112" s="125"/>
      <c r="H112" s="118"/>
      <c r="I112" s="119"/>
      <c r="J112" s="120"/>
      <c r="K112" s="121"/>
      <c r="L112" s="121"/>
      <c r="M112" s="121"/>
      <c r="N112" s="121"/>
      <c r="O112" s="121"/>
      <c r="P112" s="122"/>
      <c r="Q112" s="121"/>
    </row>
    <row r="113" spans="1:17" ht="12.75" customHeight="1" x14ac:dyDescent="0.2">
      <c r="A113" s="124"/>
      <c r="B113" s="125"/>
      <c r="C113" s="125"/>
      <c r="D113" s="1"/>
      <c r="E113" s="1"/>
      <c r="F113" s="125"/>
      <c r="G113" s="125"/>
      <c r="H113" s="118"/>
      <c r="I113" s="119"/>
      <c r="J113" s="120"/>
      <c r="K113" s="121"/>
      <c r="L113" s="121"/>
      <c r="M113" s="121"/>
      <c r="N113" s="121"/>
      <c r="O113" s="121"/>
      <c r="P113" s="122"/>
      <c r="Q113" s="121"/>
    </row>
    <row r="114" spans="1:17" ht="12.75" customHeight="1" x14ac:dyDescent="0.2">
      <c r="A114" s="124"/>
      <c r="B114" s="125"/>
      <c r="C114" s="125"/>
      <c r="D114" s="1"/>
      <c r="E114" s="1"/>
      <c r="F114" s="125"/>
      <c r="G114" s="125"/>
      <c r="H114" s="118"/>
      <c r="I114" s="119"/>
      <c r="J114" s="120"/>
      <c r="K114" s="121"/>
      <c r="L114" s="121"/>
      <c r="M114" s="121"/>
      <c r="N114" s="121"/>
      <c r="O114" s="121"/>
      <c r="P114" s="122"/>
      <c r="Q114" s="121"/>
    </row>
    <row r="115" spans="1:17" ht="12.75" customHeight="1" x14ac:dyDescent="0.2">
      <c r="A115" s="124"/>
      <c r="B115" s="125"/>
      <c r="C115" s="125"/>
      <c r="D115" s="1"/>
      <c r="E115" s="1"/>
      <c r="F115" s="125"/>
      <c r="G115" s="125"/>
      <c r="H115" s="118"/>
      <c r="I115" s="119"/>
      <c r="J115" s="120"/>
      <c r="K115" s="121"/>
      <c r="L115" s="121"/>
      <c r="M115" s="121"/>
      <c r="N115" s="121"/>
      <c r="O115" s="121"/>
      <c r="P115" s="122"/>
      <c r="Q115" s="121"/>
    </row>
    <row r="116" spans="1:17" ht="12.75" customHeight="1" x14ac:dyDescent="0.2">
      <c r="A116" s="124"/>
      <c r="B116" s="125"/>
      <c r="C116" s="125"/>
      <c r="D116" s="1"/>
      <c r="E116" s="1"/>
      <c r="F116" s="125"/>
      <c r="G116" s="125"/>
      <c r="H116" s="118"/>
      <c r="I116" s="119"/>
      <c r="J116" s="120"/>
      <c r="K116" s="121"/>
      <c r="L116" s="121"/>
      <c r="M116" s="121"/>
      <c r="N116" s="121"/>
      <c r="O116" s="121"/>
      <c r="P116" s="122"/>
      <c r="Q116" s="121"/>
    </row>
    <row r="117" spans="1:17" ht="12.75" customHeight="1" x14ac:dyDescent="0.2">
      <c r="A117" s="124"/>
      <c r="B117" s="125"/>
      <c r="C117" s="125"/>
      <c r="D117" s="1"/>
      <c r="E117" s="1"/>
      <c r="F117" s="125"/>
      <c r="G117" s="125"/>
      <c r="H117" s="118"/>
      <c r="I117" s="119"/>
      <c r="J117" s="120"/>
      <c r="K117" s="121"/>
      <c r="L117" s="121"/>
      <c r="M117" s="121"/>
      <c r="N117" s="121"/>
      <c r="O117" s="121"/>
      <c r="P117" s="122"/>
      <c r="Q117" s="121"/>
    </row>
    <row r="118" spans="1:17" ht="12.75" customHeight="1" x14ac:dyDescent="0.2">
      <c r="A118" s="124"/>
      <c r="B118" s="125"/>
      <c r="C118" s="125"/>
      <c r="D118" s="1"/>
      <c r="E118" s="1"/>
      <c r="F118" s="125"/>
      <c r="G118" s="125"/>
      <c r="H118" s="118"/>
      <c r="I118" s="119"/>
      <c r="J118" s="120"/>
      <c r="K118" s="121"/>
      <c r="L118" s="121"/>
      <c r="M118" s="121"/>
      <c r="N118" s="121"/>
      <c r="O118" s="121"/>
      <c r="P118" s="122"/>
      <c r="Q118" s="121"/>
    </row>
    <row r="119" spans="1:17" ht="12.75" customHeight="1" x14ac:dyDescent="0.2">
      <c r="A119" s="124"/>
      <c r="B119" s="125"/>
      <c r="C119" s="125"/>
      <c r="D119" s="1"/>
      <c r="E119" s="1"/>
      <c r="F119" s="125"/>
      <c r="G119" s="125"/>
      <c r="H119" s="118"/>
      <c r="I119" s="119"/>
      <c r="J119" s="120"/>
      <c r="K119" s="121"/>
      <c r="L119" s="121"/>
      <c r="M119" s="121"/>
      <c r="N119" s="121"/>
      <c r="O119" s="121"/>
      <c r="P119" s="122"/>
      <c r="Q119" s="121"/>
    </row>
    <row r="120" spans="1:17" ht="12.75" customHeight="1" x14ac:dyDescent="0.2">
      <c r="A120" s="124"/>
      <c r="B120" s="125"/>
      <c r="C120" s="125"/>
      <c r="D120" s="1"/>
      <c r="E120" s="1"/>
      <c r="F120" s="125"/>
      <c r="G120" s="125"/>
      <c r="H120" s="118"/>
      <c r="I120" s="119"/>
      <c r="J120" s="120"/>
      <c r="K120" s="121"/>
      <c r="L120" s="121"/>
      <c r="M120" s="121"/>
      <c r="N120" s="121"/>
      <c r="O120" s="121"/>
      <c r="P120" s="122"/>
      <c r="Q120" s="121"/>
    </row>
    <row r="121" spans="1:17" ht="12.75" customHeight="1" x14ac:dyDescent="0.2">
      <c r="A121" s="124"/>
      <c r="B121" s="125"/>
      <c r="C121" s="125"/>
      <c r="D121" s="1"/>
      <c r="E121" s="1"/>
      <c r="F121" s="125"/>
      <c r="G121" s="125"/>
      <c r="H121" s="118"/>
      <c r="I121" s="119"/>
      <c r="J121" s="120"/>
      <c r="K121" s="121"/>
      <c r="L121" s="121"/>
      <c r="M121" s="121"/>
      <c r="N121" s="121"/>
      <c r="O121" s="121"/>
      <c r="P121" s="122"/>
      <c r="Q121" s="121"/>
    </row>
    <row r="122" spans="1:17" ht="12.75" customHeight="1" x14ac:dyDescent="0.2">
      <c r="A122" s="124"/>
      <c r="B122" s="126"/>
      <c r="C122" s="126"/>
      <c r="D122" s="1"/>
      <c r="E122" s="1"/>
      <c r="F122" s="126"/>
      <c r="G122" s="126"/>
      <c r="H122" s="118"/>
      <c r="I122" s="119"/>
      <c r="J122" s="120"/>
      <c r="K122" s="121"/>
      <c r="L122" s="121"/>
      <c r="M122" s="121"/>
      <c r="N122" s="121"/>
      <c r="O122" s="121"/>
      <c r="P122" s="122"/>
      <c r="Q122" s="121"/>
    </row>
    <row r="123" spans="1:17" ht="12.75" customHeight="1" x14ac:dyDescent="0.2">
      <c r="A123" s="124"/>
      <c r="B123" s="126"/>
      <c r="C123" s="126"/>
      <c r="D123" s="1"/>
      <c r="E123" s="1"/>
      <c r="F123" s="126"/>
      <c r="G123" s="126"/>
      <c r="H123" s="118"/>
      <c r="I123" s="119"/>
      <c r="J123" s="120"/>
      <c r="K123" s="121"/>
      <c r="L123" s="121"/>
      <c r="M123" s="121"/>
      <c r="N123" s="121"/>
      <c r="O123" s="121"/>
      <c r="P123" s="122"/>
      <c r="Q123" s="121"/>
    </row>
    <row r="124" spans="1:17" ht="12.75" customHeight="1" x14ac:dyDescent="0.2">
      <c r="A124" s="124"/>
      <c r="B124" s="126"/>
      <c r="C124" s="126"/>
      <c r="D124" s="1"/>
      <c r="E124" s="1"/>
      <c r="F124" s="126"/>
      <c r="G124" s="126"/>
      <c r="H124" s="118"/>
      <c r="I124" s="119"/>
      <c r="J124" s="120"/>
      <c r="K124" s="121"/>
      <c r="L124" s="121"/>
      <c r="M124" s="121"/>
      <c r="N124" s="121"/>
      <c r="O124" s="121"/>
      <c r="P124" s="122"/>
      <c r="Q124" s="121"/>
    </row>
    <row r="125" spans="1:17" ht="12.75" customHeight="1" x14ac:dyDescent="0.2">
      <c r="A125" s="124"/>
      <c r="B125" s="126"/>
      <c r="C125" s="126"/>
      <c r="D125" s="1"/>
      <c r="E125" s="1"/>
      <c r="F125" s="126"/>
      <c r="G125" s="126"/>
      <c r="H125" s="118"/>
      <c r="I125" s="119"/>
      <c r="J125" s="120"/>
      <c r="K125" s="121"/>
      <c r="L125" s="121"/>
      <c r="M125" s="121"/>
      <c r="N125" s="121"/>
      <c r="O125" s="121"/>
      <c r="P125" s="122"/>
      <c r="Q125" s="121"/>
    </row>
    <row r="126" spans="1:17" ht="12.75" customHeight="1" x14ac:dyDescent="0.2">
      <c r="A126" s="124"/>
      <c r="B126" s="126"/>
      <c r="C126" s="126"/>
      <c r="D126" s="1"/>
      <c r="E126" s="1"/>
      <c r="F126" s="126"/>
      <c r="G126" s="126"/>
      <c r="H126" s="118"/>
      <c r="I126" s="119"/>
      <c r="J126" s="120"/>
      <c r="K126" s="121"/>
      <c r="L126" s="121"/>
      <c r="M126" s="121"/>
      <c r="N126" s="121"/>
      <c r="O126" s="121"/>
      <c r="P126" s="122"/>
      <c r="Q126" s="121"/>
    </row>
    <row r="127" spans="1:17" ht="12.75" customHeight="1" x14ac:dyDescent="0.2">
      <c r="A127" s="124"/>
      <c r="B127" s="126"/>
      <c r="C127" s="126"/>
      <c r="D127" s="1"/>
      <c r="E127" s="1"/>
      <c r="F127" s="126"/>
      <c r="G127" s="126"/>
      <c r="H127" s="118"/>
      <c r="I127" s="119"/>
      <c r="J127" s="120"/>
      <c r="K127" s="121"/>
      <c r="L127" s="121"/>
      <c r="M127" s="121"/>
      <c r="N127" s="121"/>
      <c r="O127" s="121"/>
      <c r="P127" s="122"/>
      <c r="Q127" s="121"/>
    </row>
    <row r="128" spans="1:17" ht="12.75" customHeight="1" x14ac:dyDescent="0.2">
      <c r="A128" s="124"/>
      <c r="B128" s="126"/>
      <c r="C128" s="126"/>
      <c r="D128" s="1"/>
      <c r="E128" s="1"/>
      <c r="F128" s="126"/>
      <c r="G128" s="126"/>
      <c r="H128" s="118"/>
      <c r="I128" s="119"/>
      <c r="J128" s="120"/>
      <c r="K128" s="121"/>
      <c r="L128" s="121"/>
      <c r="M128" s="121"/>
      <c r="N128" s="121"/>
      <c r="O128" s="121"/>
      <c r="P128" s="122"/>
      <c r="Q128" s="121"/>
    </row>
    <row r="129" spans="1:17" ht="12.75" customHeight="1" x14ac:dyDescent="0.2">
      <c r="A129" s="124"/>
      <c r="B129" s="126"/>
      <c r="C129" s="126"/>
      <c r="D129" s="1"/>
      <c r="E129" s="1"/>
      <c r="F129" s="126"/>
      <c r="G129" s="126"/>
      <c r="H129" s="118"/>
      <c r="I129" s="119"/>
      <c r="J129" s="120"/>
      <c r="K129" s="121"/>
      <c r="L129" s="121"/>
      <c r="M129" s="121"/>
      <c r="N129" s="121"/>
      <c r="O129" s="121"/>
      <c r="P129" s="122"/>
      <c r="Q129" s="121"/>
    </row>
    <row r="130" spans="1:17" ht="12.75" customHeight="1" x14ac:dyDescent="0.2">
      <c r="A130" s="124"/>
      <c r="B130" s="126"/>
      <c r="C130" s="126"/>
      <c r="D130" s="1"/>
      <c r="E130" s="1"/>
      <c r="F130" s="126"/>
      <c r="G130" s="126"/>
      <c r="H130" s="118"/>
      <c r="I130" s="119"/>
      <c r="J130" s="120"/>
      <c r="K130" s="121"/>
      <c r="L130" s="121"/>
      <c r="M130" s="121"/>
      <c r="N130" s="121"/>
      <c r="O130" s="121"/>
      <c r="P130" s="122"/>
      <c r="Q130" s="121"/>
    </row>
    <row r="131" spans="1:17" ht="12.75" customHeight="1" x14ac:dyDescent="0.2">
      <c r="A131" s="124"/>
      <c r="B131" s="126"/>
      <c r="C131" s="126"/>
      <c r="D131" s="1"/>
      <c r="E131" s="1"/>
      <c r="F131" s="126"/>
      <c r="G131" s="126"/>
      <c r="H131" s="118"/>
      <c r="I131" s="119"/>
      <c r="J131" s="120"/>
      <c r="K131" s="121"/>
      <c r="L131" s="121"/>
      <c r="M131" s="121"/>
      <c r="N131" s="121"/>
      <c r="O131" s="121"/>
      <c r="P131" s="122"/>
      <c r="Q131" s="121"/>
    </row>
    <row r="132" spans="1:17" ht="12.75" customHeight="1" x14ac:dyDescent="0.2">
      <c r="A132" s="124"/>
      <c r="B132" s="126"/>
      <c r="C132" s="126"/>
      <c r="D132" s="1"/>
      <c r="E132" s="1"/>
      <c r="F132" s="126"/>
      <c r="G132" s="126"/>
      <c r="H132" s="118"/>
      <c r="I132" s="119"/>
      <c r="J132" s="120"/>
      <c r="K132" s="121"/>
      <c r="L132" s="121"/>
      <c r="M132" s="121"/>
      <c r="N132" s="121"/>
      <c r="O132" s="121"/>
      <c r="P132" s="122"/>
      <c r="Q132" s="121"/>
    </row>
    <row r="133" spans="1:17" ht="12.75" customHeight="1" x14ac:dyDescent="0.2">
      <c r="A133" s="124"/>
      <c r="B133" s="126"/>
      <c r="C133" s="126"/>
      <c r="D133" s="1"/>
      <c r="E133" s="1"/>
      <c r="F133" s="126"/>
      <c r="G133" s="126"/>
      <c r="H133" s="118"/>
      <c r="I133" s="119"/>
      <c r="J133" s="120"/>
      <c r="K133" s="121"/>
      <c r="L133" s="121"/>
      <c r="M133" s="121"/>
      <c r="N133" s="121"/>
      <c r="O133" s="121"/>
      <c r="P133" s="122"/>
      <c r="Q133" s="121"/>
    </row>
    <row r="134" spans="1:17" ht="12.75" customHeight="1" x14ac:dyDescent="0.2">
      <c r="A134" s="124"/>
      <c r="B134" s="126"/>
      <c r="C134" s="126"/>
      <c r="D134" s="1"/>
      <c r="E134" s="1"/>
      <c r="F134" s="126"/>
      <c r="G134" s="126"/>
      <c r="H134" s="118"/>
      <c r="I134" s="119"/>
      <c r="J134" s="120"/>
      <c r="K134" s="121"/>
      <c r="L134" s="121"/>
      <c r="M134" s="121"/>
      <c r="N134" s="121"/>
      <c r="O134" s="121"/>
      <c r="P134" s="122"/>
      <c r="Q134" s="121"/>
    </row>
    <row r="135" spans="1:17" ht="12.75" customHeight="1" x14ac:dyDescent="0.2">
      <c r="A135" s="124"/>
      <c r="B135" s="126"/>
      <c r="C135" s="126"/>
      <c r="D135" s="1"/>
      <c r="E135" s="1"/>
      <c r="F135" s="126"/>
      <c r="G135" s="126"/>
      <c r="H135" s="118"/>
      <c r="I135" s="119"/>
      <c r="J135" s="120"/>
      <c r="K135" s="121"/>
      <c r="L135" s="121"/>
      <c r="M135" s="121"/>
      <c r="N135" s="121"/>
      <c r="O135" s="121"/>
      <c r="P135" s="122"/>
      <c r="Q135" s="121"/>
    </row>
    <row r="136" spans="1:17" ht="12.75" customHeight="1" x14ac:dyDescent="0.2">
      <c r="A136" s="124"/>
      <c r="B136" s="126"/>
      <c r="C136" s="126"/>
      <c r="D136" s="1"/>
      <c r="E136" s="1"/>
      <c r="F136" s="126"/>
      <c r="G136" s="126"/>
      <c r="H136" s="118"/>
      <c r="I136" s="119"/>
      <c r="J136" s="120"/>
      <c r="K136" s="121"/>
      <c r="L136" s="121"/>
      <c r="M136" s="121"/>
      <c r="N136" s="121"/>
      <c r="O136" s="121"/>
      <c r="P136" s="122"/>
      <c r="Q136" s="121"/>
    </row>
    <row r="137" spans="1:17" ht="12.75" customHeight="1" x14ac:dyDescent="0.2">
      <c r="A137" s="124"/>
      <c r="B137" s="126"/>
      <c r="C137" s="126"/>
      <c r="D137" s="1"/>
      <c r="E137" s="1"/>
      <c r="F137" s="126"/>
      <c r="G137" s="126"/>
      <c r="H137" s="118"/>
      <c r="I137" s="119"/>
      <c r="J137" s="120"/>
      <c r="K137" s="121"/>
      <c r="L137" s="121"/>
      <c r="M137" s="121"/>
      <c r="N137" s="121"/>
      <c r="O137" s="121"/>
      <c r="P137" s="122"/>
      <c r="Q137" s="121"/>
    </row>
    <row r="138" spans="1:17" ht="12.75" customHeight="1" x14ac:dyDescent="0.2">
      <c r="A138" s="124"/>
      <c r="B138" s="126"/>
      <c r="C138" s="126"/>
      <c r="D138" s="1"/>
      <c r="E138" s="1"/>
      <c r="F138" s="126"/>
      <c r="G138" s="126"/>
      <c r="H138" s="118"/>
      <c r="I138" s="119"/>
      <c r="J138" s="120"/>
      <c r="K138" s="121"/>
      <c r="L138" s="121"/>
      <c r="M138" s="121"/>
      <c r="N138" s="121"/>
      <c r="O138" s="121"/>
      <c r="P138" s="122"/>
      <c r="Q138" s="121"/>
    </row>
    <row r="139" spans="1:17" ht="12.75" customHeight="1" x14ac:dyDescent="0.2">
      <c r="A139" s="124"/>
      <c r="B139" s="126"/>
      <c r="C139" s="126"/>
      <c r="D139" s="1"/>
      <c r="E139" s="1"/>
      <c r="F139" s="126"/>
      <c r="G139" s="126"/>
      <c r="H139" s="118"/>
      <c r="I139" s="119"/>
      <c r="J139" s="120"/>
      <c r="K139" s="121"/>
      <c r="L139" s="121"/>
      <c r="M139" s="121"/>
      <c r="N139" s="121"/>
      <c r="O139" s="121"/>
      <c r="P139" s="122"/>
      <c r="Q139" s="121"/>
    </row>
    <row r="140" spans="1:17" ht="12.75" customHeight="1" x14ac:dyDescent="0.2">
      <c r="A140" s="124"/>
      <c r="B140" s="126"/>
      <c r="C140" s="126"/>
      <c r="D140" s="1"/>
      <c r="E140" s="1"/>
      <c r="F140" s="126"/>
      <c r="G140" s="126"/>
      <c r="H140" s="118"/>
      <c r="I140" s="119"/>
      <c r="J140" s="120"/>
      <c r="K140" s="121"/>
      <c r="L140" s="121"/>
      <c r="M140" s="121"/>
      <c r="N140" s="121"/>
      <c r="O140" s="121"/>
      <c r="P140" s="122"/>
      <c r="Q140" s="121"/>
    </row>
    <row r="141" spans="1:17" ht="12.75" customHeight="1" x14ac:dyDescent="0.2">
      <c r="A141" s="124"/>
      <c r="B141" s="126"/>
      <c r="C141" s="126"/>
      <c r="D141" s="1"/>
      <c r="E141" s="1"/>
      <c r="F141" s="126"/>
      <c r="G141" s="126"/>
      <c r="H141" s="118"/>
      <c r="I141" s="119"/>
      <c r="J141" s="120"/>
      <c r="K141" s="121"/>
      <c r="L141" s="121"/>
      <c r="M141" s="121"/>
      <c r="N141" s="121"/>
      <c r="O141" s="121"/>
      <c r="P141" s="122"/>
      <c r="Q141" s="121"/>
    </row>
    <row r="142" spans="1:17" ht="12.75" customHeight="1" x14ac:dyDescent="0.2">
      <c r="A142" s="124"/>
      <c r="B142" s="126"/>
      <c r="C142" s="126"/>
      <c r="D142" s="1"/>
      <c r="E142" s="1"/>
      <c r="F142" s="126"/>
      <c r="G142" s="126"/>
      <c r="H142" s="118"/>
      <c r="I142" s="119"/>
      <c r="J142" s="120"/>
      <c r="K142" s="121"/>
      <c r="L142" s="121"/>
      <c r="M142" s="121"/>
      <c r="N142" s="121"/>
      <c r="O142" s="121"/>
      <c r="P142" s="122"/>
      <c r="Q142" s="121"/>
    </row>
    <row r="143" spans="1:17" ht="12.75" customHeight="1" x14ac:dyDescent="0.2">
      <c r="A143" s="124"/>
      <c r="B143" s="126"/>
      <c r="C143" s="126"/>
      <c r="D143" s="1"/>
      <c r="E143" s="1"/>
      <c r="F143" s="126"/>
      <c r="G143" s="126"/>
      <c r="H143" s="118"/>
      <c r="I143" s="119"/>
      <c r="J143" s="120"/>
      <c r="K143" s="121"/>
      <c r="L143" s="121"/>
      <c r="M143" s="121"/>
      <c r="N143" s="121"/>
      <c r="O143" s="121"/>
      <c r="P143" s="122"/>
      <c r="Q143" s="121"/>
    </row>
    <row r="144" spans="1:17" ht="12.75" customHeight="1" x14ac:dyDescent="0.2">
      <c r="A144" s="124"/>
      <c r="B144" s="126"/>
      <c r="C144" s="126"/>
      <c r="D144" s="1"/>
      <c r="E144" s="1"/>
      <c r="F144" s="126"/>
      <c r="G144" s="126"/>
      <c r="H144" s="118"/>
      <c r="I144" s="119"/>
      <c r="J144" s="120"/>
      <c r="K144" s="121"/>
      <c r="L144" s="121"/>
      <c r="M144" s="121"/>
      <c r="N144" s="121"/>
      <c r="O144" s="121"/>
      <c r="P144" s="122"/>
      <c r="Q144" s="121"/>
    </row>
    <row r="145" spans="1:17" ht="12.75" customHeight="1" x14ac:dyDescent="0.2">
      <c r="A145" s="124"/>
      <c r="B145" s="126"/>
      <c r="C145" s="126"/>
      <c r="D145" s="1"/>
      <c r="E145" s="1"/>
      <c r="F145" s="126"/>
      <c r="G145" s="126"/>
      <c r="H145" s="118"/>
      <c r="I145" s="119"/>
      <c r="J145" s="120"/>
      <c r="K145" s="121"/>
      <c r="L145" s="121"/>
      <c r="M145" s="121"/>
      <c r="N145" s="121"/>
      <c r="O145" s="121"/>
      <c r="P145" s="122"/>
      <c r="Q145" s="121"/>
    </row>
    <row r="146" spans="1:17" ht="12.75" customHeight="1" x14ac:dyDescent="0.2">
      <c r="A146" s="124"/>
      <c r="B146" s="126"/>
      <c r="C146" s="126"/>
      <c r="D146" s="1"/>
      <c r="E146" s="1"/>
      <c r="F146" s="126"/>
      <c r="G146" s="126"/>
      <c r="H146" s="118"/>
      <c r="I146" s="119"/>
      <c r="J146" s="120"/>
      <c r="K146" s="121"/>
      <c r="L146" s="121"/>
      <c r="M146" s="121"/>
      <c r="N146" s="121"/>
      <c r="O146" s="121"/>
      <c r="P146" s="122"/>
      <c r="Q146" s="121"/>
    </row>
    <row r="147" spans="1:17" ht="12.75" customHeight="1" x14ac:dyDescent="0.2">
      <c r="A147" s="124"/>
      <c r="B147" s="126"/>
      <c r="C147" s="126"/>
      <c r="D147" s="1"/>
      <c r="E147" s="1"/>
      <c r="F147" s="126"/>
      <c r="G147" s="126"/>
      <c r="H147" s="118"/>
      <c r="I147" s="119"/>
      <c r="J147" s="120"/>
      <c r="K147" s="121"/>
      <c r="L147" s="121"/>
      <c r="M147" s="121"/>
      <c r="N147" s="121"/>
      <c r="O147" s="121"/>
      <c r="P147" s="122"/>
      <c r="Q147" s="121"/>
    </row>
    <row r="148" spans="1:17" ht="12.75" customHeight="1" x14ac:dyDescent="0.2">
      <c r="A148" s="124"/>
      <c r="B148" s="126"/>
      <c r="C148" s="126"/>
      <c r="D148" s="1"/>
      <c r="E148" s="1"/>
      <c r="F148" s="126"/>
      <c r="G148" s="126"/>
      <c r="H148" s="118"/>
      <c r="I148" s="119"/>
      <c r="J148" s="120"/>
      <c r="K148" s="121"/>
      <c r="L148" s="121"/>
      <c r="M148" s="121"/>
      <c r="N148" s="121"/>
      <c r="O148" s="121"/>
      <c r="P148" s="122"/>
      <c r="Q148" s="121"/>
    </row>
    <row r="149" spans="1:17" ht="12.75" customHeight="1" x14ac:dyDescent="0.2">
      <c r="A149" s="124"/>
      <c r="B149" s="126"/>
      <c r="C149" s="126"/>
      <c r="D149" s="1"/>
      <c r="E149" s="1"/>
      <c r="F149" s="126"/>
      <c r="G149" s="126"/>
      <c r="H149" s="118"/>
      <c r="I149" s="119"/>
      <c r="J149" s="120"/>
      <c r="K149" s="121"/>
      <c r="L149" s="121"/>
      <c r="M149" s="121"/>
      <c r="N149" s="121"/>
      <c r="O149" s="121"/>
      <c r="P149" s="122"/>
      <c r="Q149" s="121"/>
    </row>
    <row r="150" spans="1:17" ht="12.75" customHeight="1" x14ac:dyDescent="0.2">
      <c r="A150" s="124"/>
      <c r="B150" s="126"/>
      <c r="C150" s="126"/>
      <c r="D150" s="1"/>
      <c r="E150" s="1"/>
      <c r="F150" s="126"/>
      <c r="G150" s="126"/>
      <c r="H150" s="118"/>
      <c r="I150" s="119"/>
      <c r="J150" s="120"/>
      <c r="K150" s="121"/>
      <c r="L150" s="121"/>
      <c r="M150" s="121"/>
      <c r="N150" s="121"/>
      <c r="O150" s="121"/>
      <c r="P150" s="122"/>
      <c r="Q150" s="121"/>
    </row>
    <row r="151" spans="1:17" ht="12.75" customHeight="1" x14ac:dyDescent="0.2">
      <c r="A151" s="124"/>
      <c r="B151" s="126"/>
      <c r="C151" s="126"/>
      <c r="D151" s="1"/>
      <c r="E151" s="1"/>
      <c r="F151" s="126"/>
      <c r="G151" s="126"/>
      <c r="H151" s="118"/>
      <c r="I151" s="119"/>
      <c r="J151" s="120"/>
      <c r="K151" s="121"/>
      <c r="L151" s="121"/>
      <c r="M151" s="121"/>
      <c r="N151" s="121"/>
      <c r="O151" s="121"/>
      <c r="P151" s="122"/>
      <c r="Q151" s="121"/>
    </row>
    <row r="152" spans="1:17" ht="12.75" customHeight="1" x14ac:dyDescent="0.2">
      <c r="A152" s="124"/>
      <c r="B152" s="126"/>
      <c r="C152" s="126"/>
      <c r="D152" s="1"/>
      <c r="E152" s="1"/>
      <c r="F152" s="126"/>
      <c r="G152" s="126"/>
      <c r="H152" s="118"/>
      <c r="I152" s="119"/>
      <c r="J152" s="120"/>
      <c r="K152" s="121"/>
      <c r="L152" s="121"/>
      <c r="M152" s="121"/>
      <c r="N152" s="121"/>
      <c r="O152" s="121"/>
      <c r="P152" s="122"/>
      <c r="Q152" s="121"/>
    </row>
    <row r="153" spans="1:17" ht="12.75" customHeight="1" x14ac:dyDescent="0.2">
      <c r="A153" s="124"/>
      <c r="B153" s="126"/>
      <c r="C153" s="126"/>
      <c r="D153" s="1"/>
      <c r="E153" s="1"/>
      <c r="F153" s="126"/>
      <c r="G153" s="126"/>
      <c r="H153" s="118"/>
      <c r="I153" s="119"/>
      <c r="J153" s="120"/>
      <c r="K153" s="121"/>
      <c r="L153" s="121"/>
      <c r="M153" s="121"/>
      <c r="N153" s="121"/>
      <c r="O153" s="121"/>
      <c r="P153" s="122"/>
      <c r="Q153" s="121"/>
    </row>
    <row r="154" spans="1:17" ht="12.75" customHeight="1" x14ac:dyDescent="0.2">
      <c r="A154" s="124"/>
      <c r="B154" s="126"/>
      <c r="C154" s="126"/>
      <c r="D154" s="1"/>
      <c r="E154" s="1"/>
      <c r="F154" s="126"/>
      <c r="G154" s="126"/>
      <c r="H154" s="118"/>
      <c r="I154" s="119"/>
      <c r="J154" s="120"/>
      <c r="K154" s="121"/>
      <c r="L154" s="121"/>
      <c r="M154" s="121"/>
      <c r="N154" s="121"/>
      <c r="O154" s="121"/>
      <c r="P154" s="122"/>
      <c r="Q154" s="121"/>
    </row>
    <row r="155" spans="1:17" ht="12.75" customHeight="1" x14ac:dyDescent="0.2">
      <c r="A155" s="124"/>
      <c r="B155" s="126"/>
      <c r="C155" s="126"/>
      <c r="D155" s="1"/>
      <c r="E155" s="1"/>
      <c r="F155" s="126"/>
      <c r="G155" s="126"/>
      <c r="H155" s="118"/>
      <c r="I155" s="119"/>
      <c r="J155" s="120"/>
      <c r="K155" s="121"/>
      <c r="L155" s="121"/>
      <c r="M155" s="121"/>
      <c r="N155" s="121"/>
      <c r="O155" s="121"/>
      <c r="P155" s="122"/>
      <c r="Q155" s="121"/>
    </row>
    <row r="156" spans="1:17" ht="12.75" customHeight="1" x14ac:dyDescent="0.2">
      <c r="A156" s="124"/>
      <c r="B156" s="126"/>
      <c r="C156" s="126"/>
      <c r="D156" s="1"/>
      <c r="E156" s="1"/>
      <c r="F156" s="126"/>
      <c r="G156" s="126"/>
      <c r="H156" s="118"/>
      <c r="I156" s="119"/>
      <c r="J156" s="120"/>
      <c r="K156" s="121"/>
      <c r="L156" s="121"/>
      <c r="M156" s="121"/>
      <c r="N156" s="121"/>
      <c r="O156" s="121"/>
      <c r="P156" s="122"/>
      <c r="Q156" s="121"/>
    </row>
    <row r="157" spans="1:17" ht="12.75" customHeight="1" x14ac:dyDescent="0.2">
      <c r="A157" s="124"/>
      <c r="B157" s="126"/>
      <c r="C157" s="126"/>
      <c r="D157" s="1"/>
      <c r="E157" s="1"/>
      <c r="F157" s="126"/>
      <c r="G157" s="126"/>
      <c r="H157" s="118"/>
      <c r="I157" s="119"/>
      <c r="J157" s="120"/>
      <c r="K157" s="121"/>
      <c r="L157" s="121"/>
      <c r="M157" s="121"/>
      <c r="N157" s="121"/>
      <c r="O157" s="121"/>
      <c r="P157" s="122"/>
      <c r="Q157" s="121"/>
    </row>
    <row r="158" spans="1:17" ht="12.75" customHeight="1" x14ac:dyDescent="0.2">
      <c r="A158" s="124"/>
      <c r="B158" s="126"/>
      <c r="C158" s="126"/>
      <c r="D158" s="1"/>
      <c r="E158" s="1"/>
      <c r="F158" s="126"/>
      <c r="G158" s="126"/>
      <c r="H158" s="118"/>
      <c r="I158" s="119"/>
      <c r="J158" s="120"/>
      <c r="K158" s="121"/>
      <c r="L158" s="121"/>
      <c r="M158" s="121"/>
      <c r="N158" s="121"/>
      <c r="O158" s="121"/>
      <c r="P158" s="122"/>
      <c r="Q158" s="121"/>
    </row>
    <row r="159" spans="1:17" ht="12.75" customHeight="1" x14ac:dyDescent="0.2">
      <c r="A159" s="124"/>
      <c r="B159" s="126"/>
      <c r="C159" s="126"/>
      <c r="D159" s="1"/>
      <c r="E159" s="1"/>
      <c r="F159" s="126"/>
      <c r="G159" s="126"/>
      <c r="H159" s="118"/>
      <c r="I159" s="119"/>
      <c r="J159" s="120"/>
      <c r="K159" s="121"/>
      <c r="L159" s="121"/>
      <c r="M159" s="121"/>
      <c r="N159" s="121"/>
      <c r="O159" s="121"/>
      <c r="P159" s="122"/>
      <c r="Q159" s="121"/>
    </row>
    <row r="160" spans="1:17" ht="12.75" customHeight="1" x14ac:dyDescent="0.2">
      <c r="A160" s="124"/>
      <c r="B160" s="126"/>
      <c r="C160" s="126"/>
      <c r="D160" s="1"/>
      <c r="E160" s="1"/>
      <c r="F160" s="126"/>
      <c r="G160" s="126"/>
      <c r="H160" s="118"/>
      <c r="I160" s="119"/>
      <c r="J160" s="120"/>
      <c r="K160" s="121"/>
      <c r="L160" s="121"/>
      <c r="M160" s="121"/>
      <c r="N160" s="121"/>
      <c r="O160" s="121"/>
      <c r="P160" s="122"/>
      <c r="Q160" s="121"/>
    </row>
    <row r="161" spans="1:17" ht="12.75" customHeight="1" x14ac:dyDescent="0.2">
      <c r="A161" s="124"/>
      <c r="B161" s="126"/>
      <c r="C161" s="126"/>
      <c r="D161" s="1"/>
      <c r="E161" s="1"/>
      <c r="F161" s="126"/>
      <c r="G161" s="126"/>
      <c r="H161" s="118"/>
      <c r="I161" s="119"/>
      <c r="J161" s="120"/>
      <c r="K161" s="121"/>
      <c r="L161" s="121"/>
      <c r="M161" s="121"/>
      <c r="N161" s="121"/>
      <c r="O161" s="121"/>
      <c r="P161" s="122"/>
      <c r="Q161" s="121"/>
    </row>
    <row r="162" spans="1:17" ht="12.75" customHeight="1" x14ac:dyDescent="0.2">
      <c r="A162" s="124"/>
      <c r="B162" s="126"/>
      <c r="C162" s="126"/>
      <c r="D162" s="1"/>
      <c r="E162" s="1"/>
      <c r="F162" s="126"/>
      <c r="G162" s="126"/>
      <c r="H162" s="118"/>
      <c r="I162" s="119"/>
      <c r="J162" s="120"/>
      <c r="K162" s="121"/>
      <c r="L162" s="121"/>
      <c r="M162" s="121"/>
      <c r="N162" s="121"/>
      <c r="O162" s="121"/>
      <c r="P162" s="122"/>
      <c r="Q162" s="121"/>
    </row>
    <row r="163" spans="1:17" ht="12.75" customHeight="1" x14ac:dyDescent="0.2">
      <c r="A163" s="124"/>
      <c r="B163" s="126"/>
      <c r="C163" s="126"/>
      <c r="D163" s="1"/>
      <c r="E163" s="1"/>
      <c r="F163" s="126"/>
      <c r="G163" s="126"/>
      <c r="H163" s="118"/>
      <c r="I163" s="119"/>
      <c r="J163" s="120"/>
      <c r="K163" s="121"/>
      <c r="L163" s="121"/>
      <c r="M163" s="121"/>
      <c r="N163" s="121"/>
      <c r="O163" s="121"/>
      <c r="P163" s="122"/>
      <c r="Q163" s="121"/>
    </row>
    <row r="164" spans="1:17" ht="12.75" customHeight="1" x14ac:dyDescent="0.2">
      <c r="A164" s="124"/>
      <c r="B164" s="126"/>
      <c r="C164" s="126"/>
      <c r="D164" s="1"/>
      <c r="E164" s="1"/>
      <c r="F164" s="126"/>
      <c r="G164" s="126"/>
      <c r="H164" s="118"/>
      <c r="I164" s="119"/>
      <c r="J164" s="120"/>
      <c r="K164" s="121"/>
      <c r="L164" s="121"/>
      <c r="M164" s="121"/>
      <c r="N164" s="121"/>
      <c r="O164" s="121"/>
      <c r="P164" s="122"/>
      <c r="Q164" s="121"/>
    </row>
    <row r="165" spans="1:17" ht="12.75" customHeight="1" x14ac:dyDescent="0.2">
      <c r="A165" s="124"/>
      <c r="B165" s="126"/>
      <c r="C165" s="126"/>
      <c r="D165" s="1"/>
      <c r="E165" s="1"/>
      <c r="F165" s="126"/>
      <c r="G165" s="126"/>
      <c r="H165" s="118"/>
      <c r="I165" s="119"/>
      <c r="J165" s="120"/>
      <c r="K165" s="121"/>
      <c r="L165" s="121"/>
      <c r="M165" s="121"/>
      <c r="N165" s="121"/>
      <c r="O165" s="121"/>
      <c r="P165" s="122"/>
      <c r="Q165" s="121"/>
    </row>
    <row r="166" spans="1:17" ht="12.75" customHeight="1" x14ac:dyDescent="0.2">
      <c r="A166" s="124"/>
      <c r="B166" s="126"/>
      <c r="C166" s="126"/>
      <c r="D166" s="1"/>
      <c r="E166" s="1"/>
      <c r="F166" s="126"/>
      <c r="G166" s="126"/>
      <c r="H166" s="118"/>
      <c r="I166" s="119"/>
      <c r="J166" s="120"/>
      <c r="K166" s="121"/>
      <c r="L166" s="121"/>
      <c r="M166" s="121"/>
      <c r="N166" s="121"/>
      <c r="O166" s="121"/>
      <c r="P166" s="122"/>
      <c r="Q166" s="121"/>
    </row>
    <row r="167" spans="1:17" ht="12.75" customHeight="1" x14ac:dyDescent="0.2">
      <c r="A167" s="124"/>
      <c r="B167" s="126"/>
      <c r="C167" s="126"/>
      <c r="D167" s="1"/>
      <c r="E167" s="1"/>
      <c r="F167" s="126"/>
      <c r="G167" s="126"/>
      <c r="H167" s="118"/>
      <c r="I167" s="119"/>
      <c r="J167" s="120"/>
      <c r="K167" s="121"/>
      <c r="L167" s="121"/>
      <c r="M167" s="121"/>
      <c r="N167" s="121"/>
      <c r="O167" s="121"/>
      <c r="P167" s="122"/>
      <c r="Q167" s="121"/>
    </row>
    <row r="168" spans="1:17" ht="12.75" customHeight="1" x14ac:dyDescent="0.2">
      <c r="A168" s="124"/>
      <c r="B168" s="126"/>
      <c r="C168" s="126"/>
      <c r="D168" s="1"/>
      <c r="E168" s="1"/>
      <c r="F168" s="126"/>
      <c r="G168" s="126"/>
      <c r="H168" s="118"/>
      <c r="I168" s="119"/>
      <c r="J168" s="120"/>
      <c r="K168" s="121"/>
      <c r="L168" s="121"/>
      <c r="M168" s="121"/>
      <c r="N168" s="121"/>
      <c r="O168" s="121"/>
      <c r="P168" s="122"/>
      <c r="Q168" s="121"/>
    </row>
    <row r="169" spans="1:17" ht="12.75" customHeight="1" x14ac:dyDescent="0.2">
      <c r="A169" s="124"/>
      <c r="B169" s="126"/>
      <c r="C169" s="126"/>
      <c r="D169" s="1"/>
      <c r="E169" s="1"/>
      <c r="F169" s="126"/>
      <c r="G169" s="126"/>
      <c r="H169" s="118"/>
      <c r="I169" s="119"/>
      <c r="J169" s="120"/>
      <c r="K169" s="121"/>
      <c r="L169" s="121"/>
      <c r="M169" s="121"/>
      <c r="N169" s="121"/>
      <c r="O169" s="121"/>
      <c r="P169" s="122"/>
      <c r="Q169" s="121"/>
    </row>
    <row r="170" spans="1:17" ht="12.75" customHeight="1" x14ac:dyDescent="0.2">
      <c r="A170" s="124"/>
      <c r="B170" s="126"/>
      <c r="C170" s="126"/>
      <c r="D170" s="1"/>
      <c r="E170" s="1"/>
      <c r="F170" s="126"/>
      <c r="G170" s="126"/>
      <c r="H170" s="118"/>
      <c r="I170" s="119"/>
      <c r="J170" s="120"/>
      <c r="K170" s="121"/>
      <c r="L170" s="121"/>
      <c r="M170" s="121"/>
      <c r="N170" s="121"/>
      <c r="O170" s="121"/>
      <c r="P170" s="122"/>
      <c r="Q170" s="121"/>
    </row>
    <row r="171" spans="1:17" ht="12.75" customHeight="1" x14ac:dyDescent="0.2">
      <c r="A171" s="124"/>
      <c r="B171" s="126"/>
      <c r="C171" s="126"/>
      <c r="D171" s="1"/>
      <c r="E171" s="1"/>
      <c r="F171" s="126"/>
      <c r="G171" s="126"/>
      <c r="H171" s="118"/>
      <c r="I171" s="119"/>
      <c r="J171" s="120"/>
      <c r="K171" s="121"/>
      <c r="L171" s="121"/>
      <c r="M171" s="121"/>
      <c r="N171" s="121"/>
      <c r="O171" s="121"/>
      <c r="P171" s="122"/>
      <c r="Q171" s="121"/>
    </row>
    <row r="172" spans="1:17" ht="12.75" customHeight="1" x14ac:dyDescent="0.2">
      <c r="A172" s="124"/>
      <c r="B172" s="126"/>
      <c r="C172" s="126"/>
      <c r="D172" s="1"/>
      <c r="E172" s="1"/>
      <c r="F172" s="126"/>
      <c r="G172" s="126"/>
      <c r="H172" s="118"/>
      <c r="I172" s="119"/>
      <c r="J172" s="120"/>
      <c r="K172" s="121"/>
      <c r="L172" s="121"/>
      <c r="M172" s="121"/>
      <c r="N172" s="121"/>
      <c r="O172" s="121"/>
      <c r="P172" s="122"/>
      <c r="Q172" s="121"/>
    </row>
    <row r="173" spans="1:17" ht="12.75" customHeight="1" x14ac:dyDescent="0.2">
      <c r="A173" s="124"/>
      <c r="B173" s="126"/>
      <c r="C173" s="126"/>
      <c r="D173" s="1"/>
      <c r="E173" s="1"/>
      <c r="F173" s="126"/>
      <c r="G173" s="126"/>
      <c r="H173" s="118"/>
      <c r="I173" s="119"/>
      <c r="J173" s="120"/>
      <c r="K173" s="121"/>
      <c r="L173" s="121"/>
      <c r="M173" s="121"/>
      <c r="N173" s="121"/>
      <c r="O173" s="121"/>
      <c r="P173" s="122"/>
      <c r="Q173" s="121"/>
    </row>
    <row r="174" spans="1:17" ht="12.75" customHeight="1" x14ac:dyDescent="0.2">
      <c r="A174" s="124"/>
      <c r="B174" s="126"/>
      <c r="C174" s="126"/>
      <c r="D174" s="1"/>
      <c r="E174" s="1"/>
      <c r="F174" s="126"/>
      <c r="G174" s="126"/>
      <c r="H174" s="118"/>
      <c r="I174" s="119"/>
      <c r="J174" s="120"/>
      <c r="K174" s="121"/>
      <c r="L174" s="121"/>
      <c r="M174" s="121"/>
      <c r="N174" s="121"/>
      <c r="O174" s="121"/>
      <c r="P174" s="122"/>
      <c r="Q174" s="121"/>
    </row>
    <row r="175" spans="1:17" ht="12.75" customHeight="1" x14ac:dyDescent="0.2">
      <c r="A175" s="124"/>
      <c r="B175" s="126"/>
      <c r="C175" s="126"/>
      <c r="D175" s="1"/>
      <c r="E175" s="1"/>
      <c r="F175" s="126"/>
      <c r="G175" s="126"/>
      <c r="H175" s="118"/>
      <c r="I175" s="119"/>
      <c r="J175" s="120"/>
      <c r="K175" s="121"/>
      <c r="L175" s="121"/>
      <c r="M175" s="121"/>
      <c r="N175" s="121"/>
      <c r="O175" s="121"/>
      <c r="P175" s="122"/>
      <c r="Q175" s="121"/>
    </row>
    <row r="176" spans="1:17" ht="12.75" customHeight="1" x14ac:dyDescent="0.2">
      <c r="A176" s="124"/>
      <c r="B176" s="126"/>
      <c r="C176" s="126"/>
      <c r="D176" s="1"/>
      <c r="E176" s="1"/>
      <c r="F176" s="126"/>
      <c r="G176" s="126"/>
      <c r="H176" s="118"/>
      <c r="I176" s="119"/>
      <c r="J176" s="120"/>
      <c r="K176" s="121"/>
      <c r="L176" s="121"/>
      <c r="M176" s="121"/>
      <c r="N176" s="121"/>
      <c r="O176" s="121"/>
      <c r="P176" s="122"/>
      <c r="Q176" s="121"/>
    </row>
    <row r="177" spans="1:17" ht="12.75" customHeight="1" x14ac:dyDescent="0.2">
      <c r="A177" s="124"/>
      <c r="B177" s="126"/>
      <c r="C177" s="126"/>
      <c r="D177" s="1"/>
      <c r="E177" s="1"/>
      <c r="F177" s="126"/>
      <c r="G177" s="126"/>
      <c r="H177" s="118"/>
      <c r="I177" s="119"/>
      <c r="J177" s="120"/>
      <c r="K177" s="121"/>
      <c r="L177" s="121"/>
      <c r="M177" s="121"/>
      <c r="N177" s="121"/>
      <c r="O177" s="121"/>
      <c r="P177" s="122"/>
      <c r="Q177" s="121"/>
    </row>
    <row r="178" spans="1:17" ht="12.75" customHeight="1" x14ac:dyDescent="0.2">
      <c r="A178" s="124"/>
      <c r="B178" s="126"/>
      <c r="C178" s="126"/>
      <c r="D178" s="1"/>
      <c r="E178" s="1"/>
      <c r="F178" s="126"/>
      <c r="G178" s="126"/>
      <c r="H178" s="118"/>
      <c r="I178" s="119"/>
      <c r="J178" s="120"/>
      <c r="K178" s="121"/>
      <c r="L178" s="121"/>
      <c r="M178" s="121"/>
      <c r="N178" s="121"/>
      <c r="O178" s="121"/>
      <c r="P178" s="122"/>
      <c r="Q178" s="121"/>
    </row>
    <row r="179" spans="1:17" ht="12.75" customHeight="1" x14ac:dyDescent="0.2">
      <c r="A179" s="124"/>
      <c r="B179" s="126"/>
      <c r="C179" s="126"/>
      <c r="D179" s="1"/>
      <c r="E179" s="1"/>
      <c r="F179" s="126"/>
      <c r="G179" s="126"/>
      <c r="H179" s="118"/>
      <c r="I179" s="119"/>
      <c r="J179" s="120"/>
      <c r="K179" s="121"/>
      <c r="L179" s="121"/>
      <c r="M179" s="121"/>
      <c r="N179" s="121"/>
      <c r="O179" s="121"/>
      <c r="P179" s="122"/>
      <c r="Q179" s="121"/>
    </row>
    <row r="180" spans="1:17" ht="12.75" customHeight="1" x14ac:dyDescent="0.2">
      <c r="A180" s="124"/>
      <c r="B180" s="126"/>
      <c r="C180" s="126"/>
      <c r="D180" s="1"/>
      <c r="E180" s="1"/>
      <c r="F180" s="126"/>
      <c r="G180" s="126"/>
      <c r="H180" s="118"/>
      <c r="I180" s="119"/>
      <c r="J180" s="120"/>
      <c r="K180" s="121"/>
      <c r="L180" s="121"/>
      <c r="M180" s="121"/>
      <c r="N180" s="121"/>
      <c r="O180" s="121"/>
      <c r="P180" s="122"/>
      <c r="Q180" s="121"/>
    </row>
    <row r="181" spans="1:17" ht="12.75" customHeight="1" x14ac:dyDescent="0.2">
      <c r="A181" s="124"/>
      <c r="B181" s="126"/>
      <c r="C181" s="126"/>
      <c r="D181" s="1"/>
      <c r="E181" s="1"/>
      <c r="F181" s="126"/>
      <c r="G181" s="126"/>
      <c r="H181" s="118"/>
      <c r="I181" s="119"/>
      <c r="J181" s="120"/>
      <c r="K181" s="121"/>
      <c r="L181" s="121"/>
      <c r="M181" s="121"/>
      <c r="N181" s="121"/>
      <c r="O181" s="121"/>
      <c r="P181" s="122"/>
      <c r="Q181" s="121"/>
    </row>
    <row r="182" spans="1:17" ht="12.75" customHeight="1" x14ac:dyDescent="0.2">
      <c r="A182" s="124"/>
      <c r="B182" s="126"/>
      <c r="C182" s="126"/>
      <c r="D182" s="1"/>
      <c r="E182" s="1"/>
      <c r="F182" s="126"/>
      <c r="G182" s="126"/>
      <c r="H182" s="118"/>
      <c r="I182" s="119"/>
      <c r="J182" s="120"/>
      <c r="K182" s="121"/>
      <c r="L182" s="121"/>
      <c r="M182" s="121"/>
      <c r="N182" s="121"/>
      <c r="O182" s="121"/>
      <c r="P182" s="122"/>
      <c r="Q182" s="121"/>
    </row>
    <row r="183" spans="1:17" ht="12.75" customHeight="1" x14ac:dyDescent="0.2">
      <c r="A183" s="124"/>
      <c r="B183" s="126"/>
      <c r="C183" s="126"/>
      <c r="D183" s="1"/>
      <c r="E183" s="1"/>
      <c r="F183" s="126"/>
      <c r="G183" s="126"/>
      <c r="H183" s="118"/>
      <c r="I183" s="119"/>
      <c r="J183" s="120"/>
      <c r="K183" s="121"/>
      <c r="L183" s="121"/>
      <c r="M183" s="121"/>
      <c r="N183" s="121"/>
      <c r="O183" s="121"/>
      <c r="P183" s="122"/>
      <c r="Q183" s="121"/>
    </row>
    <row r="184" spans="1:17" ht="12.75" customHeight="1" x14ac:dyDescent="0.2">
      <c r="A184" s="124"/>
      <c r="B184" s="126"/>
      <c r="C184" s="126"/>
      <c r="D184" s="1"/>
      <c r="E184" s="1"/>
      <c r="F184" s="126"/>
      <c r="G184" s="126"/>
      <c r="H184" s="118"/>
      <c r="I184" s="119"/>
      <c r="J184" s="120"/>
      <c r="K184" s="121"/>
      <c r="L184" s="121"/>
      <c r="M184" s="121"/>
      <c r="N184" s="121"/>
      <c r="O184" s="121"/>
      <c r="P184" s="122"/>
      <c r="Q184" s="121"/>
    </row>
    <row r="185" spans="1:17" ht="12.75" customHeight="1" x14ac:dyDescent="0.2">
      <c r="A185" s="124"/>
      <c r="B185" s="126"/>
      <c r="C185" s="126"/>
      <c r="D185" s="1"/>
      <c r="E185" s="1"/>
      <c r="F185" s="126"/>
      <c r="G185" s="126"/>
      <c r="H185" s="118"/>
      <c r="I185" s="119"/>
      <c r="J185" s="120"/>
      <c r="K185" s="121"/>
      <c r="L185" s="121"/>
      <c r="M185" s="121"/>
      <c r="N185" s="121"/>
      <c r="O185" s="121"/>
      <c r="P185" s="122"/>
      <c r="Q185" s="121"/>
    </row>
    <row r="186" spans="1:17" ht="12.75" customHeight="1" x14ac:dyDescent="0.2">
      <c r="A186" s="124"/>
      <c r="B186" s="126"/>
      <c r="C186" s="126"/>
      <c r="D186" s="1"/>
      <c r="E186" s="1"/>
      <c r="F186" s="126"/>
      <c r="G186" s="126"/>
      <c r="H186" s="118"/>
      <c r="I186" s="119"/>
      <c r="J186" s="120"/>
      <c r="K186" s="121"/>
      <c r="L186" s="121"/>
      <c r="M186" s="121"/>
      <c r="N186" s="121"/>
      <c r="O186" s="121"/>
      <c r="P186" s="122"/>
      <c r="Q186" s="121"/>
    </row>
    <row r="187" spans="1:17" ht="12.75" customHeight="1" x14ac:dyDescent="0.2">
      <c r="A187" s="124"/>
      <c r="B187" s="126"/>
      <c r="C187" s="126"/>
      <c r="D187" s="1"/>
      <c r="E187" s="1"/>
      <c r="F187" s="126"/>
      <c r="G187" s="126"/>
      <c r="H187" s="118"/>
      <c r="I187" s="119"/>
      <c r="J187" s="120"/>
      <c r="K187" s="121"/>
      <c r="L187" s="121"/>
      <c r="M187" s="121"/>
      <c r="N187" s="121"/>
      <c r="O187" s="121"/>
      <c r="P187" s="122"/>
      <c r="Q187" s="121"/>
    </row>
    <row r="188" spans="1:17" ht="12.75" customHeight="1" x14ac:dyDescent="0.2">
      <c r="A188" s="124"/>
      <c r="B188" s="126"/>
      <c r="C188" s="126"/>
      <c r="D188" s="1"/>
      <c r="E188" s="1"/>
      <c r="F188" s="126"/>
      <c r="G188" s="126"/>
      <c r="H188" s="118"/>
      <c r="I188" s="119"/>
      <c r="J188" s="120"/>
      <c r="K188" s="121"/>
      <c r="L188" s="121"/>
      <c r="M188" s="121"/>
      <c r="N188" s="121"/>
      <c r="O188" s="121"/>
      <c r="P188" s="122"/>
      <c r="Q188" s="121"/>
    </row>
    <row r="189" spans="1:17" ht="12.75" customHeight="1" x14ac:dyDescent="0.2">
      <c r="A189" s="124"/>
      <c r="B189" s="126"/>
      <c r="C189" s="126"/>
      <c r="D189" s="1"/>
      <c r="E189" s="1"/>
      <c r="F189" s="126"/>
      <c r="G189" s="126"/>
      <c r="H189" s="118"/>
      <c r="I189" s="119"/>
      <c r="J189" s="120"/>
      <c r="K189" s="121"/>
      <c r="L189" s="121"/>
      <c r="M189" s="121"/>
      <c r="N189" s="121"/>
      <c r="O189" s="121"/>
      <c r="P189" s="122"/>
      <c r="Q189" s="121"/>
    </row>
    <row r="190" spans="1:17" ht="12.75" customHeight="1" x14ac:dyDescent="0.2">
      <c r="A190" s="124"/>
      <c r="B190" s="126"/>
      <c r="C190" s="126"/>
      <c r="D190" s="1"/>
      <c r="E190" s="1"/>
      <c r="F190" s="126"/>
      <c r="G190" s="126"/>
      <c r="H190" s="118"/>
      <c r="I190" s="119"/>
      <c r="J190" s="120"/>
      <c r="K190" s="121"/>
      <c r="L190" s="121"/>
      <c r="M190" s="121"/>
      <c r="N190" s="121"/>
      <c r="O190" s="121"/>
      <c r="P190" s="122"/>
      <c r="Q190" s="121"/>
    </row>
    <row r="191" spans="1:17" ht="12.75" customHeight="1" x14ac:dyDescent="0.2">
      <c r="A191" s="124"/>
      <c r="B191" s="126"/>
      <c r="C191" s="126"/>
      <c r="D191" s="1"/>
      <c r="E191" s="1"/>
      <c r="F191" s="126"/>
      <c r="G191" s="126"/>
      <c r="H191" s="118"/>
      <c r="I191" s="119"/>
      <c r="J191" s="120"/>
      <c r="K191" s="121"/>
      <c r="L191" s="121"/>
      <c r="M191" s="121"/>
      <c r="N191" s="121"/>
      <c r="O191" s="121"/>
      <c r="P191" s="122"/>
      <c r="Q191" s="121"/>
    </row>
    <row r="192" spans="1:17" ht="12.75" customHeight="1" x14ac:dyDescent="0.2">
      <c r="A192" s="124"/>
      <c r="B192" s="126"/>
      <c r="C192" s="126"/>
      <c r="D192" s="1"/>
      <c r="E192" s="1"/>
      <c r="F192" s="126"/>
      <c r="G192" s="126"/>
      <c r="H192" s="118"/>
      <c r="I192" s="119"/>
      <c r="J192" s="120"/>
      <c r="K192" s="121"/>
      <c r="L192" s="121"/>
      <c r="M192" s="121"/>
      <c r="N192" s="121"/>
      <c r="O192" s="121"/>
      <c r="P192" s="122"/>
      <c r="Q192" s="121"/>
    </row>
    <row r="193" spans="1:17" ht="12.75" customHeight="1" x14ac:dyDescent="0.2">
      <c r="A193" s="124"/>
      <c r="B193" s="126"/>
      <c r="C193" s="126"/>
      <c r="D193" s="1"/>
      <c r="E193" s="1"/>
      <c r="F193" s="126"/>
      <c r="G193" s="126"/>
      <c r="H193" s="118"/>
      <c r="I193" s="119"/>
      <c r="J193" s="120"/>
      <c r="K193" s="121"/>
      <c r="L193" s="121"/>
      <c r="M193" s="121"/>
      <c r="N193" s="121"/>
      <c r="O193" s="121"/>
      <c r="P193" s="122"/>
      <c r="Q193" s="121"/>
    </row>
    <row r="194" spans="1:17" ht="12.75" customHeight="1" x14ac:dyDescent="0.2">
      <c r="A194" s="124"/>
      <c r="B194" s="126"/>
      <c r="C194" s="126"/>
      <c r="D194" s="1"/>
      <c r="E194" s="1"/>
      <c r="F194" s="126"/>
      <c r="G194" s="126"/>
      <c r="H194" s="118"/>
      <c r="I194" s="119"/>
      <c r="J194" s="120"/>
      <c r="K194" s="121"/>
      <c r="L194" s="121"/>
      <c r="M194" s="121"/>
      <c r="N194" s="121"/>
      <c r="O194" s="121"/>
      <c r="P194" s="122"/>
      <c r="Q194" s="121"/>
    </row>
    <row r="195" spans="1:17" ht="12.75" customHeight="1" x14ac:dyDescent="0.2">
      <c r="A195" s="124"/>
      <c r="B195" s="126"/>
      <c r="C195" s="126"/>
      <c r="D195" s="1"/>
      <c r="E195" s="1"/>
      <c r="F195" s="126"/>
      <c r="G195" s="126"/>
      <c r="H195" s="118"/>
      <c r="I195" s="119"/>
      <c r="J195" s="120"/>
      <c r="K195" s="121"/>
      <c r="L195" s="121"/>
      <c r="M195" s="121"/>
      <c r="N195" s="121"/>
      <c r="O195" s="121"/>
      <c r="P195" s="122"/>
      <c r="Q195" s="121"/>
    </row>
    <row r="196" spans="1:17" ht="12.75" customHeight="1" x14ac:dyDescent="0.2">
      <c r="A196" s="124"/>
      <c r="B196" s="126"/>
      <c r="C196" s="126"/>
      <c r="D196" s="1"/>
      <c r="E196" s="1"/>
      <c r="F196" s="126"/>
      <c r="G196" s="126"/>
      <c r="H196" s="118"/>
      <c r="I196" s="119"/>
      <c r="J196" s="120"/>
      <c r="K196" s="121"/>
      <c r="L196" s="121"/>
      <c r="M196" s="121"/>
      <c r="N196" s="121"/>
      <c r="O196" s="121"/>
      <c r="P196" s="122"/>
      <c r="Q196" s="121"/>
    </row>
    <row r="197" spans="1:17" ht="12.75" customHeight="1" x14ac:dyDescent="0.2">
      <c r="A197" s="124"/>
      <c r="B197" s="126"/>
      <c r="C197" s="126"/>
      <c r="D197" s="1"/>
      <c r="E197" s="1"/>
      <c r="F197" s="126"/>
      <c r="G197" s="126"/>
      <c r="H197" s="118"/>
      <c r="I197" s="119"/>
      <c r="J197" s="120"/>
      <c r="K197" s="121"/>
      <c r="L197" s="121"/>
      <c r="M197" s="121"/>
      <c r="N197" s="121"/>
      <c r="O197" s="121"/>
      <c r="P197" s="122"/>
      <c r="Q197" s="121"/>
    </row>
    <row r="198" spans="1:17" ht="12.75" customHeight="1" x14ac:dyDescent="0.2">
      <c r="A198" s="124"/>
      <c r="B198" s="126"/>
      <c r="C198" s="126"/>
      <c r="D198" s="1"/>
      <c r="E198" s="1"/>
      <c r="F198" s="126"/>
      <c r="G198" s="126"/>
      <c r="H198" s="118"/>
      <c r="I198" s="119"/>
      <c r="J198" s="120"/>
      <c r="K198" s="121"/>
      <c r="L198" s="121"/>
      <c r="M198" s="121"/>
      <c r="N198" s="121"/>
      <c r="O198" s="121"/>
      <c r="P198" s="122"/>
      <c r="Q198" s="121"/>
    </row>
    <row r="199" spans="1:17" ht="12.75" customHeight="1" x14ac:dyDescent="0.2">
      <c r="A199" s="124"/>
      <c r="B199" s="126"/>
      <c r="C199" s="126"/>
      <c r="D199" s="1"/>
      <c r="E199" s="1"/>
      <c r="F199" s="126"/>
      <c r="G199" s="126"/>
      <c r="H199" s="118"/>
      <c r="I199" s="119"/>
      <c r="J199" s="120"/>
      <c r="K199" s="121"/>
      <c r="L199" s="121"/>
      <c r="M199" s="121"/>
      <c r="N199" s="121"/>
      <c r="O199" s="121"/>
      <c r="P199" s="122"/>
      <c r="Q199" s="121"/>
    </row>
    <row r="200" spans="1:17" ht="12.75" customHeight="1" x14ac:dyDescent="0.2">
      <c r="A200" s="124"/>
      <c r="B200" s="126"/>
      <c r="C200" s="126"/>
      <c r="D200" s="1"/>
      <c r="E200" s="1"/>
      <c r="F200" s="126"/>
      <c r="G200" s="126"/>
      <c r="H200" s="118"/>
      <c r="I200" s="119"/>
      <c r="J200" s="120"/>
      <c r="K200" s="121"/>
      <c r="L200" s="121"/>
      <c r="M200" s="121"/>
      <c r="N200" s="121"/>
      <c r="O200" s="121"/>
      <c r="P200" s="122"/>
      <c r="Q200" s="121"/>
    </row>
    <row r="201" spans="1:17" ht="12.75" customHeight="1" x14ac:dyDescent="0.2">
      <c r="A201" s="124"/>
      <c r="B201" s="126"/>
      <c r="C201" s="126"/>
      <c r="D201" s="1"/>
      <c r="E201" s="1"/>
      <c r="F201" s="126"/>
      <c r="G201" s="126"/>
      <c r="H201" s="118"/>
      <c r="I201" s="119"/>
      <c r="J201" s="120"/>
      <c r="K201" s="121"/>
      <c r="L201" s="121"/>
      <c r="M201" s="121"/>
      <c r="N201" s="121"/>
      <c r="O201" s="121"/>
      <c r="P201" s="122"/>
      <c r="Q201" s="121"/>
    </row>
    <row r="202" spans="1:17" ht="12.75" customHeight="1" x14ac:dyDescent="0.2">
      <c r="A202" s="124"/>
      <c r="B202" s="126"/>
      <c r="C202" s="126"/>
      <c r="D202" s="1"/>
      <c r="E202" s="1"/>
      <c r="F202" s="126"/>
      <c r="G202" s="126"/>
      <c r="H202" s="118"/>
      <c r="I202" s="119"/>
      <c r="J202" s="120"/>
      <c r="K202" s="121"/>
      <c r="L202" s="121"/>
      <c r="M202" s="121"/>
      <c r="N202" s="121"/>
      <c r="O202" s="121"/>
      <c r="P202" s="122"/>
      <c r="Q202" s="121"/>
    </row>
    <row r="203" spans="1:17" ht="12.75" customHeight="1" x14ac:dyDescent="0.2">
      <c r="A203" s="124"/>
      <c r="B203" s="126"/>
      <c r="C203" s="126"/>
      <c r="D203" s="1"/>
      <c r="E203" s="1"/>
      <c r="F203" s="126"/>
      <c r="G203" s="126"/>
      <c r="H203" s="118"/>
      <c r="I203" s="119"/>
      <c r="J203" s="120"/>
      <c r="K203" s="121"/>
      <c r="L203" s="121"/>
      <c r="M203" s="121"/>
      <c r="N203" s="121"/>
      <c r="O203" s="121"/>
      <c r="P203" s="122"/>
      <c r="Q203" s="121"/>
    </row>
    <row r="204" spans="1:17" ht="12.75" customHeight="1" x14ac:dyDescent="0.2">
      <c r="A204" s="124"/>
      <c r="B204" s="126"/>
      <c r="C204" s="126"/>
      <c r="D204" s="1"/>
      <c r="E204" s="1"/>
      <c r="F204" s="126"/>
      <c r="G204" s="126"/>
      <c r="H204" s="118"/>
      <c r="I204" s="119"/>
      <c r="J204" s="120"/>
      <c r="K204" s="121"/>
      <c r="L204" s="121"/>
      <c r="M204" s="121"/>
      <c r="N204" s="121"/>
      <c r="O204" s="121"/>
      <c r="P204" s="122"/>
      <c r="Q204" s="121"/>
    </row>
    <row r="205" spans="1:17" ht="12.75" customHeight="1" x14ac:dyDescent="0.2">
      <c r="A205" s="124"/>
      <c r="B205" s="126"/>
      <c r="C205" s="126"/>
      <c r="D205" s="1"/>
      <c r="E205" s="1"/>
      <c r="F205" s="126"/>
      <c r="G205" s="126"/>
      <c r="H205" s="118"/>
      <c r="I205" s="119"/>
      <c r="J205" s="120"/>
      <c r="K205" s="121"/>
      <c r="L205" s="121"/>
      <c r="M205" s="121"/>
      <c r="N205" s="121"/>
      <c r="O205" s="121"/>
      <c r="P205" s="122"/>
      <c r="Q205" s="121"/>
    </row>
    <row r="206" spans="1:17" ht="12.75" customHeight="1" x14ac:dyDescent="0.2">
      <c r="A206" s="124"/>
      <c r="B206" s="126"/>
      <c r="C206" s="126"/>
      <c r="D206" s="1"/>
      <c r="E206" s="1"/>
      <c r="F206" s="126"/>
      <c r="G206" s="126"/>
      <c r="H206" s="118"/>
      <c r="I206" s="119"/>
      <c r="J206" s="120"/>
      <c r="K206" s="121"/>
      <c r="L206" s="121"/>
      <c r="M206" s="121"/>
      <c r="N206" s="121"/>
      <c r="O206" s="121"/>
      <c r="P206" s="122"/>
      <c r="Q206" s="121"/>
    </row>
    <row r="207" spans="1:17" ht="12.75" customHeight="1" x14ac:dyDescent="0.2">
      <c r="A207" s="124"/>
      <c r="B207" s="126"/>
      <c r="C207" s="126"/>
      <c r="D207" s="1"/>
      <c r="E207" s="1"/>
      <c r="F207" s="126"/>
      <c r="G207" s="126"/>
      <c r="H207" s="118"/>
      <c r="I207" s="119"/>
      <c r="J207" s="120"/>
      <c r="K207" s="121"/>
      <c r="L207" s="121"/>
      <c r="M207" s="121"/>
      <c r="N207" s="121"/>
      <c r="O207" s="121"/>
      <c r="P207" s="122"/>
      <c r="Q207" s="121"/>
    </row>
    <row r="208" spans="1:17" ht="12.75" customHeight="1" x14ac:dyDescent="0.2">
      <c r="A208" s="124"/>
      <c r="B208" s="126"/>
      <c r="C208" s="126"/>
      <c r="D208" s="1"/>
      <c r="E208" s="1"/>
      <c r="F208" s="126"/>
      <c r="G208" s="126"/>
      <c r="H208" s="118"/>
      <c r="I208" s="119"/>
      <c r="J208" s="120"/>
      <c r="K208" s="121"/>
      <c r="L208" s="121"/>
      <c r="M208" s="121"/>
      <c r="N208" s="121"/>
      <c r="O208" s="121"/>
      <c r="P208" s="122"/>
      <c r="Q208" s="121"/>
    </row>
    <row r="209" spans="1:17" ht="12.75" customHeight="1" x14ac:dyDescent="0.2">
      <c r="A209" s="124"/>
      <c r="B209" s="126"/>
      <c r="C209" s="126"/>
      <c r="D209" s="1"/>
      <c r="E209" s="1"/>
      <c r="F209" s="126"/>
      <c r="G209" s="126"/>
      <c r="H209" s="118"/>
      <c r="I209" s="119"/>
      <c r="J209" s="120"/>
      <c r="K209" s="121"/>
      <c r="L209" s="121"/>
      <c r="M209" s="121"/>
      <c r="N209" s="121"/>
      <c r="O209" s="121"/>
      <c r="P209" s="122"/>
      <c r="Q209" s="121"/>
    </row>
    <row r="210" spans="1:17" ht="12.75" customHeight="1" x14ac:dyDescent="0.2">
      <c r="A210" s="124"/>
      <c r="B210" s="126"/>
      <c r="C210" s="126"/>
      <c r="D210" s="1"/>
      <c r="E210" s="1"/>
      <c r="F210" s="126"/>
      <c r="G210" s="126"/>
      <c r="H210" s="118"/>
      <c r="I210" s="119"/>
      <c r="J210" s="120"/>
      <c r="K210" s="121"/>
      <c r="L210" s="121"/>
      <c r="M210" s="121"/>
      <c r="N210" s="121"/>
      <c r="O210" s="121"/>
      <c r="P210" s="122"/>
      <c r="Q210" s="121"/>
    </row>
    <row r="211" spans="1:17" ht="12.75" customHeight="1" x14ac:dyDescent="0.2">
      <c r="A211" s="124"/>
      <c r="B211" s="126"/>
      <c r="C211" s="126"/>
      <c r="D211" s="1"/>
      <c r="E211" s="1"/>
      <c r="F211" s="126"/>
      <c r="G211" s="126"/>
      <c r="H211" s="118"/>
      <c r="I211" s="119"/>
      <c r="J211" s="120"/>
      <c r="K211" s="121"/>
      <c r="L211" s="121"/>
      <c r="M211" s="121"/>
      <c r="N211" s="121"/>
      <c r="O211" s="121"/>
      <c r="P211" s="122"/>
      <c r="Q211" s="121"/>
    </row>
    <row r="212" spans="1:17" ht="12.75" customHeight="1" x14ac:dyDescent="0.2">
      <c r="A212" s="124"/>
      <c r="B212" s="126"/>
      <c r="C212" s="126"/>
      <c r="D212" s="1"/>
      <c r="E212" s="1"/>
      <c r="F212" s="126"/>
      <c r="G212" s="126"/>
      <c r="H212" s="118"/>
      <c r="I212" s="119"/>
      <c r="J212" s="120"/>
      <c r="K212" s="121"/>
      <c r="L212" s="121"/>
      <c r="M212" s="121"/>
      <c r="N212" s="121"/>
      <c r="O212" s="121"/>
      <c r="P212" s="122"/>
      <c r="Q212" s="121"/>
    </row>
    <row r="213" spans="1:17" ht="12.75" customHeight="1" x14ac:dyDescent="0.2">
      <c r="A213" s="124"/>
      <c r="B213" s="126"/>
      <c r="C213" s="126"/>
      <c r="D213" s="1"/>
      <c r="E213" s="1"/>
      <c r="F213" s="126"/>
      <c r="G213" s="126"/>
      <c r="H213" s="118"/>
      <c r="I213" s="119"/>
      <c r="J213" s="120"/>
      <c r="K213" s="121"/>
      <c r="L213" s="121"/>
      <c r="M213" s="121"/>
      <c r="N213" s="121"/>
      <c r="O213" s="121"/>
      <c r="P213" s="122"/>
      <c r="Q213" s="121"/>
    </row>
    <row r="214" spans="1:17" ht="12.75" customHeight="1" x14ac:dyDescent="0.2">
      <c r="A214" s="124"/>
      <c r="B214" s="126"/>
      <c r="C214" s="126"/>
      <c r="D214" s="1"/>
      <c r="E214" s="1"/>
      <c r="F214" s="126"/>
      <c r="G214" s="126"/>
      <c r="H214" s="118"/>
      <c r="I214" s="119"/>
      <c r="J214" s="120"/>
      <c r="K214" s="121"/>
      <c r="L214" s="121"/>
      <c r="M214" s="121"/>
      <c r="N214" s="121"/>
      <c r="O214" s="121"/>
      <c r="P214" s="122"/>
      <c r="Q214" s="121"/>
    </row>
    <row r="215" spans="1:17" ht="12.75" customHeight="1" x14ac:dyDescent="0.2">
      <c r="A215" s="124"/>
      <c r="B215" s="126"/>
      <c r="C215" s="126"/>
      <c r="D215" s="1"/>
      <c r="E215" s="1"/>
      <c r="F215" s="126"/>
      <c r="G215" s="126"/>
      <c r="H215" s="118"/>
      <c r="I215" s="119"/>
      <c r="J215" s="120"/>
      <c r="K215" s="121"/>
      <c r="L215" s="121"/>
      <c r="M215" s="121"/>
      <c r="N215" s="121"/>
      <c r="O215" s="121"/>
      <c r="P215" s="122"/>
      <c r="Q215" s="121"/>
    </row>
    <row r="216" spans="1:17" ht="12.75" customHeight="1" x14ac:dyDescent="0.2">
      <c r="A216" s="124"/>
      <c r="B216" s="126"/>
      <c r="C216" s="126"/>
      <c r="D216" s="1"/>
      <c r="E216" s="1"/>
      <c r="F216" s="126"/>
      <c r="G216" s="126"/>
      <c r="H216" s="118"/>
      <c r="I216" s="119"/>
      <c r="J216" s="120"/>
      <c r="K216" s="121"/>
      <c r="L216" s="121"/>
      <c r="M216" s="121"/>
      <c r="N216" s="121"/>
      <c r="O216" s="121"/>
      <c r="P216" s="122"/>
      <c r="Q216" s="121"/>
    </row>
    <row r="217" spans="1:17" ht="12.75" customHeight="1" x14ac:dyDescent="0.2">
      <c r="A217" s="124"/>
      <c r="B217" s="126"/>
      <c r="C217" s="126"/>
      <c r="D217" s="1"/>
      <c r="E217" s="1"/>
      <c r="F217" s="126"/>
      <c r="G217" s="126"/>
      <c r="H217" s="118"/>
      <c r="I217" s="119"/>
      <c r="J217" s="120"/>
      <c r="K217" s="121"/>
      <c r="L217" s="121"/>
      <c r="M217" s="121"/>
      <c r="N217" s="121"/>
      <c r="O217" s="121"/>
      <c r="P217" s="122"/>
      <c r="Q217" s="121"/>
    </row>
    <row r="218" spans="1:17" ht="12.75" customHeight="1" x14ac:dyDescent="0.2">
      <c r="A218" s="124"/>
      <c r="B218" s="126"/>
      <c r="C218" s="126"/>
      <c r="D218" s="1"/>
      <c r="E218" s="1"/>
      <c r="F218" s="126"/>
      <c r="G218" s="126"/>
      <c r="H218" s="118"/>
      <c r="I218" s="119"/>
      <c r="J218" s="120"/>
      <c r="K218" s="121"/>
      <c r="L218" s="121"/>
      <c r="M218" s="121"/>
      <c r="N218" s="121"/>
      <c r="O218" s="121"/>
      <c r="P218" s="122"/>
      <c r="Q218" s="121"/>
    </row>
    <row r="219" spans="1:17" ht="12.75" customHeight="1" x14ac:dyDescent="0.2">
      <c r="A219" s="124"/>
      <c r="B219" s="126"/>
      <c r="C219" s="126"/>
      <c r="D219" s="1"/>
      <c r="E219" s="1"/>
      <c r="F219" s="126"/>
      <c r="G219" s="126"/>
      <c r="H219" s="118"/>
      <c r="I219" s="119"/>
      <c r="J219" s="120"/>
      <c r="K219" s="121"/>
      <c r="L219" s="121"/>
      <c r="M219" s="121"/>
      <c r="N219" s="121"/>
      <c r="O219" s="121"/>
      <c r="P219" s="122"/>
      <c r="Q219" s="121"/>
    </row>
    <row r="220" spans="1:17" ht="12.75" customHeight="1" x14ac:dyDescent="0.2">
      <c r="A220" s="124"/>
      <c r="B220" s="126"/>
      <c r="C220" s="126"/>
      <c r="D220" s="1"/>
      <c r="E220" s="1"/>
      <c r="F220" s="126"/>
      <c r="G220" s="126"/>
      <c r="H220" s="118"/>
      <c r="I220" s="119"/>
      <c r="J220" s="120"/>
      <c r="K220" s="121"/>
      <c r="L220" s="121"/>
      <c r="M220" s="121"/>
      <c r="N220" s="121"/>
      <c r="O220" s="121"/>
      <c r="P220" s="122"/>
      <c r="Q220" s="121"/>
    </row>
    <row r="221" spans="1:17" ht="12.75" customHeight="1" x14ac:dyDescent="0.2">
      <c r="A221" s="124"/>
      <c r="B221" s="126"/>
      <c r="C221" s="126"/>
      <c r="D221" s="1"/>
      <c r="E221" s="1"/>
      <c r="F221" s="126"/>
      <c r="G221" s="126"/>
      <c r="H221" s="118"/>
      <c r="I221" s="119"/>
      <c r="J221" s="120"/>
      <c r="K221" s="121"/>
      <c r="L221" s="121"/>
      <c r="M221" s="121"/>
      <c r="N221" s="121"/>
      <c r="O221" s="121"/>
      <c r="P221" s="122"/>
      <c r="Q221" s="121"/>
    </row>
    <row r="222" spans="1:17" ht="12.75" customHeight="1" x14ac:dyDescent="0.2">
      <c r="A222" s="124"/>
      <c r="B222" s="126"/>
      <c r="C222" s="126"/>
      <c r="D222" s="1"/>
      <c r="E222" s="1"/>
      <c r="F222" s="126"/>
      <c r="G222" s="126"/>
      <c r="H222" s="118"/>
      <c r="I222" s="119"/>
      <c r="J222" s="120"/>
      <c r="K222" s="121"/>
      <c r="L222" s="121"/>
      <c r="M222" s="121"/>
      <c r="N222" s="121"/>
      <c r="O222" s="121"/>
      <c r="P222" s="122"/>
      <c r="Q222" s="121"/>
    </row>
    <row r="223" spans="1:17" ht="12.75" customHeight="1" x14ac:dyDescent="0.2">
      <c r="A223" s="124"/>
      <c r="B223" s="126"/>
      <c r="C223" s="126"/>
      <c r="D223" s="1"/>
      <c r="E223" s="1"/>
      <c r="F223" s="126"/>
      <c r="G223" s="126"/>
      <c r="H223" s="118"/>
      <c r="I223" s="119"/>
      <c r="J223" s="120"/>
      <c r="K223" s="121"/>
      <c r="L223" s="121"/>
      <c r="M223" s="121"/>
      <c r="N223" s="121"/>
      <c r="O223" s="121"/>
      <c r="P223" s="122"/>
      <c r="Q223" s="121"/>
    </row>
    <row r="224" spans="1:17" ht="12.75" customHeight="1" x14ac:dyDescent="0.2">
      <c r="A224" s="124"/>
      <c r="B224" s="126"/>
      <c r="C224" s="126"/>
      <c r="D224" s="1"/>
      <c r="E224" s="1"/>
      <c r="F224" s="126"/>
      <c r="G224" s="126"/>
      <c r="H224" s="118"/>
      <c r="I224" s="119"/>
      <c r="J224" s="120"/>
      <c r="K224" s="121"/>
      <c r="L224" s="121"/>
      <c r="M224" s="121"/>
      <c r="N224" s="121"/>
      <c r="O224" s="121"/>
      <c r="P224" s="122"/>
      <c r="Q224" s="121"/>
    </row>
    <row r="225" spans="1:17" ht="12.75" customHeight="1" x14ac:dyDescent="0.2">
      <c r="A225" s="124"/>
      <c r="B225" s="126"/>
      <c r="C225" s="126"/>
      <c r="D225" s="1"/>
      <c r="E225" s="1"/>
      <c r="F225" s="126"/>
      <c r="G225" s="126"/>
      <c r="H225" s="118"/>
      <c r="I225" s="119"/>
      <c r="J225" s="120"/>
      <c r="K225" s="121"/>
      <c r="L225" s="121"/>
      <c r="M225" s="121"/>
      <c r="N225" s="121"/>
      <c r="O225" s="121"/>
      <c r="P225" s="122"/>
      <c r="Q225" s="121"/>
    </row>
    <row r="226" spans="1:17" ht="12.75" customHeight="1" x14ac:dyDescent="0.2">
      <c r="A226" s="124"/>
      <c r="B226" s="126"/>
      <c r="C226" s="126"/>
      <c r="D226" s="1"/>
      <c r="E226" s="1"/>
      <c r="F226" s="126"/>
      <c r="G226" s="126"/>
      <c r="H226" s="118"/>
      <c r="I226" s="119"/>
      <c r="J226" s="120"/>
      <c r="K226" s="121"/>
      <c r="L226" s="121"/>
      <c r="M226" s="121"/>
      <c r="N226" s="121"/>
      <c r="O226" s="121"/>
      <c r="P226" s="122"/>
      <c r="Q226" s="121"/>
    </row>
    <row r="227" spans="1:17" ht="12.75" customHeight="1" x14ac:dyDescent="0.2">
      <c r="A227" s="124"/>
      <c r="B227" s="126"/>
      <c r="C227" s="126"/>
      <c r="D227" s="1"/>
      <c r="E227" s="1"/>
      <c r="F227" s="126"/>
      <c r="G227" s="126"/>
      <c r="H227" s="118"/>
      <c r="I227" s="119"/>
      <c r="J227" s="120"/>
      <c r="K227" s="121"/>
      <c r="L227" s="121"/>
      <c r="M227" s="121"/>
      <c r="N227" s="121"/>
      <c r="O227" s="121"/>
      <c r="P227" s="122"/>
      <c r="Q227" s="121"/>
    </row>
    <row r="228" spans="1:17" ht="12.75" customHeight="1" x14ac:dyDescent="0.2">
      <c r="A228" s="124"/>
      <c r="B228" s="126"/>
      <c r="C228" s="126"/>
      <c r="D228" s="1"/>
      <c r="E228" s="1"/>
      <c r="F228" s="126"/>
      <c r="G228" s="126"/>
      <c r="H228" s="118"/>
      <c r="I228" s="119"/>
      <c r="J228" s="120"/>
      <c r="K228" s="121"/>
      <c r="L228" s="121"/>
      <c r="M228" s="121"/>
      <c r="N228" s="121"/>
      <c r="O228" s="121"/>
      <c r="P228" s="122"/>
      <c r="Q228" s="121"/>
    </row>
    <row r="229" spans="1:17" ht="12.75" customHeight="1" x14ac:dyDescent="0.2">
      <c r="A229" s="124"/>
      <c r="B229" s="126"/>
      <c r="C229" s="126"/>
      <c r="D229" s="1"/>
      <c r="E229" s="1"/>
      <c r="F229" s="126"/>
      <c r="G229" s="126"/>
      <c r="H229" s="118"/>
      <c r="I229" s="119"/>
      <c r="J229" s="120"/>
      <c r="K229" s="121"/>
      <c r="L229" s="121"/>
      <c r="M229" s="121"/>
      <c r="N229" s="121"/>
      <c r="O229" s="121"/>
      <c r="P229" s="122"/>
      <c r="Q229" s="121"/>
    </row>
    <row r="230" spans="1:17" ht="12.75" customHeight="1" x14ac:dyDescent="0.2">
      <c r="A230" s="124"/>
      <c r="B230" s="126"/>
      <c r="C230" s="126"/>
      <c r="D230" s="1"/>
      <c r="E230" s="1"/>
      <c r="F230" s="126"/>
      <c r="G230" s="126"/>
      <c r="H230" s="118"/>
      <c r="I230" s="119"/>
      <c r="J230" s="120"/>
      <c r="K230" s="121"/>
      <c r="L230" s="121"/>
      <c r="M230" s="121"/>
      <c r="N230" s="121"/>
      <c r="O230" s="121"/>
      <c r="P230" s="122"/>
      <c r="Q230" s="121"/>
    </row>
    <row r="231" spans="1:17" ht="12.75" customHeight="1" x14ac:dyDescent="0.2">
      <c r="A231" s="124"/>
      <c r="B231" s="126"/>
      <c r="C231" s="126"/>
      <c r="D231" s="1"/>
      <c r="E231" s="1"/>
      <c r="F231" s="126"/>
      <c r="G231" s="126"/>
      <c r="H231" s="118"/>
      <c r="I231" s="119"/>
      <c r="J231" s="120"/>
      <c r="K231" s="121"/>
      <c r="L231" s="121"/>
      <c r="M231" s="121"/>
      <c r="N231" s="121"/>
      <c r="O231" s="121"/>
      <c r="P231" s="122"/>
      <c r="Q231" s="121"/>
    </row>
    <row r="232" spans="1:17" ht="12.75" customHeight="1" x14ac:dyDescent="0.2">
      <c r="A232" s="124"/>
      <c r="B232" s="126"/>
      <c r="C232" s="126"/>
      <c r="D232" s="1"/>
      <c r="E232" s="1"/>
      <c r="F232" s="126"/>
      <c r="G232" s="126"/>
      <c r="H232" s="118"/>
      <c r="I232" s="119"/>
      <c r="J232" s="120"/>
      <c r="K232" s="121"/>
      <c r="L232" s="121"/>
      <c r="M232" s="121"/>
      <c r="N232" s="121"/>
      <c r="O232" s="121"/>
      <c r="P232" s="122"/>
      <c r="Q232" s="121"/>
    </row>
    <row r="233" spans="1:17" ht="12.75" customHeight="1" x14ac:dyDescent="0.2">
      <c r="A233" s="124"/>
      <c r="B233" s="126"/>
      <c r="C233" s="126"/>
      <c r="D233" s="1"/>
      <c r="E233" s="1"/>
      <c r="F233" s="126"/>
      <c r="G233" s="126"/>
      <c r="H233" s="118"/>
      <c r="I233" s="119"/>
      <c r="J233" s="120"/>
      <c r="K233" s="121"/>
      <c r="L233" s="121"/>
      <c r="M233" s="121"/>
      <c r="N233" s="121"/>
      <c r="O233" s="121"/>
      <c r="P233" s="122"/>
      <c r="Q233" s="121"/>
    </row>
    <row r="234" spans="1:17" ht="12.75" customHeight="1" x14ac:dyDescent="0.2">
      <c r="A234" s="124"/>
      <c r="B234" s="126"/>
      <c r="C234" s="126"/>
      <c r="D234" s="1"/>
      <c r="E234" s="1"/>
      <c r="F234" s="126"/>
      <c r="G234" s="126"/>
      <c r="H234" s="118"/>
      <c r="I234" s="119"/>
      <c r="J234" s="120"/>
      <c r="K234" s="121"/>
      <c r="L234" s="121"/>
      <c r="M234" s="121"/>
      <c r="N234" s="121"/>
      <c r="O234" s="121"/>
      <c r="P234" s="122"/>
      <c r="Q234" s="121"/>
    </row>
    <row r="235" spans="1:17" ht="12.75" customHeight="1" x14ac:dyDescent="0.2">
      <c r="A235" s="124"/>
      <c r="B235" s="126"/>
      <c r="C235" s="126"/>
      <c r="D235" s="1"/>
      <c r="E235" s="1"/>
      <c r="F235" s="126"/>
      <c r="G235" s="126"/>
      <c r="H235" s="118"/>
      <c r="I235" s="119"/>
      <c r="J235" s="120"/>
      <c r="K235" s="121"/>
      <c r="L235" s="121"/>
      <c r="M235" s="121"/>
      <c r="N235" s="121"/>
      <c r="O235" s="121"/>
      <c r="P235" s="122"/>
      <c r="Q235" s="121"/>
    </row>
    <row r="236" spans="1:17" ht="12.75" customHeight="1" x14ac:dyDescent="0.2">
      <c r="A236" s="124"/>
      <c r="B236" s="126"/>
      <c r="C236" s="126"/>
      <c r="D236" s="1"/>
      <c r="E236" s="1"/>
      <c r="F236" s="126"/>
      <c r="G236" s="126"/>
      <c r="H236" s="118"/>
      <c r="I236" s="119"/>
      <c r="J236" s="120"/>
      <c r="K236" s="121"/>
      <c r="L236" s="121"/>
      <c r="M236" s="121"/>
      <c r="N236" s="121"/>
      <c r="O236" s="121"/>
      <c r="P236" s="122"/>
      <c r="Q236" s="121"/>
    </row>
    <row r="237" spans="1:17" ht="12.75" customHeight="1" x14ac:dyDescent="0.2">
      <c r="A237" s="124"/>
      <c r="B237" s="126"/>
      <c r="C237" s="126"/>
      <c r="D237" s="1"/>
      <c r="E237" s="1"/>
      <c r="F237" s="126"/>
      <c r="G237" s="126"/>
      <c r="H237" s="118"/>
      <c r="I237" s="119"/>
      <c r="J237" s="120"/>
      <c r="K237" s="121"/>
      <c r="L237" s="121"/>
      <c r="M237" s="121"/>
      <c r="N237" s="121"/>
      <c r="O237" s="121"/>
      <c r="P237" s="122"/>
      <c r="Q237" s="121"/>
    </row>
    <row r="238" spans="1:17" ht="12.75" customHeight="1" x14ac:dyDescent="0.2">
      <c r="A238" s="124"/>
      <c r="B238" s="126"/>
      <c r="C238" s="126"/>
      <c r="D238" s="1"/>
      <c r="E238" s="1"/>
      <c r="F238" s="126"/>
      <c r="G238" s="126"/>
      <c r="H238" s="118"/>
      <c r="I238" s="119"/>
      <c r="J238" s="120"/>
      <c r="K238" s="121"/>
      <c r="L238" s="121"/>
      <c r="M238" s="121"/>
      <c r="N238" s="121"/>
      <c r="O238" s="121"/>
      <c r="P238" s="122"/>
      <c r="Q238" s="121"/>
    </row>
    <row r="239" spans="1:17" ht="12.75" customHeight="1" x14ac:dyDescent="0.2">
      <c r="A239" s="124"/>
      <c r="B239" s="126"/>
      <c r="C239" s="126"/>
      <c r="D239" s="1"/>
      <c r="E239" s="1"/>
      <c r="F239" s="126"/>
      <c r="G239" s="126"/>
      <c r="H239" s="118"/>
      <c r="I239" s="119"/>
      <c r="J239" s="120"/>
      <c r="K239" s="121"/>
      <c r="L239" s="121"/>
      <c r="M239" s="121"/>
      <c r="N239" s="121"/>
      <c r="O239" s="121"/>
      <c r="P239" s="122"/>
      <c r="Q239" s="121"/>
    </row>
    <row r="240" spans="1:17" ht="12.75" customHeight="1" x14ac:dyDescent="0.2">
      <c r="A240" s="124"/>
      <c r="B240" s="126"/>
      <c r="C240" s="126"/>
      <c r="D240" s="1"/>
      <c r="E240" s="1"/>
      <c r="F240" s="126"/>
      <c r="G240" s="126"/>
      <c r="H240" s="118"/>
      <c r="I240" s="119"/>
      <c r="J240" s="120"/>
      <c r="K240" s="121"/>
      <c r="L240" s="121"/>
      <c r="M240" s="121"/>
      <c r="N240" s="121"/>
      <c r="O240" s="121"/>
      <c r="P240" s="122"/>
      <c r="Q240" s="121"/>
    </row>
    <row r="241" spans="1:17" ht="12.75" customHeight="1" x14ac:dyDescent="0.2">
      <c r="A241" s="124"/>
      <c r="B241" s="126"/>
      <c r="C241" s="126"/>
      <c r="D241" s="1"/>
      <c r="E241" s="1"/>
      <c r="F241" s="126"/>
      <c r="G241" s="126"/>
      <c r="H241" s="118"/>
      <c r="I241" s="119"/>
      <c r="J241" s="120"/>
      <c r="K241" s="121"/>
      <c r="L241" s="121"/>
      <c r="M241" s="121"/>
      <c r="N241" s="121"/>
      <c r="O241" s="121"/>
      <c r="P241" s="122"/>
      <c r="Q241" s="121"/>
    </row>
    <row r="242" spans="1:17" ht="12.75" customHeight="1" x14ac:dyDescent="0.2">
      <c r="A242" s="124"/>
      <c r="B242" s="126"/>
      <c r="C242" s="126"/>
      <c r="D242" s="1"/>
      <c r="E242" s="1"/>
      <c r="F242" s="126"/>
      <c r="G242" s="126"/>
      <c r="H242" s="118"/>
      <c r="I242" s="119"/>
      <c r="J242" s="120"/>
      <c r="K242" s="121"/>
      <c r="L242" s="121"/>
      <c r="M242" s="121"/>
      <c r="N242" s="121"/>
      <c r="O242" s="121"/>
      <c r="P242" s="122"/>
      <c r="Q242" s="121"/>
    </row>
    <row r="243" spans="1:17" ht="12.75" customHeight="1" x14ac:dyDescent="0.2">
      <c r="A243" s="124"/>
      <c r="B243" s="126"/>
      <c r="C243" s="126"/>
      <c r="D243" s="1"/>
      <c r="E243" s="1"/>
      <c r="F243" s="126"/>
      <c r="G243" s="126"/>
      <c r="H243" s="118"/>
      <c r="I243" s="119"/>
      <c r="J243" s="120"/>
      <c r="K243" s="121"/>
      <c r="L243" s="121"/>
      <c r="M243" s="121"/>
      <c r="N243" s="121"/>
      <c r="O243" s="121"/>
      <c r="P243" s="122"/>
      <c r="Q243" s="121"/>
    </row>
    <row r="244" spans="1:17" ht="12.75" customHeight="1" x14ac:dyDescent="0.2">
      <c r="A244" s="124"/>
      <c r="B244" s="126"/>
      <c r="C244" s="126"/>
      <c r="D244" s="1"/>
      <c r="E244" s="1"/>
      <c r="F244" s="126"/>
      <c r="G244" s="126"/>
      <c r="H244" s="118"/>
      <c r="I244" s="119"/>
      <c r="J244" s="120"/>
      <c r="K244" s="121"/>
      <c r="L244" s="121"/>
      <c r="M244" s="121"/>
      <c r="N244" s="121"/>
      <c r="O244" s="121"/>
      <c r="P244" s="122"/>
      <c r="Q244" s="121"/>
    </row>
    <row r="245" spans="1:17" ht="12.75" customHeight="1" x14ac:dyDescent="0.2">
      <c r="A245" s="124"/>
      <c r="B245" s="126"/>
      <c r="C245" s="126"/>
      <c r="D245" s="1"/>
      <c r="E245" s="1"/>
      <c r="F245" s="126"/>
      <c r="G245" s="126"/>
      <c r="H245" s="118"/>
      <c r="I245" s="119"/>
      <c r="J245" s="120"/>
      <c r="K245" s="121"/>
      <c r="L245" s="121"/>
      <c r="M245" s="121"/>
      <c r="N245" s="121"/>
      <c r="O245" s="121"/>
      <c r="P245" s="122"/>
      <c r="Q245" s="121"/>
    </row>
    <row r="246" spans="1:17" ht="12.75" customHeight="1" x14ac:dyDescent="0.2">
      <c r="A246" s="124"/>
      <c r="B246" s="126"/>
      <c r="C246" s="126"/>
      <c r="D246" s="1"/>
      <c r="E246" s="1"/>
      <c r="F246" s="126"/>
      <c r="G246" s="126"/>
      <c r="H246" s="118"/>
      <c r="I246" s="119"/>
      <c r="J246" s="120"/>
      <c r="K246" s="121"/>
      <c r="L246" s="121"/>
      <c r="M246" s="121"/>
      <c r="N246" s="121"/>
      <c r="O246" s="121"/>
      <c r="P246" s="122"/>
      <c r="Q246" s="121"/>
    </row>
    <row r="247" spans="1:17" ht="12.75" customHeight="1" x14ac:dyDescent="0.2">
      <c r="A247" s="124"/>
      <c r="B247" s="126"/>
      <c r="C247" s="126"/>
      <c r="D247" s="1"/>
      <c r="E247" s="1"/>
      <c r="F247" s="126"/>
      <c r="G247" s="126"/>
      <c r="H247" s="118"/>
      <c r="I247" s="119"/>
      <c r="J247" s="120"/>
      <c r="K247" s="121"/>
      <c r="L247" s="121"/>
      <c r="M247" s="121"/>
      <c r="N247" s="121"/>
      <c r="O247" s="121"/>
      <c r="P247" s="122"/>
      <c r="Q247" s="121"/>
    </row>
    <row r="248" spans="1:17" ht="12.75" customHeight="1" x14ac:dyDescent="0.2">
      <c r="A248" s="124"/>
      <c r="B248" s="126"/>
      <c r="C248" s="126"/>
      <c r="D248" s="1"/>
      <c r="E248" s="1"/>
      <c r="F248" s="126"/>
      <c r="G248" s="126"/>
      <c r="H248" s="118"/>
      <c r="I248" s="119"/>
      <c r="J248" s="120"/>
      <c r="K248" s="121"/>
      <c r="L248" s="121"/>
      <c r="M248" s="121"/>
      <c r="N248" s="121"/>
      <c r="O248" s="121"/>
      <c r="P248" s="122"/>
      <c r="Q248" s="121"/>
    </row>
    <row r="249" spans="1:17" ht="12.75" customHeight="1" x14ac:dyDescent="0.2">
      <c r="A249" s="124"/>
      <c r="B249" s="126"/>
      <c r="C249" s="126"/>
      <c r="D249" s="1"/>
      <c r="E249" s="1"/>
      <c r="F249" s="126"/>
      <c r="G249" s="126"/>
      <c r="H249" s="118"/>
      <c r="I249" s="119"/>
      <c r="J249" s="120"/>
      <c r="K249" s="121"/>
      <c r="L249" s="121"/>
      <c r="M249" s="121"/>
      <c r="N249" s="121"/>
      <c r="O249" s="121"/>
      <c r="P249" s="122"/>
      <c r="Q249" s="121"/>
    </row>
    <row r="250" spans="1:17" ht="12.75" customHeight="1" x14ac:dyDescent="0.2">
      <c r="A250" s="124"/>
      <c r="B250" s="126"/>
      <c r="C250" s="126"/>
      <c r="D250" s="1"/>
      <c r="E250" s="1"/>
      <c r="F250" s="126"/>
      <c r="G250" s="126"/>
      <c r="H250" s="118"/>
      <c r="I250" s="119"/>
      <c r="J250" s="120"/>
      <c r="K250" s="121"/>
      <c r="L250" s="121"/>
      <c r="M250" s="121"/>
      <c r="N250" s="121"/>
      <c r="O250" s="121"/>
      <c r="P250" s="122"/>
      <c r="Q250" s="121"/>
    </row>
    <row r="251" spans="1:17" ht="12.75" customHeight="1" x14ac:dyDescent="0.2">
      <c r="A251" s="124"/>
      <c r="B251" s="126"/>
      <c r="C251" s="126"/>
      <c r="D251" s="1"/>
      <c r="E251" s="1"/>
      <c r="F251" s="126"/>
      <c r="G251" s="126"/>
      <c r="H251" s="118"/>
      <c r="I251" s="119"/>
      <c r="J251" s="120"/>
      <c r="K251" s="121"/>
      <c r="L251" s="121"/>
      <c r="M251" s="121"/>
      <c r="N251" s="121"/>
      <c r="O251" s="121"/>
      <c r="P251" s="122"/>
      <c r="Q251" s="121"/>
    </row>
    <row r="252" spans="1:17" ht="12.75" customHeight="1" x14ac:dyDescent="0.2">
      <c r="A252" s="124"/>
      <c r="B252" s="126"/>
      <c r="C252" s="126"/>
      <c r="D252" s="1"/>
      <c r="E252" s="1"/>
      <c r="F252" s="126"/>
      <c r="G252" s="126"/>
      <c r="H252" s="118"/>
      <c r="I252" s="119"/>
      <c r="J252" s="120"/>
      <c r="K252" s="121"/>
      <c r="L252" s="121"/>
      <c r="M252" s="121"/>
      <c r="N252" s="121"/>
      <c r="O252" s="121"/>
      <c r="P252" s="122"/>
      <c r="Q252" s="121"/>
    </row>
    <row r="253" spans="1:17" ht="12.75" customHeight="1" x14ac:dyDescent="0.2">
      <c r="A253" s="124"/>
      <c r="B253" s="126"/>
      <c r="C253" s="126"/>
      <c r="D253" s="1"/>
      <c r="E253" s="1"/>
      <c r="F253" s="126"/>
      <c r="G253" s="126"/>
      <c r="H253" s="118"/>
      <c r="I253" s="119"/>
      <c r="J253" s="120"/>
      <c r="K253" s="121"/>
      <c r="L253" s="121"/>
      <c r="M253" s="121"/>
      <c r="N253" s="121"/>
      <c r="O253" s="121"/>
      <c r="P253" s="122"/>
      <c r="Q253" s="121"/>
    </row>
    <row r="254" spans="1:17" ht="12.75" customHeight="1" x14ac:dyDescent="0.2">
      <c r="A254" s="124"/>
      <c r="B254" s="126"/>
      <c r="C254" s="126"/>
      <c r="D254" s="1"/>
      <c r="E254" s="1"/>
      <c r="F254" s="126"/>
      <c r="G254" s="126"/>
      <c r="H254" s="118"/>
      <c r="I254" s="119"/>
      <c r="J254" s="120"/>
      <c r="K254" s="121"/>
      <c r="L254" s="121"/>
      <c r="M254" s="121"/>
      <c r="N254" s="121"/>
      <c r="O254" s="121"/>
      <c r="P254" s="122"/>
      <c r="Q254" s="121"/>
    </row>
    <row r="255" spans="1:17" ht="12.75" customHeight="1" x14ac:dyDescent="0.2">
      <c r="A255" s="124"/>
      <c r="B255" s="126"/>
      <c r="C255" s="126"/>
      <c r="D255" s="1"/>
      <c r="E255" s="1"/>
      <c r="F255" s="126"/>
      <c r="G255" s="126"/>
      <c r="H255" s="118"/>
      <c r="I255" s="119"/>
      <c r="J255" s="120"/>
      <c r="K255" s="121"/>
      <c r="L255" s="121"/>
      <c r="M255" s="121"/>
      <c r="N255" s="121"/>
      <c r="O255" s="121"/>
      <c r="P255" s="122"/>
      <c r="Q255" s="121"/>
    </row>
    <row r="256" spans="1:17" ht="12.75" customHeight="1" x14ac:dyDescent="0.2">
      <c r="A256" s="124"/>
      <c r="B256" s="126"/>
      <c r="C256" s="126"/>
      <c r="D256" s="1"/>
      <c r="E256" s="1"/>
      <c r="F256" s="126"/>
      <c r="G256" s="126"/>
      <c r="H256" s="118"/>
      <c r="I256" s="119"/>
      <c r="J256" s="120"/>
      <c r="K256" s="121"/>
      <c r="L256" s="121"/>
      <c r="M256" s="121"/>
      <c r="N256" s="121"/>
      <c r="O256" s="121"/>
      <c r="P256" s="122"/>
      <c r="Q256" s="121"/>
    </row>
    <row r="257" spans="1:17" ht="12.75" customHeight="1" x14ac:dyDescent="0.2">
      <c r="A257" s="124"/>
      <c r="B257" s="126"/>
      <c r="C257" s="126"/>
      <c r="D257" s="1"/>
      <c r="E257" s="1"/>
      <c r="F257" s="126"/>
      <c r="G257" s="126"/>
      <c r="H257" s="118"/>
      <c r="I257" s="119"/>
      <c r="J257" s="120"/>
      <c r="K257" s="121"/>
      <c r="L257" s="121"/>
      <c r="M257" s="121"/>
      <c r="N257" s="121"/>
      <c r="O257" s="121"/>
      <c r="P257" s="122"/>
      <c r="Q257" s="121"/>
    </row>
    <row r="258" spans="1:17" ht="12.75" customHeight="1" x14ac:dyDescent="0.2">
      <c r="A258" s="124"/>
      <c r="B258" s="126"/>
      <c r="C258" s="126"/>
      <c r="D258" s="1"/>
      <c r="E258" s="1"/>
      <c r="F258" s="126"/>
      <c r="G258" s="126"/>
      <c r="H258" s="118"/>
      <c r="I258" s="119"/>
      <c r="J258" s="120"/>
      <c r="K258" s="121"/>
      <c r="L258" s="121"/>
      <c r="M258" s="121"/>
      <c r="N258" s="121"/>
      <c r="O258" s="121"/>
      <c r="P258" s="122"/>
      <c r="Q258" s="121"/>
    </row>
    <row r="259" spans="1:17" ht="12.75" customHeight="1" x14ac:dyDescent="0.2">
      <c r="A259" s="124"/>
      <c r="B259" s="126"/>
      <c r="C259" s="126"/>
      <c r="D259" s="1"/>
      <c r="E259" s="1"/>
      <c r="F259" s="126"/>
      <c r="G259" s="126"/>
      <c r="H259" s="118"/>
      <c r="I259" s="119"/>
      <c r="J259" s="120"/>
      <c r="K259" s="121"/>
      <c r="L259" s="121"/>
      <c r="M259" s="121"/>
      <c r="N259" s="121"/>
      <c r="O259" s="121"/>
      <c r="P259" s="122"/>
      <c r="Q259" s="121"/>
    </row>
    <row r="260" spans="1:17" ht="12.75" customHeight="1" x14ac:dyDescent="0.2">
      <c r="A260" s="124"/>
      <c r="B260" s="126"/>
      <c r="C260" s="126"/>
      <c r="D260" s="1"/>
      <c r="E260" s="1"/>
      <c r="F260" s="126"/>
      <c r="G260" s="126"/>
      <c r="H260" s="118"/>
      <c r="I260" s="119"/>
      <c r="J260" s="120"/>
      <c r="K260" s="121"/>
      <c r="L260" s="121"/>
      <c r="M260" s="121"/>
      <c r="N260" s="121"/>
      <c r="O260" s="121"/>
      <c r="P260" s="122"/>
      <c r="Q260" s="121"/>
    </row>
    <row r="261" spans="1:17" ht="12.75" customHeight="1" x14ac:dyDescent="0.2">
      <c r="A261" s="124"/>
      <c r="B261" s="126"/>
      <c r="C261" s="126"/>
      <c r="D261" s="1"/>
      <c r="E261" s="1"/>
      <c r="F261" s="126"/>
      <c r="G261" s="126"/>
      <c r="H261" s="118"/>
      <c r="I261" s="119"/>
      <c r="J261" s="120"/>
      <c r="K261" s="121"/>
      <c r="L261" s="121"/>
      <c r="M261" s="121"/>
      <c r="N261" s="121"/>
      <c r="O261" s="121"/>
      <c r="P261" s="122"/>
      <c r="Q261" s="121"/>
    </row>
    <row r="262" spans="1:17" ht="12.75" customHeight="1" x14ac:dyDescent="0.2">
      <c r="A262" s="124"/>
      <c r="B262" s="126"/>
      <c r="C262" s="126"/>
      <c r="D262" s="1"/>
      <c r="E262" s="1"/>
      <c r="F262" s="126"/>
      <c r="G262" s="126"/>
      <c r="H262" s="118"/>
      <c r="I262" s="119"/>
      <c r="J262" s="120"/>
      <c r="K262" s="121"/>
      <c r="L262" s="121"/>
      <c r="M262" s="121"/>
      <c r="N262" s="121"/>
      <c r="O262" s="121"/>
      <c r="P262" s="122"/>
      <c r="Q262" s="121"/>
    </row>
    <row r="263" spans="1:17" ht="12.75" customHeight="1" x14ac:dyDescent="0.2">
      <c r="A263" s="124"/>
      <c r="B263" s="126"/>
      <c r="C263" s="126"/>
      <c r="D263" s="1"/>
      <c r="E263" s="1"/>
      <c r="F263" s="126"/>
      <c r="G263" s="126"/>
      <c r="H263" s="118"/>
      <c r="I263" s="119"/>
      <c r="J263" s="120"/>
      <c r="K263" s="121"/>
      <c r="L263" s="121"/>
      <c r="M263" s="121"/>
      <c r="N263" s="121"/>
      <c r="O263" s="121"/>
      <c r="P263" s="122"/>
      <c r="Q263" s="121"/>
    </row>
    <row r="264" spans="1:17" ht="12.75" customHeight="1" x14ac:dyDescent="0.2">
      <c r="A264" s="124"/>
      <c r="B264" s="126"/>
      <c r="C264" s="126"/>
      <c r="D264" s="1"/>
      <c r="E264" s="1"/>
      <c r="F264" s="126"/>
      <c r="G264" s="126"/>
      <c r="H264" s="118"/>
      <c r="I264" s="119"/>
      <c r="J264" s="120"/>
      <c r="K264" s="121"/>
      <c r="L264" s="121"/>
      <c r="M264" s="121"/>
      <c r="N264" s="121"/>
      <c r="O264" s="121"/>
      <c r="P264" s="122"/>
      <c r="Q264" s="121"/>
    </row>
    <row r="265" spans="1:17" ht="12.75" customHeight="1" x14ac:dyDescent="0.2">
      <c r="A265" s="124"/>
      <c r="B265" s="126"/>
      <c r="C265" s="126"/>
      <c r="D265" s="1"/>
      <c r="E265" s="1"/>
      <c r="F265" s="126"/>
      <c r="G265" s="126"/>
      <c r="H265" s="118"/>
      <c r="I265" s="119"/>
      <c r="J265" s="120"/>
      <c r="K265" s="121"/>
      <c r="L265" s="121"/>
      <c r="M265" s="121"/>
      <c r="N265" s="121"/>
      <c r="O265" s="121"/>
      <c r="P265" s="122"/>
      <c r="Q265" s="121"/>
    </row>
    <row r="266" spans="1:17" ht="12.75" customHeight="1" x14ac:dyDescent="0.2">
      <c r="A266" s="124"/>
      <c r="B266" s="126"/>
      <c r="C266" s="126"/>
      <c r="D266" s="1"/>
      <c r="E266" s="1"/>
      <c r="F266" s="126"/>
      <c r="G266" s="126"/>
      <c r="H266" s="118"/>
      <c r="I266" s="119"/>
      <c r="J266" s="120"/>
      <c r="K266" s="121"/>
      <c r="L266" s="121"/>
      <c r="M266" s="121"/>
      <c r="N266" s="121"/>
      <c r="O266" s="121"/>
      <c r="P266" s="122"/>
      <c r="Q266" s="121"/>
    </row>
    <row r="267" spans="1:17" ht="12.75" customHeight="1" x14ac:dyDescent="0.2">
      <c r="A267" s="124"/>
      <c r="B267" s="126"/>
      <c r="C267" s="126"/>
      <c r="D267" s="1"/>
      <c r="E267" s="1"/>
      <c r="F267" s="126"/>
      <c r="G267" s="126"/>
      <c r="H267" s="118"/>
      <c r="I267" s="119"/>
      <c r="J267" s="120"/>
      <c r="K267" s="121"/>
      <c r="L267" s="121"/>
      <c r="M267" s="121"/>
      <c r="N267" s="121"/>
      <c r="O267" s="121"/>
      <c r="P267" s="122"/>
      <c r="Q267" s="121"/>
    </row>
    <row r="268" spans="1:17" ht="12.75" customHeight="1" x14ac:dyDescent="0.2">
      <c r="A268" s="124"/>
      <c r="B268" s="126"/>
      <c r="C268" s="126"/>
      <c r="D268" s="1"/>
      <c r="E268" s="1"/>
      <c r="F268" s="126"/>
      <c r="G268" s="126"/>
      <c r="H268" s="118"/>
      <c r="I268" s="119"/>
      <c r="J268" s="120"/>
      <c r="K268" s="121"/>
      <c r="L268" s="121"/>
      <c r="M268" s="121"/>
      <c r="N268" s="121"/>
      <c r="O268" s="121"/>
      <c r="P268" s="122"/>
      <c r="Q268" s="121"/>
    </row>
    <row r="269" spans="1:17" ht="12.75" customHeight="1" x14ac:dyDescent="0.2">
      <c r="A269" s="124"/>
      <c r="B269" s="126"/>
      <c r="C269" s="126"/>
      <c r="D269" s="1"/>
      <c r="E269" s="1"/>
      <c r="F269" s="126"/>
      <c r="G269" s="126"/>
      <c r="H269" s="118"/>
      <c r="I269" s="119"/>
      <c r="J269" s="120"/>
      <c r="K269" s="121"/>
      <c r="L269" s="121"/>
      <c r="M269" s="121"/>
      <c r="N269" s="121"/>
      <c r="O269" s="121"/>
      <c r="P269" s="122"/>
      <c r="Q269" s="121"/>
    </row>
    <row r="270" spans="1:17" ht="12.75" customHeight="1" x14ac:dyDescent="0.2">
      <c r="A270" s="124"/>
      <c r="B270" s="126"/>
      <c r="C270" s="126"/>
      <c r="D270" s="1"/>
      <c r="E270" s="1"/>
      <c r="F270" s="126"/>
      <c r="G270" s="126"/>
      <c r="H270" s="118"/>
      <c r="I270" s="119"/>
      <c r="J270" s="120"/>
      <c r="K270" s="121"/>
      <c r="L270" s="121"/>
      <c r="M270" s="121"/>
      <c r="N270" s="121"/>
      <c r="O270" s="121"/>
      <c r="P270" s="122"/>
      <c r="Q270" s="121"/>
    </row>
    <row r="271" spans="1:17" ht="12.75" customHeight="1" x14ac:dyDescent="0.2">
      <c r="A271" s="124"/>
      <c r="B271" s="126"/>
      <c r="C271" s="126"/>
      <c r="D271" s="1"/>
      <c r="E271" s="1"/>
      <c r="F271" s="126"/>
      <c r="G271" s="126"/>
      <c r="H271" s="118"/>
      <c r="I271" s="119"/>
      <c r="J271" s="120"/>
      <c r="K271" s="121"/>
      <c r="L271" s="121"/>
      <c r="M271" s="121"/>
      <c r="N271" s="121"/>
      <c r="O271" s="121"/>
      <c r="P271" s="122"/>
      <c r="Q271" s="121"/>
    </row>
    <row r="272" spans="1:17" ht="12.75" customHeight="1" x14ac:dyDescent="0.2">
      <c r="A272" s="124"/>
      <c r="B272" s="126"/>
      <c r="C272" s="126"/>
      <c r="D272" s="1"/>
      <c r="E272" s="1"/>
      <c r="F272" s="126"/>
      <c r="G272" s="126"/>
      <c r="H272" s="118"/>
      <c r="I272" s="119"/>
      <c r="J272" s="120"/>
      <c r="K272" s="121"/>
      <c r="L272" s="121"/>
      <c r="M272" s="121"/>
      <c r="N272" s="121"/>
      <c r="O272" s="121"/>
      <c r="P272" s="122"/>
      <c r="Q272" s="121"/>
    </row>
    <row r="273" spans="1:17" ht="12.75" customHeight="1" x14ac:dyDescent="0.2">
      <c r="A273" s="124"/>
      <c r="B273" s="126"/>
      <c r="C273" s="126"/>
      <c r="D273" s="1"/>
      <c r="E273" s="1"/>
      <c r="F273" s="126"/>
      <c r="G273" s="126"/>
      <c r="H273" s="118"/>
      <c r="I273" s="119"/>
      <c r="J273" s="120"/>
      <c r="K273" s="121"/>
      <c r="L273" s="121"/>
      <c r="M273" s="121"/>
      <c r="N273" s="121"/>
      <c r="O273" s="121"/>
      <c r="P273" s="122"/>
      <c r="Q273" s="121"/>
    </row>
    <row r="274" spans="1:17" ht="12.75" customHeight="1" x14ac:dyDescent="0.2">
      <c r="A274" s="124"/>
      <c r="B274" s="126"/>
      <c r="C274" s="126"/>
      <c r="D274" s="1"/>
      <c r="E274" s="1"/>
      <c r="F274" s="126"/>
      <c r="G274" s="126"/>
      <c r="H274" s="118"/>
      <c r="I274" s="119"/>
      <c r="J274" s="120"/>
      <c r="K274" s="121"/>
      <c r="L274" s="121"/>
      <c r="M274" s="121"/>
      <c r="N274" s="121"/>
      <c r="O274" s="121"/>
      <c r="P274" s="122"/>
      <c r="Q274" s="121"/>
    </row>
    <row r="275" spans="1:17" ht="12.75" customHeight="1" x14ac:dyDescent="0.2">
      <c r="A275" s="124"/>
      <c r="B275" s="126"/>
      <c r="C275" s="126"/>
      <c r="D275" s="1"/>
      <c r="E275" s="1"/>
      <c r="F275" s="126"/>
      <c r="G275" s="126"/>
      <c r="H275" s="118"/>
      <c r="I275" s="119"/>
      <c r="J275" s="120"/>
      <c r="K275" s="121"/>
      <c r="L275" s="121"/>
      <c r="M275" s="121"/>
      <c r="N275" s="121"/>
      <c r="O275" s="121"/>
      <c r="P275" s="122"/>
      <c r="Q275" s="121"/>
    </row>
    <row r="276" spans="1:17" ht="12.75" customHeight="1" x14ac:dyDescent="0.2">
      <c r="A276" s="124"/>
      <c r="B276" s="126"/>
      <c r="C276" s="126"/>
      <c r="D276" s="1"/>
      <c r="E276" s="1"/>
      <c r="F276" s="126"/>
      <c r="G276" s="126"/>
      <c r="H276" s="118"/>
      <c r="I276" s="119"/>
      <c r="J276" s="120"/>
      <c r="K276" s="121"/>
      <c r="L276" s="121"/>
      <c r="M276" s="121"/>
      <c r="N276" s="121"/>
      <c r="O276" s="121"/>
      <c r="P276" s="122"/>
      <c r="Q276" s="121"/>
    </row>
    <row r="277" spans="1:17" ht="12.75" customHeight="1" x14ac:dyDescent="0.2">
      <c r="A277" s="124"/>
      <c r="B277" s="126"/>
      <c r="C277" s="126"/>
      <c r="D277" s="1"/>
      <c r="E277" s="1"/>
      <c r="F277" s="126"/>
      <c r="G277" s="126"/>
      <c r="H277" s="118"/>
      <c r="I277" s="119"/>
      <c r="J277" s="120"/>
      <c r="K277" s="121"/>
      <c r="L277" s="121"/>
      <c r="M277" s="121"/>
      <c r="N277" s="121"/>
      <c r="O277" s="121"/>
      <c r="P277" s="122"/>
      <c r="Q277" s="121"/>
    </row>
    <row r="278" spans="1:17" ht="12.75" customHeight="1" x14ac:dyDescent="0.2">
      <c r="A278" s="124"/>
      <c r="B278" s="126"/>
      <c r="C278" s="126"/>
      <c r="D278" s="1"/>
      <c r="E278" s="1"/>
      <c r="F278" s="126"/>
      <c r="G278" s="126"/>
      <c r="H278" s="118"/>
      <c r="I278" s="119"/>
      <c r="J278" s="120"/>
      <c r="K278" s="121"/>
      <c r="L278" s="121"/>
      <c r="M278" s="121"/>
      <c r="N278" s="121"/>
      <c r="O278" s="121"/>
      <c r="P278" s="122"/>
      <c r="Q278" s="121"/>
    </row>
    <row r="279" spans="1:17" ht="12.75" customHeight="1" x14ac:dyDescent="0.2">
      <c r="A279" s="124"/>
      <c r="B279" s="126"/>
      <c r="C279" s="126"/>
      <c r="D279" s="1"/>
      <c r="E279" s="1"/>
      <c r="F279" s="126"/>
      <c r="G279" s="126"/>
      <c r="H279" s="118"/>
      <c r="I279" s="119"/>
      <c r="J279" s="120"/>
      <c r="K279" s="121"/>
      <c r="L279" s="121"/>
      <c r="M279" s="121"/>
      <c r="N279" s="121"/>
      <c r="O279" s="121"/>
      <c r="P279" s="122"/>
      <c r="Q279" s="121"/>
    </row>
    <row r="280" spans="1:17" ht="12.75" customHeight="1" x14ac:dyDescent="0.2">
      <c r="A280" s="124"/>
      <c r="B280" s="126"/>
      <c r="C280" s="126"/>
      <c r="D280" s="1"/>
      <c r="E280" s="1"/>
      <c r="F280" s="126"/>
      <c r="G280" s="126"/>
      <c r="H280" s="118"/>
      <c r="I280" s="119"/>
      <c r="J280" s="120"/>
      <c r="K280" s="121"/>
      <c r="L280" s="121"/>
      <c r="M280" s="121"/>
      <c r="N280" s="121"/>
      <c r="O280" s="121"/>
      <c r="P280" s="122"/>
      <c r="Q280" s="121"/>
    </row>
    <row r="281" spans="1:17" ht="12.75" customHeight="1" x14ac:dyDescent="0.2">
      <c r="A281" s="124"/>
      <c r="B281" s="126"/>
      <c r="C281" s="126"/>
      <c r="D281" s="1"/>
      <c r="E281" s="1"/>
      <c r="F281" s="126"/>
      <c r="G281" s="126"/>
      <c r="H281" s="118"/>
      <c r="I281" s="119"/>
      <c r="J281" s="120"/>
      <c r="K281" s="121"/>
      <c r="L281" s="121"/>
      <c r="M281" s="121"/>
      <c r="N281" s="121"/>
      <c r="O281" s="121"/>
      <c r="P281" s="122"/>
      <c r="Q281" s="121"/>
    </row>
    <row r="282" spans="1:17" ht="12.75" customHeight="1" x14ac:dyDescent="0.2">
      <c r="A282" s="124"/>
      <c r="B282" s="126"/>
      <c r="C282" s="126"/>
      <c r="D282" s="1"/>
      <c r="E282" s="1"/>
      <c r="F282" s="126"/>
      <c r="G282" s="126"/>
      <c r="H282" s="118"/>
      <c r="I282" s="119"/>
      <c r="J282" s="120"/>
      <c r="K282" s="121"/>
      <c r="L282" s="121"/>
      <c r="M282" s="121"/>
      <c r="N282" s="121"/>
      <c r="O282" s="121"/>
      <c r="P282" s="122"/>
      <c r="Q282" s="121"/>
    </row>
    <row r="283" spans="1:17" ht="12.75" customHeight="1" x14ac:dyDescent="0.2">
      <c r="A283" s="124"/>
      <c r="B283" s="126"/>
      <c r="C283" s="126"/>
      <c r="D283" s="1"/>
      <c r="E283" s="1"/>
      <c r="F283" s="126"/>
      <c r="G283" s="126"/>
      <c r="H283" s="118"/>
      <c r="I283" s="119"/>
      <c r="J283" s="120"/>
      <c r="K283" s="121"/>
      <c r="L283" s="121"/>
      <c r="M283" s="121"/>
      <c r="N283" s="121"/>
      <c r="O283" s="121"/>
      <c r="P283" s="122"/>
      <c r="Q283" s="121"/>
    </row>
    <row r="284" spans="1:17" ht="12.75" customHeight="1" x14ac:dyDescent="0.2">
      <c r="A284" s="124"/>
      <c r="B284" s="126"/>
      <c r="C284" s="126"/>
      <c r="D284" s="1"/>
      <c r="E284" s="1"/>
      <c r="F284" s="126"/>
      <c r="G284" s="126"/>
      <c r="H284" s="118"/>
      <c r="I284" s="119"/>
      <c r="J284" s="120"/>
      <c r="K284" s="121"/>
      <c r="L284" s="121"/>
      <c r="M284" s="121"/>
      <c r="N284" s="121"/>
      <c r="O284" s="121"/>
      <c r="P284" s="122"/>
      <c r="Q284" s="121"/>
    </row>
    <row r="285" spans="1:17" ht="12.75" customHeight="1" x14ac:dyDescent="0.2">
      <c r="A285" s="124"/>
      <c r="B285" s="126"/>
      <c r="C285" s="126"/>
      <c r="D285" s="1"/>
      <c r="E285" s="1"/>
      <c r="F285" s="126"/>
      <c r="G285" s="126"/>
      <c r="H285" s="118"/>
      <c r="I285" s="119"/>
      <c r="J285" s="120"/>
      <c r="K285" s="121"/>
      <c r="L285" s="121"/>
      <c r="M285" s="121"/>
      <c r="N285" s="121"/>
      <c r="O285" s="121"/>
      <c r="P285" s="122"/>
      <c r="Q285" s="121"/>
    </row>
    <row r="286" spans="1:17" ht="12.75" customHeight="1" x14ac:dyDescent="0.2">
      <c r="A286" s="124"/>
      <c r="B286" s="126"/>
      <c r="C286" s="126"/>
      <c r="D286" s="1"/>
      <c r="E286" s="1"/>
      <c r="F286" s="126"/>
      <c r="G286" s="126"/>
      <c r="H286" s="118"/>
      <c r="I286" s="119"/>
      <c r="J286" s="120"/>
      <c r="K286" s="121"/>
      <c r="L286" s="121"/>
      <c r="M286" s="121"/>
      <c r="N286" s="121"/>
      <c r="O286" s="121"/>
      <c r="P286" s="122"/>
      <c r="Q286" s="121"/>
    </row>
    <row r="287" spans="1:17" ht="12.75" customHeight="1" x14ac:dyDescent="0.2">
      <c r="A287" s="124"/>
      <c r="B287" s="126"/>
      <c r="C287" s="126"/>
      <c r="D287" s="1"/>
      <c r="E287" s="1"/>
      <c r="F287" s="126"/>
      <c r="G287" s="126"/>
      <c r="H287" s="118"/>
      <c r="I287" s="119"/>
      <c r="J287" s="120"/>
      <c r="K287" s="121"/>
      <c r="L287" s="121"/>
      <c r="M287" s="121"/>
      <c r="N287" s="121"/>
      <c r="O287" s="121"/>
      <c r="P287" s="122"/>
      <c r="Q287" s="121"/>
    </row>
    <row r="288" spans="1:17" ht="12.75" customHeight="1" x14ac:dyDescent="0.2">
      <c r="A288" s="124"/>
      <c r="B288" s="126"/>
      <c r="C288" s="126"/>
      <c r="D288" s="1"/>
      <c r="E288" s="1"/>
      <c r="F288" s="126"/>
      <c r="G288" s="126"/>
      <c r="H288" s="118"/>
      <c r="I288" s="119"/>
      <c r="J288" s="120"/>
      <c r="K288" s="121"/>
      <c r="L288" s="121"/>
      <c r="M288" s="121"/>
      <c r="N288" s="121"/>
      <c r="O288" s="121"/>
      <c r="P288" s="122"/>
      <c r="Q288" s="121"/>
    </row>
    <row r="289" spans="1:17" ht="12.75" customHeight="1" x14ac:dyDescent="0.2">
      <c r="A289" s="124"/>
      <c r="B289" s="126"/>
      <c r="C289" s="126"/>
      <c r="D289" s="1"/>
      <c r="E289" s="1"/>
      <c r="F289" s="126"/>
      <c r="G289" s="126"/>
      <c r="H289" s="118"/>
      <c r="I289" s="119"/>
      <c r="J289" s="120"/>
      <c r="K289" s="121"/>
      <c r="L289" s="121"/>
      <c r="M289" s="121"/>
      <c r="N289" s="121"/>
      <c r="O289" s="121"/>
      <c r="P289" s="122"/>
      <c r="Q289" s="121"/>
    </row>
    <row r="290" spans="1:17" ht="12.75" customHeight="1" x14ac:dyDescent="0.2">
      <c r="A290" s="124"/>
      <c r="B290" s="126"/>
      <c r="C290" s="126"/>
      <c r="D290" s="1"/>
      <c r="E290" s="1"/>
      <c r="F290" s="126"/>
      <c r="G290" s="126"/>
      <c r="H290" s="118"/>
      <c r="I290" s="119"/>
      <c r="J290" s="120"/>
      <c r="K290" s="121"/>
      <c r="L290" s="121"/>
      <c r="M290" s="121"/>
      <c r="N290" s="121"/>
      <c r="O290" s="121"/>
      <c r="P290" s="122"/>
      <c r="Q290" s="121"/>
    </row>
    <row r="291" spans="1:17" ht="12.75" customHeight="1" x14ac:dyDescent="0.2">
      <c r="A291" s="124"/>
      <c r="B291" s="126"/>
      <c r="C291" s="126"/>
      <c r="D291" s="1"/>
      <c r="E291" s="1"/>
      <c r="F291" s="126"/>
      <c r="G291" s="126"/>
      <c r="H291" s="118"/>
      <c r="I291" s="119"/>
      <c r="J291" s="120"/>
      <c r="K291" s="121"/>
      <c r="L291" s="121"/>
      <c r="M291" s="121"/>
      <c r="N291" s="121"/>
      <c r="O291" s="121"/>
      <c r="P291" s="122"/>
      <c r="Q291" s="121"/>
    </row>
    <row r="292" spans="1:17" ht="12.75" customHeight="1" x14ac:dyDescent="0.2">
      <c r="A292" s="124"/>
      <c r="B292" s="126"/>
      <c r="C292" s="126"/>
      <c r="D292" s="1"/>
      <c r="E292" s="1"/>
      <c r="F292" s="126"/>
      <c r="G292" s="126"/>
      <c r="H292" s="118"/>
      <c r="I292" s="119"/>
      <c r="J292" s="120"/>
      <c r="K292" s="121"/>
      <c r="L292" s="121"/>
      <c r="M292" s="121"/>
      <c r="N292" s="121"/>
      <c r="O292" s="121"/>
      <c r="P292" s="122"/>
      <c r="Q292" s="121"/>
    </row>
    <row r="293" spans="1:17" ht="12.75" customHeight="1" x14ac:dyDescent="0.2">
      <c r="A293" s="124"/>
      <c r="B293" s="126"/>
      <c r="C293" s="126"/>
      <c r="D293" s="1"/>
      <c r="E293" s="1"/>
      <c r="F293" s="126"/>
      <c r="G293" s="126"/>
      <c r="H293" s="118"/>
      <c r="I293" s="119"/>
      <c r="J293" s="120"/>
      <c r="K293" s="121"/>
      <c r="L293" s="121"/>
      <c r="M293" s="121"/>
      <c r="N293" s="121"/>
      <c r="O293" s="121"/>
      <c r="P293" s="122"/>
      <c r="Q293" s="121"/>
    </row>
    <row r="294" spans="1:17" ht="12.75" customHeight="1" x14ac:dyDescent="0.2">
      <c r="A294" s="124"/>
      <c r="B294" s="126"/>
      <c r="C294" s="126"/>
      <c r="D294" s="1"/>
      <c r="E294" s="1"/>
      <c r="F294" s="126"/>
      <c r="G294" s="126"/>
      <c r="H294" s="118"/>
      <c r="I294" s="119"/>
      <c r="J294" s="120"/>
      <c r="K294" s="121"/>
      <c r="L294" s="121"/>
      <c r="M294" s="121"/>
      <c r="N294" s="121"/>
      <c r="O294" s="121"/>
      <c r="P294" s="122"/>
      <c r="Q294" s="121"/>
    </row>
    <row r="295" spans="1:17" ht="12.75" customHeight="1" x14ac:dyDescent="0.2">
      <c r="A295" s="124"/>
      <c r="B295" s="126"/>
      <c r="C295" s="126"/>
      <c r="D295" s="1"/>
      <c r="E295" s="1"/>
      <c r="F295" s="126"/>
      <c r="G295" s="126"/>
      <c r="H295" s="118"/>
      <c r="I295" s="119"/>
      <c r="J295" s="120"/>
      <c r="K295" s="121"/>
      <c r="L295" s="121"/>
      <c r="M295" s="121"/>
      <c r="N295" s="121"/>
      <c r="O295" s="121"/>
      <c r="P295" s="122"/>
      <c r="Q295" s="121"/>
    </row>
    <row r="296" spans="1:17" ht="12.75" customHeight="1" x14ac:dyDescent="0.2">
      <c r="A296" s="124"/>
      <c r="B296" s="126"/>
      <c r="C296" s="126"/>
      <c r="D296" s="1"/>
      <c r="E296" s="1"/>
      <c r="F296" s="126"/>
      <c r="G296" s="126"/>
      <c r="H296" s="118"/>
      <c r="I296" s="119"/>
      <c r="J296" s="120"/>
      <c r="K296" s="121"/>
      <c r="L296" s="121"/>
      <c r="M296" s="121"/>
      <c r="N296" s="121"/>
      <c r="O296" s="121"/>
      <c r="P296" s="122"/>
      <c r="Q296" s="121"/>
    </row>
    <row r="297" spans="1:17" ht="12.75" customHeight="1" x14ac:dyDescent="0.2">
      <c r="A297" s="124"/>
      <c r="B297" s="126"/>
      <c r="C297" s="126"/>
      <c r="D297" s="1"/>
      <c r="E297" s="1"/>
      <c r="F297" s="126"/>
      <c r="G297" s="126"/>
      <c r="H297" s="118"/>
      <c r="I297" s="119"/>
      <c r="J297" s="120"/>
      <c r="K297" s="121"/>
      <c r="L297" s="121"/>
      <c r="M297" s="121"/>
      <c r="N297" s="121"/>
      <c r="O297" s="121"/>
      <c r="P297" s="122"/>
      <c r="Q297" s="121"/>
    </row>
    <row r="298" spans="1:17" ht="12.75" customHeight="1" x14ac:dyDescent="0.2">
      <c r="A298" s="124"/>
      <c r="B298" s="126"/>
      <c r="C298" s="126"/>
      <c r="D298" s="1"/>
      <c r="E298" s="1"/>
      <c r="F298" s="126"/>
      <c r="G298" s="126"/>
      <c r="H298" s="118"/>
      <c r="I298" s="119"/>
      <c r="J298" s="120"/>
      <c r="K298" s="121"/>
      <c r="L298" s="121"/>
      <c r="M298" s="121"/>
      <c r="N298" s="121"/>
      <c r="O298" s="121"/>
      <c r="P298" s="122"/>
      <c r="Q298" s="121"/>
    </row>
    <row r="299" spans="1:17" ht="12.75" customHeight="1" x14ac:dyDescent="0.2">
      <c r="A299" s="124"/>
      <c r="B299" s="126"/>
      <c r="C299" s="126"/>
      <c r="D299" s="1"/>
      <c r="E299" s="1"/>
      <c r="F299" s="126"/>
      <c r="G299" s="126"/>
      <c r="H299" s="118"/>
      <c r="I299" s="119"/>
      <c r="J299" s="120"/>
      <c r="K299" s="121"/>
      <c r="L299" s="121"/>
      <c r="M299" s="121"/>
      <c r="N299" s="121"/>
      <c r="O299" s="121"/>
      <c r="P299" s="122"/>
      <c r="Q299" s="121"/>
    </row>
    <row r="300" spans="1:17" ht="12.75" customHeight="1" x14ac:dyDescent="0.2">
      <c r="A300" s="124"/>
      <c r="B300" s="126"/>
      <c r="C300" s="126"/>
      <c r="D300" s="1"/>
      <c r="E300" s="1"/>
      <c r="F300" s="126"/>
      <c r="G300" s="126"/>
      <c r="H300" s="118"/>
      <c r="I300" s="119"/>
      <c r="J300" s="120"/>
      <c r="K300" s="121"/>
      <c r="L300" s="121"/>
      <c r="M300" s="121"/>
      <c r="N300" s="121"/>
      <c r="O300" s="121"/>
      <c r="P300" s="122"/>
      <c r="Q300" s="121"/>
    </row>
    <row r="301" spans="1:17" ht="12.75" customHeight="1" x14ac:dyDescent="0.2">
      <c r="A301" s="124"/>
      <c r="B301" s="126"/>
      <c r="C301" s="126"/>
      <c r="D301" s="1"/>
      <c r="E301" s="1"/>
      <c r="F301" s="126"/>
      <c r="G301" s="126"/>
      <c r="H301" s="118"/>
      <c r="I301" s="119"/>
      <c r="J301" s="120"/>
      <c r="K301" s="121"/>
      <c r="L301" s="121"/>
      <c r="M301" s="121"/>
      <c r="N301" s="121"/>
      <c r="O301" s="121"/>
      <c r="P301" s="122"/>
      <c r="Q301" s="121"/>
    </row>
    <row r="302" spans="1:17" ht="12.75" customHeight="1" x14ac:dyDescent="0.2">
      <c r="A302" s="124"/>
      <c r="B302" s="126"/>
      <c r="C302" s="126"/>
      <c r="D302" s="1"/>
      <c r="E302" s="1"/>
      <c r="F302" s="126"/>
      <c r="G302" s="126"/>
      <c r="H302" s="118"/>
      <c r="I302" s="119"/>
      <c r="J302" s="120"/>
      <c r="K302" s="121"/>
      <c r="L302" s="121"/>
      <c r="M302" s="121"/>
      <c r="N302" s="121"/>
      <c r="O302" s="121"/>
      <c r="P302" s="122"/>
      <c r="Q302" s="121"/>
    </row>
    <row r="303" spans="1:17" ht="12.75" customHeight="1" x14ac:dyDescent="0.2">
      <c r="A303" s="124"/>
      <c r="B303" s="126"/>
      <c r="C303" s="126"/>
      <c r="D303" s="1"/>
      <c r="E303" s="1"/>
      <c r="F303" s="126"/>
      <c r="G303" s="126"/>
      <c r="H303" s="118"/>
      <c r="I303" s="119"/>
      <c r="J303" s="120"/>
      <c r="K303" s="121"/>
      <c r="L303" s="121"/>
      <c r="M303" s="121"/>
      <c r="N303" s="121"/>
      <c r="O303" s="121"/>
      <c r="P303" s="122"/>
      <c r="Q303" s="121"/>
    </row>
    <row r="304" spans="1:17" ht="12.75" customHeight="1" x14ac:dyDescent="0.2">
      <c r="A304" s="124"/>
      <c r="B304" s="126"/>
      <c r="C304" s="126"/>
      <c r="D304" s="1"/>
      <c r="E304" s="1"/>
      <c r="F304" s="126"/>
      <c r="G304" s="126"/>
      <c r="H304" s="118"/>
      <c r="I304" s="119"/>
      <c r="J304" s="120"/>
      <c r="K304" s="121"/>
      <c r="L304" s="121"/>
      <c r="M304" s="121"/>
      <c r="N304" s="121"/>
      <c r="O304" s="121"/>
      <c r="P304" s="122"/>
      <c r="Q304" s="121"/>
    </row>
    <row r="305" spans="1:17" ht="12.75" customHeight="1" x14ac:dyDescent="0.2">
      <c r="A305" s="124"/>
      <c r="B305" s="126"/>
      <c r="C305" s="126"/>
      <c r="D305" s="1"/>
      <c r="E305" s="1"/>
      <c r="F305" s="126"/>
      <c r="G305" s="126"/>
      <c r="H305" s="118"/>
      <c r="I305" s="119"/>
      <c r="J305" s="120"/>
      <c r="K305" s="121"/>
      <c r="L305" s="121"/>
      <c r="M305" s="121"/>
      <c r="N305" s="121"/>
      <c r="O305" s="121"/>
      <c r="P305" s="122"/>
      <c r="Q305" s="121"/>
    </row>
    <row r="306" spans="1:17" ht="12.75" customHeight="1" x14ac:dyDescent="0.2">
      <c r="A306" s="124"/>
      <c r="B306" s="126"/>
      <c r="C306" s="126"/>
      <c r="D306" s="1"/>
      <c r="E306" s="1"/>
      <c r="F306" s="126"/>
      <c r="G306" s="126"/>
      <c r="H306" s="118"/>
      <c r="I306" s="119"/>
      <c r="J306" s="120"/>
      <c r="K306" s="121"/>
      <c r="L306" s="121"/>
      <c r="M306" s="121"/>
      <c r="N306" s="121"/>
      <c r="O306" s="121"/>
      <c r="P306" s="122"/>
      <c r="Q306" s="121"/>
    </row>
    <row r="307" spans="1:17" ht="12.75" customHeight="1" x14ac:dyDescent="0.2">
      <c r="A307" s="124"/>
      <c r="B307" s="126"/>
      <c r="C307" s="126"/>
      <c r="D307" s="1"/>
      <c r="E307" s="1"/>
      <c r="F307" s="126"/>
      <c r="G307" s="126"/>
      <c r="H307" s="118"/>
      <c r="I307" s="119"/>
      <c r="J307" s="120"/>
      <c r="K307" s="121"/>
      <c r="L307" s="121"/>
      <c r="M307" s="121"/>
      <c r="N307" s="121"/>
      <c r="O307" s="121"/>
      <c r="P307" s="122"/>
      <c r="Q307" s="121"/>
    </row>
    <row r="308" spans="1:17" ht="12.75" customHeight="1" x14ac:dyDescent="0.2">
      <c r="A308" s="124"/>
      <c r="B308" s="126"/>
      <c r="C308" s="126"/>
      <c r="D308" s="1"/>
      <c r="E308" s="1"/>
      <c r="F308" s="126"/>
      <c r="G308" s="126"/>
      <c r="H308" s="118"/>
      <c r="I308" s="119"/>
      <c r="J308" s="120"/>
      <c r="K308" s="121"/>
      <c r="L308" s="121"/>
      <c r="M308" s="121"/>
      <c r="N308" s="121"/>
      <c r="O308" s="121"/>
      <c r="P308" s="122"/>
      <c r="Q308" s="121"/>
    </row>
    <row r="309" spans="1:17" ht="12.75" customHeight="1" x14ac:dyDescent="0.2">
      <c r="A309" s="124"/>
      <c r="B309" s="126"/>
      <c r="C309" s="126"/>
      <c r="D309" s="1"/>
      <c r="E309" s="1"/>
      <c r="F309" s="126"/>
      <c r="G309" s="126"/>
      <c r="H309" s="118"/>
      <c r="I309" s="119"/>
      <c r="J309" s="120"/>
      <c r="K309" s="121"/>
      <c r="L309" s="121"/>
      <c r="M309" s="121"/>
      <c r="N309" s="121"/>
      <c r="O309" s="121"/>
      <c r="P309" s="122"/>
      <c r="Q309" s="121"/>
    </row>
    <row r="310" spans="1:17" ht="12.75" customHeight="1" x14ac:dyDescent="0.2">
      <c r="A310" s="124"/>
      <c r="B310" s="126"/>
      <c r="C310" s="126"/>
      <c r="D310" s="1"/>
      <c r="E310" s="1"/>
      <c r="F310" s="126"/>
      <c r="G310" s="126"/>
      <c r="H310" s="118"/>
      <c r="I310" s="119"/>
      <c r="J310" s="120"/>
      <c r="K310" s="121"/>
      <c r="L310" s="121"/>
      <c r="M310" s="121"/>
      <c r="N310" s="121"/>
      <c r="O310" s="121"/>
      <c r="P310" s="122"/>
      <c r="Q310" s="121"/>
    </row>
    <row r="311" spans="1:17" ht="12.75" customHeight="1" x14ac:dyDescent="0.2">
      <c r="A311" s="124"/>
      <c r="B311" s="126"/>
      <c r="C311" s="126"/>
      <c r="D311" s="1"/>
      <c r="E311" s="1"/>
      <c r="F311" s="126"/>
      <c r="G311" s="126"/>
      <c r="H311" s="118"/>
      <c r="I311" s="119"/>
      <c r="J311" s="120"/>
      <c r="K311" s="121"/>
      <c r="L311" s="121"/>
      <c r="M311" s="121"/>
      <c r="N311" s="121"/>
      <c r="O311" s="121"/>
      <c r="P311" s="122"/>
      <c r="Q311" s="121"/>
    </row>
    <row r="312" spans="1:17" ht="12.75" customHeight="1" x14ac:dyDescent="0.2">
      <c r="A312" s="124"/>
      <c r="B312" s="126"/>
      <c r="C312" s="126"/>
      <c r="D312" s="1"/>
      <c r="E312" s="1"/>
      <c r="F312" s="126"/>
      <c r="G312" s="126"/>
      <c r="H312" s="118"/>
      <c r="I312" s="119"/>
      <c r="J312" s="120"/>
      <c r="K312" s="121"/>
      <c r="L312" s="121"/>
      <c r="M312" s="121"/>
      <c r="N312" s="121"/>
      <c r="O312" s="121"/>
      <c r="P312" s="122"/>
      <c r="Q312" s="121"/>
    </row>
    <row r="313" spans="1:17" ht="12.75" customHeight="1" x14ac:dyDescent="0.2">
      <c r="A313" s="124"/>
      <c r="B313" s="126"/>
      <c r="C313" s="126"/>
      <c r="D313" s="1"/>
      <c r="E313" s="1"/>
      <c r="F313" s="126"/>
      <c r="G313" s="126"/>
      <c r="H313" s="118"/>
      <c r="I313" s="119"/>
      <c r="J313" s="120"/>
      <c r="K313" s="121"/>
      <c r="L313" s="121"/>
      <c r="M313" s="121"/>
      <c r="N313" s="121"/>
      <c r="O313" s="121"/>
      <c r="P313" s="122"/>
      <c r="Q313" s="121"/>
    </row>
    <row r="314" spans="1:17" ht="12.75" customHeight="1" x14ac:dyDescent="0.2">
      <c r="A314" s="124"/>
      <c r="B314" s="126"/>
      <c r="C314" s="126"/>
      <c r="D314" s="1"/>
      <c r="E314" s="1"/>
      <c r="F314" s="126"/>
      <c r="G314" s="126"/>
      <c r="H314" s="118"/>
      <c r="I314" s="119"/>
      <c r="J314" s="120"/>
      <c r="K314" s="121"/>
      <c r="L314" s="121"/>
      <c r="M314" s="121"/>
      <c r="N314" s="121"/>
      <c r="O314" s="121"/>
      <c r="P314" s="122"/>
      <c r="Q314" s="121"/>
    </row>
    <row r="315" spans="1:17" ht="12.75" customHeight="1" x14ac:dyDescent="0.2">
      <c r="A315" s="124"/>
      <c r="B315" s="126"/>
      <c r="C315" s="126"/>
      <c r="D315" s="1"/>
      <c r="E315" s="1"/>
      <c r="F315" s="126"/>
      <c r="G315" s="126"/>
      <c r="H315" s="118"/>
      <c r="I315" s="119"/>
      <c r="J315" s="120"/>
      <c r="K315" s="121"/>
      <c r="L315" s="121"/>
      <c r="M315" s="121"/>
      <c r="N315" s="121"/>
      <c r="O315" s="121"/>
      <c r="P315" s="122"/>
      <c r="Q315" s="121"/>
    </row>
    <row r="316" spans="1:17" ht="12.75" customHeight="1" x14ac:dyDescent="0.2">
      <c r="A316" s="124"/>
      <c r="B316" s="126"/>
      <c r="C316" s="126"/>
      <c r="D316" s="1"/>
      <c r="E316" s="1"/>
      <c r="F316" s="126"/>
      <c r="G316" s="126"/>
      <c r="H316" s="118"/>
      <c r="I316" s="119"/>
      <c r="J316" s="120"/>
      <c r="K316" s="121"/>
      <c r="L316" s="121"/>
      <c r="M316" s="121"/>
      <c r="N316" s="121"/>
      <c r="O316" s="121"/>
      <c r="P316" s="122"/>
      <c r="Q316" s="121"/>
    </row>
    <row r="317" spans="1:17" ht="12.75" customHeight="1" x14ac:dyDescent="0.2">
      <c r="A317" s="124"/>
      <c r="B317" s="126"/>
      <c r="C317" s="126"/>
      <c r="D317" s="1"/>
      <c r="E317" s="1"/>
      <c r="F317" s="126"/>
      <c r="G317" s="126"/>
      <c r="H317" s="118"/>
      <c r="I317" s="119"/>
      <c r="J317" s="120"/>
      <c r="K317" s="121"/>
      <c r="L317" s="121"/>
      <c r="M317" s="121"/>
      <c r="N317" s="121"/>
      <c r="O317" s="121"/>
      <c r="P317" s="122"/>
      <c r="Q317" s="121"/>
    </row>
    <row r="318" spans="1:17" ht="12.75" customHeight="1" x14ac:dyDescent="0.2">
      <c r="A318" s="124"/>
      <c r="B318" s="126"/>
      <c r="C318" s="126"/>
      <c r="D318" s="1"/>
      <c r="E318" s="1"/>
      <c r="F318" s="126"/>
      <c r="G318" s="126"/>
      <c r="H318" s="118"/>
      <c r="I318" s="119"/>
      <c r="J318" s="120"/>
      <c r="K318" s="121"/>
      <c r="L318" s="121"/>
      <c r="M318" s="121"/>
      <c r="N318" s="121"/>
      <c r="O318" s="121"/>
      <c r="P318" s="122"/>
      <c r="Q318" s="121"/>
    </row>
    <row r="319" spans="1:17" ht="12.75" customHeight="1" x14ac:dyDescent="0.2">
      <c r="A319" s="124"/>
      <c r="B319" s="126"/>
      <c r="C319" s="126"/>
      <c r="D319" s="1"/>
      <c r="E319" s="1"/>
      <c r="F319" s="126"/>
      <c r="G319" s="126"/>
      <c r="H319" s="118"/>
      <c r="I319" s="119"/>
      <c r="J319" s="120"/>
      <c r="K319" s="121"/>
      <c r="L319" s="121"/>
      <c r="M319" s="121"/>
      <c r="N319" s="121"/>
      <c r="O319" s="121"/>
      <c r="P319" s="122"/>
      <c r="Q319" s="121"/>
    </row>
    <row r="320" spans="1:17" ht="12.75" customHeight="1" x14ac:dyDescent="0.2">
      <c r="A320" s="124"/>
      <c r="B320" s="126"/>
      <c r="C320" s="126"/>
      <c r="D320" s="1"/>
      <c r="E320" s="1"/>
      <c r="F320" s="126"/>
      <c r="G320" s="126"/>
      <c r="H320" s="118"/>
      <c r="I320" s="119"/>
      <c r="J320" s="120"/>
      <c r="K320" s="121"/>
      <c r="L320" s="121"/>
      <c r="M320" s="121"/>
      <c r="N320" s="121"/>
      <c r="O320" s="121"/>
      <c r="P320" s="122"/>
      <c r="Q320" s="121"/>
    </row>
    <row r="321" spans="1:17" ht="12.75" customHeight="1" x14ac:dyDescent="0.2">
      <c r="A321" s="124"/>
      <c r="B321" s="126"/>
      <c r="C321" s="126"/>
      <c r="D321" s="1"/>
      <c r="E321" s="1"/>
      <c r="F321" s="126"/>
      <c r="G321" s="126"/>
      <c r="H321" s="118"/>
      <c r="I321" s="119"/>
      <c r="J321" s="120"/>
      <c r="K321" s="121"/>
      <c r="L321" s="121"/>
      <c r="M321" s="121"/>
      <c r="N321" s="121"/>
      <c r="O321" s="121"/>
      <c r="P321" s="122"/>
      <c r="Q321" s="121"/>
    </row>
    <row r="322" spans="1:17" ht="12.75" customHeight="1" x14ac:dyDescent="0.2">
      <c r="A322" s="124"/>
      <c r="B322" s="126"/>
      <c r="C322" s="126"/>
      <c r="D322" s="1"/>
      <c r="E322" s="1"/>
      <c r="F322" s="126"/>
      <c r="G322" s="126"/>
      <c r="H322" s="118"/>
      <c r="I322" s="119"/>
      <c r="J322" s="120"/>
      <c r="K322" s="121"/>
      <c r="L322" s="121"/>
      <c r="M322" s="121"/>
      <c r="N322" s="121"/>
      <c r="O322" s="121"/>
      <c r="P322" s="122"/>
      <c r="Q322" s="121"/>
    </row>
    <row r="323" spans="1:17" ht="12.75" customHeight="1" x14ac:dyDescent="0.2">
      <c r="A323" s="124"/>
      <c r="B323" s="126"/>
      <c r="C323" s="126"/>
      <c r="D323" s="1"/>
      <c r="E323" s="1"/>
      <c r="F323" s="126"/>
      <c r="G323" s="126"/>
      <c r="H323" s="118"/>
      <c r="I323" s="119"/>
      <c r="J323" s="120"/>
      <c r="K323" s="121"/>
      <c r="L323" s="121"/>
      <c r="M323" s="121"/>
      <c r="N323" s="121"/>
      <c r="O323" s="121"/>
      <c r="P323" s="122"/>
      <c r="Q323" s="121"/>
    </row>
    <row r="324" spans="1:17" ht="12.75" customHeight="1" x14ac:dyDescent="0.2">
      <c r="A324" s="124"/>
      <c r="B324" s="126"/>
      <c r="C324" s="126"/>
      <c r="D324" s="1"/>
      <c r="E324" s="1"/>
      <c r="F324" s="126"/>
      <c r="G324" s="126"/>
      <c r="H324" s="118"/>
      <c r="I324" s="119"/>
      <c r="J324" s="120"/>
      <c r="K324" s="121"/>
      <c r="L324" s="121"/>
      <c r="M324" s="121"/>
      <c r="N324" s="121"/>
      <c r="O324" s="121"/>
      <c r="P324" s="122"/>
      <c r="Q324" s="121"/>
    </row>
    <row r="325" spans="1:17" ht="12.75" customHeight="1" x14ac:dyDescent="0.2">
      <c r="A325" s="124"/>
      <c r="B325" s="126"/>
      <c r="C325" s="126"/>
      <c r="D325" s="1"/>
      <c r="E325" s="1"/>
      <c r="F325" s="126"/>
      <c r="G325" s="126"/>
      <c r="H325" s="118"/>
      <c r="I325" s="119"/>
      <c r="J325" s="120"/>
      <c r="K325" s="121"/>
      <c r="L325" s="121"/>
      <c r="M325" s="121"/>
      <c r="N325" s="121"/>
      <c r="O325" s="121"/>
      <c r="P325" s="122"/>
      <c r="Q325" s="121"/>
    </row>
    <row r="326" spans="1:17" ht="12.75" customHeight="1" x14ac:dyDescent="0.2">
      <c r="A326" s="124"/>
      <c r="B326" s="126"/>
      <c r="C326" s="126"/>
      <c r="D326" s="1"/>
      <c r="E326" s="1"/>
      <c r="F326" s="126"/>
      <c r="G326" s="126"/>
      <c r="H326" s="118"/>
      <c r="I326" s="119"/>
      <c r="J326" s="120"/>
      <c r="K326" s="121"/>
      <c r="L326" s="121"/>
      <c r="M326" s="121"/>
      <c r="N326" s="121"/>
      <c r="O326" s="121"/>
      <c r="P326" s="122"/>
      <c r="Q326" s="121"/>
    </row>
    <row r="327" spans="1:17" ht="12.75" customHeight="1" x14ac:dyDescent="0.2">
      <c r="A327" s="124"/>
      <c r="B327" s="126"/>
      <c r="C327" s="126"/>
      <c r="D327" s="1"/>
      <c r="E327" s="1"/>
      <c r="F327" s="126"/>
      <c r="G327" s="126"/>
      <c r="H327" s="118"/>
      <c r="I327" s="119"/>
      <c r="J327" s="120"/>
      <c r="K327" s="121"/>
      <c r="L327" s="121"/>
      <c r="M327" s="121"/>
      <c r="N327" s="121"/>
      <c r="O327" s="121"/>
      <c r="P327" s="122"/>
      <c r="Q327" s="121"/>
    </row>
    <row r="328" spans="1:17" ht="12.75" customHeight="1" x14ac:dyDescent="0.2">
      <c r="A328" s="124"/>
      <c r="B328" s="126"/>
      <c r="C328" s="126"/>
      <c r="D328" s="1"/>
      <c r="E328" s="1"/>
      <c r="F328" s="126"/>
      <c r="G328" s="126"/>
      <c r="H328" s="118"/>
      <c r="I328" s="119"/>
      <c r="J328" s="120"/>
      <c r="K328" s="121"/>
      <c r="L328" s="121"/>
      <c r="M328" s="121"/>
      <c r="N328" s="121"/>
      <c r="O328" s="121"/>
      <c r="P328" s="122"/>
      <c r="Q328" s="121"/>
    </row>
    <row r="329" spans="1:17" ht="12.75" customHeight="1" x14ac:dyDescent="0.2">
      <c r="A329" s="124"/>
      <c r="B329" s="126"/>
      <c r="C329" s="126"/>
      <c r="D329" s="1"/>
      <c r="E329" s="1"/>
      <c r="F329" s="126"/>
      <c r="G329" s="126"/>
      <c r="H329" s="118"/>
      <c r="I329" s="119"/>
      <c r="J329" s="120"/>
      <c r="K329" s="121"/>
      <c r="L329" s="121"/>
      <c r="M329" s="121"/>
      <c r="N329" s="121"/>
      <c r="O329" s="121"/>
      <c r="P329" s="122"/>
      <c r="Q329" s="121"/>
    </row>
    <row r="330" spans="1:17" ht="12.75" customHeight="1" x14ac:dyDescent="0.2">
      <c r="A330" s="124"/>
      <c r="B330" s="126"/>
      <c r="C330" s="126"/>
      <c r="D330" s="1"/>
      <c r="E330" s="1"/>
      <c r="F330" s="126"/>
      <c r="G330" s="126"/>
      <c r="H330" s="118"/>
      <c r="I330" s="119"/>
      <c r="J330" s="120"/>
      <c r="K330" s="121"/>
      <c r="L330" s="121"/>
      <c r="M330" s="121"/>
      <c r="N330" s="121"/>
      <c r="O330" s="121"/>
      <c r="P330" s="122"/>
      <c r="Q330" s="121"/>
    </row>
    <row r="331" spans="1:17" ht="12.75" customHeight="1" x14ac:dyDescent="0.2">
      <c r="A331" s="124"/>
      <c r="B331" s="126"/>
      <c r="C331" s="126"/>
      <c r="D331" s="1"/>
      <c r="E331" s="1"/>
      <c r="F331" s="126"/>
      <c r="G331" s="126"/>
      <c r="H331" s="118"/>
      <c r="I331" s="119"/>
      <c r="J331" s="120"/>
      <c r="K331" s="121"/>
      <c r="L331" s="121"/>
      <c r="M331" s="121"/>
      <c r="N331" s="121"/>
      <c r="O331" s="121"/>
      <c r="P331" s="122"/>
      <c r="Q331" s="121"/>
    </row>
    <row r="332" spans="1:17" ht="12.75" customHeight="1" x14ac:dyDescent="0.2">
      <c r="A332" s="124"/>
      <c r="B332" s="126"/>
      <c r="C332" s="126"/>
      <c r="D332" s="1"/>
      <c r="E332" s="1"/>
      <c r="F332" s="126"/>
      <c r="G332" s="126"/>
      <c r="H332" s="118"/>
      <c r="I332" s="119"/>
      <c r="J332" s="120"/>
      <c r="K332" s="121"/>
      <c r="L332" s="121"/>
      <c r="M332" s="121"/>
      <c r="N332" s="121"/>
      <c r="O332" s="121"/>
      <c r="P332" s="122"/>
      <c r="Q332" s="121"/>
    </row>
    <row r="333" spans="1:17" ht="12.75" customHeight="1" x14ac:dyDescent="0.2">
      <c r="A333" s="124"/>
      <c r="B333" s="126"/>
      <c r="C333" s="126"/>
      <c r="D333" s="1"/>
      <c r="E333" s="1"/>
      <c r="F333" s="126"/>
      <c r="G333" s="126"/>
      <c r="H333" s="118"/>
      <c r="I333" s="119"/>
      <c r="J333" s="120"/>
      <c r="K333" s="121"/>
      <c r="L333" s="121"/>
      <c r="M333" s="121"/>
      <c r="N333" s="121"/>
      <c r="O333" s="121"/>
      <c r="P333" s="122"/>
      <c r="Q333" s="121"/>
    </row>
    <row r="334" spans="1:17" ht="12.75" customHeight="1" x14ac:dyDescent="0.2">
      <c r="A334" s="124"/>
      <c r="B334" s="126"/>
      <c r="C334" s="126"/>
      <c r="D334" s="1"/>
      <c r="E334" s="1"/>
      <c r="F334" s="126"/>
      <c r="G334" s="126"/>
      <c r="H334" s="118"/>
      <c r="I334" s="119"/>
      <c r="J334" s="120"/>
      <c r="K334" s="121"/>
      <c r="L334" s="121"/>
      <c r="M334" s="121"/>
      <c r="N334" s="121"/>
      <c r="O334" s="121"/>
      <c r="P334" s="122"/>
      <c r="Q334" s="121"/>
    </row>
    <row r="335" spans="1:17" ht="12.75" customHeight="1" x14ac:dyDescent="0.2">
      <c r="A335" s="124"/>
      <c r="B335" s="126"/>
      <c r="C335" s="126"/>
      <c r="D335" s="1"/>
      <c r="E335" s="1"/>
      <c r="F335" s="126"/>
      <c r="G335" s="126"/>
      <c r="H335" s="118"/>
      <c r="I335" s="119"/>
      <c r="J335" s="120"/>
      <c r="K335" s="121"/>
      <c r="L335" s="121"/>
      <c r="M335" s="121"/>
      <c r="N335" s="121"/>
      <c r="O335" s="121"/>
      <c r="P335" s="122"/>
      <c r="Q335" s="121"/>
    </row>
    <row r="336" spans="1:17" ht="12.75" customHeight="1" x14ac:dyDescent="0.2">
      <c r="A336" s="124"/>
      <c r="B336" s="126"/>
      <c r="C336" s="126"/>
      <c r="D336" s="1"/>
      <c r="E336" s="1"/>
      <c r="F336" s="126"/>
      <c r="G336" s="126"/>
      <c r="H336" s="118"/>
      <c r="I336" s="119"/>
      <c r="J336" s="120"/>
      <c r="K336" s="121"/>
      <c r="L336" s="121"/>
      <c r="M336" s="121"/>
      <c r="N336" s="121"/>
      <c r="O336" s="121"/>
      <c r="P336" s="122"/>
      <c r="Q336" s="121"/>
    </row>
    <row r="337" spans="1:17" ht="12.75" customHeight="1" x14ac:dyDescent="0.2">
      <c r="A337" s="124"/>
      <c r="B337" s="126"/>
      <c r="C337" s="126"/>
      <c r="D337" s="1"/>
      <c r="E337" s="1"/>
      <c r="F337" s="126"/>
      <c r="G337" s="126"/>
      <c r="H337" s="118"/>
      <c r="I337" s="119"/>
      <c r="J337" s="120"/>
      <c r="K337" s="121"/>
      <c r="L337" s="121"/>
      <c r="M337" s="121"/>
      <c r="N337" s="121"/>
      <c r="O337" s="121"/>
      <c r="P337" s="122"/>
      <c r="Q337" s="121"/>
    </row>
    <row r="338" spans="1:17" ht="12.75" customHeight="1" x14ac:dyDescent="0.2">
      <c r="A338" s="124"/>
      <c r="B338" s="126"/>
      <c r="C338" s="126"/>
      <c r="D338" s="1"/>
      <c r="E338" s="1"/>
      <c r="F338" s="126"/>
      <c r="G338" s="126"/>
      <c r="H338" s="118"/>
      <c r="I338" s="119"/>
      <c r="J338" s="120"/>
      <c r="K338" s="121"/>
      <c r="L338" s="121"/>
      <c r="M338" s="121"/>
      <c r="N338" s="121"/>
      <c r="O338" s="121"/>
      <c r="P338" s="122"/>
      <c r="Q338" s="121"/>
    </row>
    <row r="339" spans="1:17" ht="12.75" customHeight="1" x14ac:dyDescent="0.2">
      <c r="A339" s="124"/>
      <c r="B339" s="126"/>
      <c r="C339" s="126"/>
      <c r="D339" s="1"/>
      <c r="E339" s="1"/>
      <c r="F339" s="126"/>
      <c r="G339" s="126"/>
      <c r="H339" s="118"/>
      <c r="I339" s="119"/>
      <c r="J339" s="120"/>
      <c r="K339" s="121"/>
      <c r="L339" s="121"/>
      <c r="M339" s="121"/>
      <c r="N339" s="121"/>
      <c r="O339" s="121"/>
      <c r="P339" s="122"/>
      <c r="Q339" s="121"/>
    </row>
    <row r="340" spans="1:17" ht="12.75" customHeight="1" x14ac:dyDescent="0.2">
      <c r="A340" s="124"/>
      <c r="B340" s="126"/>
      <c r="C340" s="126"/>
      <c r="D340" s="1"/>
      <c r="E340" s="1"/>
      <c r="F340" s="126"/>
      <c r="G340" s="126"/>
      <c r="H340" s="118"/>
      <c r="I340" s="119"/>
      <c r="J340" s="120"/>
      <c r="K340" s="121"/>
      <c r="L340" s="121"/>
      <c r="M340" s="121"/>
      <c r="N340" s="121"/>
      <c r="O340" s="121"/>
      <c r="P340" s="122"/>
      <c r="Q340" s="121"/>
    </row>
    <row r="341" spans="1:17" ht="12.75" customHeight="1" x14ac:dyDescent="0.2">
      <c r="A341" s="124"/>
      <c r="B341" s="126"/>
      <c r="C341" s="126"/>
      <c r="D341" s="1"/>
      <c r="E341" s="1"/>
      <c r="F341" s="126"/>
      <c r="G341" s="126"/>
      <c r="H341" s="118"/>
      <c r="I341" s="119"/>
      <c r="J341" s="120"/>
      <c r="K341" s="121"/>
      <c r="L341" s="121"/>
      <c r="M341" s="121"/>
      <c r="N341" s="121"/>
      <c r="O341" s="121"/>
      <c r="P341" s="122"/>
      <c r="Q341" s="121"/>
    </row>
    <row r="342" spans="1:17" ht="12.75" customHeight="1" x14ac:dyDescent="0.2">
      <c r="A342" s="124"/>
      <c r="B342" s="126"/>
      <c r="C342" s="126"/>
      <c r="D342" s="1"/>
      <c r="E342" s="1"/>
      <c r="F342" s="126"/>
      <c r="G342" s="126"/>
      <c r="H342" s="118"/>
      <c r="I342" s="119"/>
      <c r="J342" s="120"/>
      <c r="K342" s="121"/>
      <c r="L342" s="121"/>
      <c r="M342" s="121"/>
      <c r="N342" s="121"/>
      <c r="O342" s="121"/>
      <c r="P342" s="122"/>
      <c r="Q342" s="121"/>
    </row>
    <row r="343" spans="1:17" ht="12.75" customHeight="1" x14ac:dyDescent="0.2">
      <c r="A343" s="124"/>
      <c r="B343" s="126"/>
      <c r="C343" s="126"/>
      <c r="D343" s="1"/>
      <c r="E343" s="1"/>
      <c r="F343" s="126"/>
      <c r="G343" s="126"/>
      <c r="H343" s="118"/>
      <c r="I343" s="119"/>
      <c r="J343" s="120"/>
      <c r="K343" s="121"/>
      <c r="L343" s="121"/>
      <c r="M343" s="121"/>
      <c r="N343" s="121"/>
      <c r="O343" s="121"/>
      <c r="P343" s="122"/>
      <c r="Q343" s="121"/>
    </row>
    <row r="344" spans="1:17" ht="12.75" customHeight="1" x14ac:dyDescent="0.2">
      <c r="A344" s="124"/>
      <c r="B344" s="126"/>
      <c r="C344" s="126"/>
      <c r="D344" s="1"/>
      <c r="E344" s="1"/>
      <c r="F344" s="126"/>
      <c r="G344" s="126"/>
      <c r="H344" s="118"/>
      <c r="I344" s="119"/>
      <c r="J344" s="120"/>
      <c r="K344" s="121"/>
      <c r="L344" s="121"/>
      <c r="M344" s="121"/>
      <c r="N344" s="121"/>
      <c r="O344" s="121"/>
      <c r="P344" s="122"/>
      <c r="Q344" s="121"/>
    </row>
    <row r="345" spans="1:17" ht="12.75" customHeight="1" x14ac:dyDescent="0.2">
      <c r="A345" s="124"/>
      <c r="B345" s="126"/>
      <c r="C345" s="126"/>
      <c r="D345" s="1"/>
      <c r="E345" s="1"/>
      <c r="F345" s="126"/>
      <c r="G345" s="126"/>
      <c r="H345" s="118"/>
      <c r="I345" s="119"/>
      <c r="J345" s="120"/>
      <c r="K345" s="121"/>
      <c r="L345" s="121"/>
      <c r="M345" s="121"/>
      <c r="N345" s="121"/>
      <c r="O345" s="121"/>
      <c r="P345" s="122"/>
      <c r="Q345" s="121"/>
    </row>
    <row r="346" spans="1:17" ht="12.75" customHeight="1" x14ac:dyDescent="0.2">
      <c r="A346" s="124"/>
      <c r="B346" s="126"/>
      <c r="C346" s="126"/>
      <c r="D346" s="1"/>
      <c r="E346" s="1"/>
      <c r="F346" s="126"/>
      <c r="G346" s="126"/>
      <c r="H346" s="118"/>
      <c r="I346" s="119"/>
      <c r="J346" s="120"/>
      <c r="K346" s="121"/>
      <c r="L346" s="121"/>
      <c r="M346" s="121"/>
      <c r="N346" s="121"/>
      <c r="O346" s="121"/>
      <c r="P346" s="122"/>
      <c r="Q346" s="121"/>
    </row>
    <row r="347" spans="1:17" ht="12.75" customHeight="1" x14ac:dyDescent="0.2">
      <c r="A347" s="124"/>
      <c r="B347" s="126"/>
      <c r="C347" s="126"/>
      <c r="D347" s="1"/>
      <c r="E347" s="1"/>
      <c r="F347" s="126"/>
      <c r="G347" s="126"/>
      <c r="H347" s="118"/>
      <c r="I347" s="119"/>
      <c r="J347" s="120"/>
      <c r="K347" s="121"/>
      <c r="L347" s="121"/>
      <c r="M347" s="121"/>
      <c r="N347" s="121"/>
      <c r="O347" s="121"/>
      <c r="P347" s="122"/>
      <c r="Q347" s="121"/>
    </row>
    <row r="348" spans="1:17" ht="12.75" customHeight="1" x14ac:dyDescent="0.2">
      <c r="A348" s="124"/>
      <c r="B348" s="126"/>
      <c r="C348" s="126"/>
      <c r="D348" s="1"/>
      <c r="E348" s="1"/>
      <c r="F348" s="126"/>
      <c r="G348" s="126"/>
      <c r="H348" s="118"/>
      <c r="I348" s="119"/>
      <c r="J348" s="120"/>
      <c r="K348" s="121"/>
      <c r="L348" s="121"/>
      <c r="M348" s="121"/>
      <c r="N348" s="121"/>
      <c r="O348" s="121"/>
      <c r="P348" s="122"/>
      <c r="Q348" s="121"/>
    </row>
    <row r="349" spans="1:17" ht="12.75" customHeight="1" x14ac:dyDescent="0.2">
      <c r="A349" s="124"/>
      <c r="B349" s="126"/>
      <c r="C349" s="126"/>
      <c r="D349" s="1"/>
      <c r="E349" s="1"/>
      <c r="F349" s="126"/>
      <c r="G349" s="126"/>
      <c r="H349" s="118"/>
      <c r="I349" s="119"/>
      <c r="J349" s="120"/>
      <c r="K349" s="121"/>
      <c r="L349" s="121"/>
      <c r="M349" s="121"/>
      <c r="N349" s="121"/>
      <c r="O349" s="121"/>
      <c r="P349" s="122"/>
      <c r="Q349" s="121"/>
    </row>
    <row r="350" spans="1:17" ht="12.75" customHeight="1" x14ac:dyDescent="0.2">
      <c r="A350" s="124"/>
      <c r="B350" s="126"/>
      <c r="C350" s="126"/>
      <c r="D350" s="1"/>
      <c r="E350" s="1"/>
      <c r="F350" s="126"/>
      <c r="G350" s="126"/>
      <c r="H350" s="118"/>
      <c r="I350" s="119"/>
      <c r="J350" s="120"/>
      <c r="K350" s="121"/>
      <c r="L350" s="121"/>
      <c r="M350" s="121"/>
      <c r="N350" s="121"/>
      <c r="O350" s="121"/>
      <c r="P350" s="122"/>
      <c r="Q350" s="121"/>
    </row>
    <row r="351" spans="1:17" ht="12.75" customHeight="1" x14ac:dyDescent="0.2">
      <c r="A351" s="124"/>
      <c r="B351" s="126"/>
      <c r="C351" s="126"/>
      <c r="D351" s="1"/>
      <c r="E351" s="1"/>
      <c r="F351" s="126"/>
      <c r="G351" s="126"/>
      <c r="H351" s="118"/>
      <c r="I351" s="119"/>
      <c r="J351" s="120"/>
      <c r="K351" s="121"/>
      <c r="L351" s="121"/>
      <c r="M351" s="121"/>
      <c r="N351" s="121"/>
      <c r="O351" s="121"/>
      <c r="P351" s="122"/>
      <c r="Q351" s="121"/>
    </row>
    <row r="352" spans="1:17" ht="12.75" customHeight="1" x14ac:dyDescent="0.2">
      <c r="A352" s="124"/>
      <c r="B352" s="126"/>
      <c r="C352" s="126"/>
      <c r="D352" s="1"/>
      <c r="E352" s="1"/>
      <c r="F352" s="126"/>
      <c r="G352" s="126"/>
      <c r="H352" s="118"/>
      <c r="I352" s="119"/>
      <c r="J352" s="120"/>
      <c r="K352" s="121"/>
      <c r="L352" s="121"/>
      <c r="M352" s="121"/>
      <c r="N352" s="121"/>
      <c r="O352" s="121"/>
      <c r="P352" s="122"/>
      <c r="Q352" s="121"/>
    </row>
    <row r="353" spans="1:17" ht="12.75" customHeight="1" x14ac:dyDescent="0.2">
      <c r="A353" s="124"/>
      <c r="B353" s="126"/>
      <c r="C353" s="126"/>
      <c r="D353" s="1"/>
      <c r="E353" s="1"/>
      <c r="F353" s="126"/>
      <c r="G353" s="126"/>
      <c r="H353" s="118"/>
      <c r="I353" s="119"/>
      <c r="J353" s="120"/>
      <c r="K353" s="121"/>
      <c r="L353" s="121"/>
      <c r="M353" s="121"/>
      <c r="N353" s="121"/>
      <c r="O353" s="121"/>
      <c r="P353" s="122"/>
      <c r="Q353" s="121"/>
    </row>
    <row r="354" spans="1:17" ht="12.75" customHeight="1" x14ac:dyDescent="0.2">
      <c r="A354" s="124"/>
      <c r="B354" s="126"/>
      <c r="C354" s="126"/>
      <c r="D354" s="1"/>
      <c r="E354" s="1"/>
      <c r="F354" s="126"/>
      <c r="G354" s="126"/>
      <c r="H354" s="118"/>
      <c r="I354" s="119"/>
      <c r="J354" s="120"/>
      <c r="K354" s="121"/>
      <c r="L354" s="121"/>
      <c r="M354" s="121"/>
      <c r="N354" s="121"/>
      <c r="O354" s="121"/>
      <c r="P354" s="122"/>
      <c r="Q354" s="121"/>
    </row>
    <row r="355" spans="1:17" ht="12.75" customHeight="1" x14ac:dyDescent="0.2">
      <c r="A355" s="124"/>
      <c r="B355" s="126"/>
      <c r="C355" s="126"/>
      <c r="D355" s="1"/>
      <c r="E355" s="1"/>
      <c r="F355" s="126"/>
      <c r="G355" s="126"/>
      <c r="H355" s="118"/>
      <c r="I355" s="119"/>
      <c r="J355" s="120"/>
      <c r="K355" s="121"/>
      <c r="L355" s="121"/>
      <c r="M355" s="121"/>
      <c r="N355" s="121"/>
      <c r="O355" s="121"/>
      <c r="P355" s="122"/>
      <c r="Q355" s="121"/>
    </row>
    <row r="356" spans="1:17" ht="12.75" customHeight="1" x14ac:dyDescent="0.2">
      <c r="A356" s="124"/>
      <c r="B356" s="126"/>
      <c r="C356" s="126"/>
      <c r="D356" s="1"/>
      <c r="E356" s="1"/>
      <c r="F356" s="126"/>
      <c r="G356" s="126"/>
      <c r="H356" s="118"/>
      <c r="I356" s="119"/>
      <c r="J356" s="120"/>
      <c r="K356" s="121"/>
      <c r="L356" s="121"/>
      <c r="M356" s="121"/>
      <c r="N356" s="121"/>
      <c r="O356" s="121"/>
      <c r="P356" s="122"/>
      <c r="Q356" s="121"/>
    </row>
    <row r="357" spans="1:17" ht="12.75" customHeight="1" x14ac:dyDescent="0.2">
      <c r="A357" s="124"/>
      <c r="B357" s="126"/>
      <c r="C357" s="126"/>
      <c r="D357" s="1"/>
      <c r="E357" s="1"/>
      <c r="F357" s="126"/>
      <c r="G357" s="126"/>
      <c r="H357" s="118"/>
      <c r="I357" s="119"/>
      <c r="J357" s="120"/>
      <c r="K357" s="121"/>
      <c r="L357" s="121"/>
      <c r="M357" s="121"/>
      <c r="N357" s="121"/>
      <c r="O357" s="121"/>
      <c r="P357" s="122"/>
      <c r="Q357" s="121"/>
    </row>
    <row r="358" spans="1:17" ht="12.75" customHeight="1" x14ac:dyDescent="0.2">
      <c r="A358" s="124"/>
      <c r="B358" s="126"/>
      <c r="C358" s="126"/>
      <c r="D358" s="1"/>
      <c r="E358" s="1"/>
      <c r="F358" s="126"/>
      <c r="G358" s="126"/>
      <c r="H358" s="118"/>
      <c r="I358" s="119"/>
      <c r="J358" s="120"/>
      <c r="K358" s="121"/>
      <c r="L358" s="121"/>
      <c r="M358" s="121"/>
      <c r="N358" s="121"/>
      <c r="O358" s="121"/>
      <c r="P358" s="122"/>
      <c r="Q358" s="121"/>
    </row>
    <row r="359" spans="1:17" ht="12.75" customHeight="1" x14ac:dyDescent="0.2">
      <c r="A359" s="124"/>
      <c r="B359" s="126"/>
      <c r="C359" s="126"/>
      <c r="D359" s="1"/>
      <c r="E359" s="1"/>
      <c r="F359" s="126"/>
      <c r="G359" s="126"/>
      <c r="H359" s="118"/>
      <c r="I359" s="119"/>
      <c r="J359" s="120"/>
      <c r="K359" s="121"/>
      <c r="L359" s="121"/>
      <c r="M359" s="121"/>
      <c r="N359" s="121"/>
      <c r="O359" s="121"/>
      <c r="P359" s="122"/>
      <c r="Q359" s="121"/>
    </row>
    <row r="360" spans="1:17" ht="12.75" customHeight="1" x14ac:dyDescent="0.2">
      <c r="A360" s="124"/>
      <c r="B360" s="126"/>
      <c r="C360" s="126"/>
      <c r="D360" s="1"/>
      <c r="E360" s="1"/>
      <c r="F360" s="126"/>
      <c r="G360" s="126"/>
      <c r="H360" s="118"/>
      <c r="I360" s="119"/>
      <c r="J360" s="120"/>
      <c r="K360" s="121"/>
      <c r="L360" s="121"/>
      <c r="M360" s="121"/>
      <c r="N360" s="121"/>
      <c r="O360" s="121"/>
      <c r="P360" s="122"/>
      <c r="Q360" s="121"/>
    </row>
    <row r="361" spans="1:17" ht="12.75" customHeight="1" x14ac:dyDescent="0.2">
      <c r="A361" s="124"/>
      <c r="B361" s="126"/>
      <c r="C361" s="126"/>
      <c r="D361" s="1"/>
      <c r="E361" s="1"/>
      <c r="F361" s="126"/>
      <c r="G361" s="126"/>
      <c r="H361" s="118"/>
      <c r="I361" s="119"/>
      <c r="J361" s="120"/>
      <c r="K361" s="121"/>
      <c r="L361" s="121"/>
      <c r="M361" s="121"/>
      <c r="N361" s="121"/>
      <c r="O361" s="121"/>
      <c r="P361" s="122"/>
      <c r="Q361" s="121"/>
    </row>
    <row r="362" spans="1:17" ht="12.75" customHeight="1" x14ac:dyDescent="0.2">
      <c r="A362" s="124"/>
      <c r="B362" s="126"/>
      <c r="C362" s="126"/>
      <c r="D362" s="1"/>
      <c r="E362" s="1"/>
      <c r="F362" s="126"/>
      <c r="G362" s="126"/>
      <c r="H362" s="118"/>
      <c r="I362" s="119"/>
      <c r="J362" s="120"/>
      <c r="K362" s="121"/>
      <c r="L362" s="121"/>
      <c r="M362" s="121"/>
      <c r="N362" s="121"/>
      <c r="O362" s="121"/>
      <c r="P362" s="122"/>
      <c r="Q362" s="121"/>
    </row>
    <row r="363" spans="1:17" ht="12.75" customHeight="1" x14ac:dyDescent="0.2">
      <c r="A363" s="124"/>
      <c r="B363" s="126"/>
      <c r="C363" s="126"/>
      <c r="D363" s="1"/>
      <c r="E363" s="1"/>
      <c r="F363" s="126"/>
      <c r="G363" s="126"/>
      <c r="H363" s="118"/>
      <c r="I363" s="119"/>
      <c r="J363" s="120"/>
      <c r="K363" s="121"/>
      <c r="L363" s="121"/>
      <c r="M363" s="121"/>
      <c r="N363" s="121"/>
      <c r="O363" s="121"/>
      <c r="P363" s="122"/>
      <c r="Q363" s="121"/>
    </row>
    <row r="364" spans="1:17" ht="12.75" customHeight="1" x14ac:dyDescent="0.2">
      <c r="A364" s="124"/>
      <c r="B364" s="126"/>
      <c r="C364" s="126"/>
      <c r="D364" s="1"/>
      <c r="E364" s="1"/>
      <c r="F364" s="126"/>
      <c r="G364" s="126"/>
      <c r="H364" s="118"/>
      <c r="I364" s="119"/>
      <c r="J364" s="120"/>
      <c r="K364" s="121"/>
      <c r="L364" s="121"/>
      <c r="M364" s="121"/>
      <c r="N364" s="121"/>
      <c r="O364" s="121"/>
      <c r="P364" s="122"/>
      <c r="Q364" s="121"/>
    </row>
    <row r="365" spans="1:17" ht="12.75" customHeight="1" x14ac:dyDescent="0.2">
      <c r="A365" s="124"/>
      <c r="B365" s="126"/>
      <c r="C365" s="126"/>
      <c r="D365" s="1"/>
      <c r="E365" s="1"/>
      <c r="F365" s="126"/>
      <c r="G365" s="126"/>
      <c r="H365" s="118"/>
      <c r="I365" s="119"/>
      <c r="J365" s="120"/>
      <c r="K365" s="121"/>
      <c r="L365" s="121"/>
      <c r="M365" s="121"/>
      <c r="N365" s="121"/>
      <c r="O365" s="121"/>
      <c r="P365" s="122"/>
      <c r="Q365" s="121"/>
    </row>
    <row r="366" spans="1:17" ht="12.75" customHeight="1" x14ac:dyDescent="0.2">
      <c r="A366" s="124"/>
      <c r="B366" s="126"/>
      <c r="C366" s="126"/>
      <c r="D366" s="1"/>
      <c r="E366" s="1"/>
      <c r="F366" s="126"/>
      <c r="G366" s="126"/>
      <c r="H366" s="118"/>
      <c r="I366" s="119"/>
      <c r="J366" s="120"/>
      <c r="K366" s="121"/>
      <c r="L366" s="121"/>
      <c r="M366" s="121"/>
      <c r="N366" s="121"/>
      <c r="O366" s="121"/>
      <c r="P366" s="122"/>
      <c r="Q366" s="121"/>
    </row>
    <row r="367" spans="1:17" ht="12.75" customHeight="1" x14ac:dyDescent="0.2">
      <c r="A367" s="124"/>
      <c r="B367" s="126"/>
      <c r="C367" s="126"/>
      <c r="D367" s="1"/>
      <c r="E367" s="1"/>
      <c r="F367" s="126"/>
      <c r="G367" s="126"/>
      <c r="H367" s="118"/>
      <c r="I367" s="119"/>
      <c r="J367" s="120"/>
      <c r="K367" s="121"/>
      <c r="L367" s="121"/>
      <c r="M367" s="121"/>
      <c r="N367" s="121"/>
      <c r="O367" s="121"/>
      <c r="P367" s="122"/>
      <c r="Q367" s="121"/>
    </row>
    <row r="368" spans="1:17" ht="12.75" customHeight="1" x14ac:dyDescent="0.2">
      <c r="A368" s="124"/>
      <c r="B368" s="126"/>
      <c r="C368" s="126"/>
      <c r="D368" s="1"/>
      <c r="E368" s="1"/>
      <c r="F368" s="126"/>
      <c r="G368" s="126"/>
      <c r="H368" s="118"/>
      <c r="I368" s="119"/>
      <c r="J368" s="120"/>
      <c r="K368" s="121"/>
      <c r="L368" s="121"/>
      <c r="M368" s="121"/>
      <c r="N368" s="121"/>
      <c r="O368" s="121"/>
      <c r="P368" s="122"/>
      <c r="Q368" s="121"/>
    </row>
    <row r="369" spans="1:17" ht="12.75" customHeight="1" x14ac:dyDescent="0.2">
      <c r="A369" s="124"/>
      <c r="B369" s="126"/>
      <c r="C369" s="126"/>
      <c r="D369" s="1"/>
      <c r="E369" s="1"/>
      <c r="F369" s="126"/>
      <c r="G369" s="126"/>
      <c r="H369" s="118"/>
      <c r="I369" s="119"/>
      <c r="J369" s="120"/>
      <c r="K369" s="121"/>
      <c r="L369" s="121"/>
      <c r="M369" s="121"/>
      <c r="N369" s="121"/>
      <c r="O369" s="121"/>
      <c r="P369" s="122"/>
      <c r="Q369" s="121"/>
    </row>
    <row r="370" spans="1:17" ht="12.75" customHeight="1" x14ac:dyDescent="0.2">
      <c r="A370" s="124"/>
      <c r="B370" s="126"/>
      <c r="C370" s="126"/>
      <c r="D370" s="1"/>
      <c r="E370" s="1"/>
      <c r="F370" s="126"/>
      <c r="G370" s="126"/>
      <c r="H370" s="118"/>
      <c r="I370" s="119"/>
      <c r="J370" s="120"/>
      <c r="K370" s="121"/>
      <c r="L370" s="121"/>
      <c r="M370" s="121"/>
      <c r="N370" s="121"/>
      <c r="O370" s="121"/>
      <c r="P370" s="122"/>
      <c r="Q370" s="121"/>
    </row>
    <row r="371" spans="1:17" ht="12.75" customHeight="1" x14ac:dyDescent="0.2">
      <c r="A371" s="124"/>
      <c r="B371" s="126"/>
      <c r="C371" s="126"/>
      <c r="D371" s="1"/>
      <c r="E371" s="1"/>
      <c r="F371" s="126"/>
      <c r="G371" s="126"/>
      <c r="H371" s="118"/>
      <c r="I371" s="119"/>
      <c r="J371" s="120"/>
      <c r="K371" s="121"/>
      <c r="L371" s="121"/>
      <c r="M371" s="121"/>
      <c r="N371" s="121"/>
      <c r="O371" s="121"/>
      <c r="P371" s="122"/>
      <c r="Q371" s="121"/>
    </row>
    <row r="372" spans="1:17" ht="12.75" customHeight="1" x14ac:dyDescent="0.2">
      <c r="A372" s="124"/>
      <c r="B372" s="126"/>
      <c r="C372" s="126"/>
      <c r="D372" s="1"/>
      <c r="E372" s="1"/>
      <c r="F372" s="126"/>
      <c r="G372" s="126"/>
      <c r="H372" s="118"/>
      <c r="I372" s="119"/>
      <c r="J372" s="120"/>
      <c r="K372" s="121"/>
      <c r="L372" s="121"/>
      <c r="M372" s="121"/>
      <c r="N372" s="121"/>
      <c r="O372" s="121"/>
      <c r="P372" s="122"/>
      <c r="Q372" s="121"/>
    </row>
    <row r="373" spans="1:17" ht="12.75" customHeight="1" x14ac:dyDescent="0.2">
      <c r="A373" s="124"/>
      <c r="B373" s="126"/>
      <c r="C373" s="126"/>
      <c r="D373" s="1"/>
      <c r="E373" s="1"/>
      <c r="F373" s="126"/>
      <c r="G373" s="126"/>
      <c r="H373" s="118"/>
      <c r="I373" s="119"/>
      <c r="J373" s="120"/>
      <c r="K373" s="121"/>
      <c r="L373" s="121"/>
      <c r="M373" s="121"/>
      <c r="N373" s="121"/>
      <c r="O373" s="121"/>
      <c r="P373" s="122"/>
      <c r="Q373" s="121"/>
    </row>
    <row r="374" spans="1:17" ht="12.75" customHeight="1" x14ac:dyDescent="0.2">
      <c r="A374" s="124"/>
      <c r="B374" s="126"/>
      <c r="C374" s="126"/>
      <c r="D374" s="1"/>
      <c r="E374" s="1"/>
      <c r="F374" s="126"/>
      <c r="G374" s="126"/>
      <c r="H374" s="118"/>
      <c r="I374" s="119"/>
      <c r="J374" s="120"/>
      <c r="K374" s="121"/>
      <c r="L374" s="121"/>
      <c r="M374" s="121"/>
      <c r="N374" s="121"/>
      <c r="O374" s="121"/>
      <c r="P374" s="122"/>
      <c r="Q374" s="121"/>
    </row>
    <row r="375" spans="1:17" ht="12.75" customHeight="1" x14ac:dyDescent="0.2">
      <c r="A375" s="124"/>
      <c r="B375" s="126"/>
      <c r="C375" s="126"/>
      <c r="D375" s="1"/>
      <c r="E375" s="1"/>
      <c r="F375" s="126"/>
      <c r="G375" s="126"/>
      <c r="H375" s="118"/>
      <c r="I375" s="119"/>
      <c r="J375" s="120"/>
      <c r="K375" s="121"/>
      <c r="L375" s="121"/>
      <c r="M375" s="121"/>
      <c r="N375" s="121"/>
      <c r="O375" s="121"/>
      <c r="P375" s="122"/>
      <c r="Q375" s="121"/>
    </row>
    <row r="376" spans="1:17" ht="12.75" customHeight="1" x14ac:dyDescent="0.2">
      <c r="A376" s="124"/>
      <c r="B376" s="126"/>
      <c r="C376" s="126"/>
      <c r="D376" s="1"/>
      <c r="E376" s="1"/>
      <c r="F376" s="126"/>
      <c r="G376" s="126"/>
      <c r="H376" s="118"/>
      <c r="I376" s="119"/>
      <c r="J376" s="120"/>
      <c r="K376" s="121"/>
      <c r="L376" s="121"/>
      <c r="M376" s="121"/>
      <c r="N376" s="121"/>
      <c r="O376" s="121"/>
      <c r="P376" s="122"/>
      <c r="Q376" s="121"/>
    </row>
    <row r="377" spans="1:17" ht="12.75" customHeight="1" x14ac:dyDescent="0.2">
      <c r="A377" s="124"/>
      <c r="B377" s="126"/>
      <c r="C377" s="126"/>
      <c r="D377" s="1"/>
      <c r="E377" s="1"/>
      <c r="F377" s="126"/>
      <c r="G377" s="126"/>
      <c r="H377" s="118"/>
      <c r="I377" s="119"/>
      <c r="J377" s="120"/>
      <c r="K377" s="121"/>
      <c r="L377" s="121"/>
      <c r="M377" s="121"/>
      <c r="N377" s="121"/>
      <c r="O377" s="121"/>
      <c r="P377" s="122"/>
      <c r="Q377" s="121"/>
    </row>
    <row r="378" spans="1:17" ht="12.75" customHeight="1" x14ac:dyDescent="0.2">
      <c r="A378" s="124"/>
      <c r="B378" s="126"/>
      <c r="C378" s="126"/>
      <c r="D378" s="1"/>
      <c r="E378" s="1"/>
      <c r="F378" s="126"/>
      <c r="G378" s="126"/>
      <c r="H378" s="118"/>
      <c r="I378" s="119"/>
      <c r="J378" s="120"/>
      <c r="K378" s="121"/>
      <c r="L378" s="121"/>
      <c r="M378" s="121"/>
      <c r="N378" s="121"/>
      <c r="O378" s="121"/>
      <c r="P378" s="122"/>
      <c r="Q378" s="121"/>
    </row>
    <row r="379" spans="1:17" ht="12.75" customHeight="1" x14ac:dyDescent="0.2">
      <c r="A379" s="124"/>
      <c r="B379" s="126"/>
      <c r="C379" s="126"/>
      <c r="D379" s="1"/>
      <c r="E379" s="1"/>
      <c r="F379" s="126"/>
      <c r="G379" s="126"/>
      <c r="H379" s="118"/>
      <c r="I379" s="119"/>
      <c r="J379" s="120"/>
      <c r="K379" s="121"/>
      <c r="L379" s="121"/>
      <c r="M379" s="121"/>
      <c r="N379" s="121"/>
      <c r="O379" s="121"/>
      <c r="P379" s="122"/>
      <c r="Q379" s="121"/>
    </row>
    <row r="380" spans="1:17" ht="12.75" customHeight="1" x14ac:dyDescent="0.2">
      <c r="A380" s="124"/>
      <c r="B380" s="126"/>
      <c r="C380" s="126"/>
      <c r="D380" s="1"/>
      <c r="E380" s="1"/>
      <c r="F380" s="126"/>
      <c r="G380" s="126"/>
      <c r="H380" s="118"/>
      <c r="I380" s="119"/>
      <c r="J380" s="120"/>
      <c r="K380" s="121"/>
      <c r="L380" s="121"/>
      <c r="M380" s="121"/>
      <c r="N380" s="121"/>
      <c r="O380" s="121"/>
      <c r="P380" s="122"/>
      <c r="Q380" s="121"/>
    </row>
    <row r="381" spans="1:17" ht="12.75" customHeight="1" x14ac:dyDescent="0.2">
      <c r="A381" s="124"/>
      <c r="B381" s="126"/>
      <c r="C381" s="126"/>
      <c r="D381" s="1"/>
      <c r="E381" s="1"/>
      <c r="F381" s="126"/>
      <c r="G381" s="126"/>
      <c r="H381" s="118"/>
      <c r="I381" s="119"/>
      <c r="J381" s="120"/>
      <c r="K381" s="121"/>
      <c r="L381" s="121"/>
      <c r="M381" s="121"/>
      <c r="N381" s="121"/>
      <c r="O381" s="121"/>
      <c r="P381" s="122"/>
      <c r="Q381" s="121"/>
    </row>
    <row r="382" spans="1:17" ht="12.75" customHeight="1" x14ac:dyDescent="0.2">
      <c r="A382" s="124"/>
      <c r="B382" s="126"/>
      <c r="C382" s="126"/>
      <c r="D382" s="1"/>
      <c r="E382" s="1"/>
      <c r="F382" s="126"/>
      <c r="G382" s="126"/>
      <c r="H382" s="118"/>
      <c r="I382" s="119"/>
      <c r="J382" s="120"/>
      <c r="K382" s="121"/>
      <c r="L382" s="121"/>
      <c r="M382" s="121"/>
      <c r="N382" s="121"/>
      <c r="O382" s="121"/>
      <c r="P382" s="122"/>
      <c r="Q382" s="121"/>
    </row>
    <row r="383" spans="1:17" ht="12.75" customHeight="1" x14ac:dyDescent="0.2">
      <c r="A383" s="124"/>
      <c r="B383" s="126"/>
      <c r="C383" s="126"/>
      <c r="D383" s="1"/>
      <c r="E383" s="1"/>
      <c r="F383" s="126"/>
      <c r="G383" s="126"/>
      <c r="H383" s="118"/>
      <c r="I383" s="119"/>
      <c r="J383" s="120"/>
      <c r="K383" s="121"/>
      <c r="L383" s="121"/>
      <c r="M383" s="121"/>
      <c r="N383" s="121"/>
      <c r="O383" s="121"/>
      <c r="P383" s="122"/>
      <c r="Q383" s="121"/>
    </row>
    <row r="384" spans="1:17" ht="12.75" customHeight="1" x14ac:dyDescent="0.2">
      <c r="A384" s="124"/>
      <c r="B384" s="126"/>
      <c r="C384" s="126"/>
      <c r="D384" s="1"/>
      <c r="E384" s="1"/>
      <c r="F384" s="126"/>
      <c r="G384" s="126"/>
      <c r="H384" s="118"/>
      <c r="I384" s="119"/>
      <c r="J384" s="120"/>
      <c r="K384" s="121"/>
      <c r="L384" s="121"/>
      <c r="M384" s="121"/>
      <c r="N384" s="121"/>
      <c r="O384" s="121"/>
      <c r="P384" s="122"/>
      <c r="Q384" s="121"/>
    </row>
    <row r="385" spans="1:17" ht="12.75" customHeight="1" x14ac:dyDescent="0.2">
      <c r="A385" s="124"/>
      <c r="B385" s="126"/>
      <c r="C385" s="126"/>
      <c r="D385" s="1"/>
      <c r="E385" s="1"/>
      <c r="F385" s="126"/>
      <c r="G385" s="126"/>
      <c r="H385" s="118"/>
      <c r="I385" s="119"/>
      <c r="J385" s="120"/>
      <c r="K385" s="121"/>
      <c r="L385" s="121"/>
      <c r="M385" s="121"/>
      <c r="N385" s="121"/>
      <c r="O385" s="121"/>
      <c r="P385" s="122"/>
      <c r="Q385" s="121"/>
    </row>
    <row r="386" spans="1:17" ht="12.75" customHeight="1" x14ac:dyDescent="0.2">
      <c r="A386" s="124"/>
      <c r="B386" s="126"/>
      <c r="C386" s="126"/>
      <c r="D386" s="1"/>
      <c r="E386" s="1"/>
      <c r="F386" s="126"/>
      <c r="G386" s="126"/>
      <c r="H386" s="118"/>
      <c r="I386" s="119"/>
      <c r="J386" s="120"/>
      <c r="K386" s="121"/>
      <c r="L386" s="121"/>
      <c r="M386" s="121"/>
      <c r="N386" s="121"/>
      <c r="O386" s="121"/>
      <c r="P386" s="122"/>
      <c r="Q386" s="121"/>
    </row>
    <row r="387" spans="1:17" ht="12.75" customHeight="1" x14ac:dyDescent="0.2">
      <c r="A387" s="124"/>
      <c r="B387" s="126"/>
      <c r="C387" s="126"/>
      <c r="D387" s="1"/>
      <c r="E387" s="1"/>
      <c r="F387" s="126"/>
      <c r="G387" s="126"/>
      <c r="H387" s="118"/>
      <c r="I387" s="119"/>
      <c r="J387" s="120"/>
      <c r="K387" s="121"/>
      <c r="L387" s="121"/>
      <c r="M387" s="121"/>
      <c r="N387" s="121"/>
      <c r="O387" s="121"/>
      <c r="P387" s="122"/>
      <c r="Q387" s="121"/>
    </row>
    <row r="388" spans="1:17" ht="12.75" customHeight="1" x14ac:dyDescent="0.2">
      <c r="A388" s="124"/>
      <c r="B388" s="126"/>
      <c r="C388" s="126"/>
      <c r="D388" s="1"/>
      <c r="E388" s="1"/>
      <c r="F388" s="126"/>
      <c r="G388" s="126"/>
      <c r="H388" s="118"/>
      <c r="I388" s="119"/>
      <c r="J388" s="120"/>
      <c r="K388" s="121"/>
      <c r="L388" s="121"/>
      <c r="M388" s="121"/>
      <c r="N388" s="121"/>
      <c r="O388" s="121"/>
      <c r="P388" s="122"/>
      <c r="Q388" s="121"/>
    </row>
    <row r="389" spans="1:17" ht="12.75" customHeight="1" x14ac:dyDescent="0.2">
      <c r="A389" s="124"/>
      <c r="B389" s="126"/>
      <c r="C389" s="126"/>
      <c r="D389" s="1"/>
      <c r="E389" s="1"/>
      <c r="F389" s="126"/>
      <c r="G389" s="126"/>
      <c r="H389" s="118"/>
      <c r="I389" s="119"/>
      <c r="J389" s="120"/>
      <c r="K389" s="121"/>
      <c r="L389" s="121"/>
      <c r="M389" s="121"/>
      <c r="N389" s="121"/>
      <c r="O389" s="121"/>
      <c r="P389" s="122"/>
      <c r="Q389" s="121"/>
    </row>
    <row r="390" spans="1:17" ht="12.75" customHeight="1" x14ac:dyDescent="0.2">
      <c r="A390" s="124"/>
      <c r="B390" s="126"/>
      <c r="C390" s="126"/>
      <c r="D390" s="1"/>
      <c r="E390" s="1"/>
      <c r="F390" s="126"/>
      <c r="G390" s="126"/>
      <c r="H390" s="118"/>
      <c r="I390" s="119"/>
      <c r="J390" s="120"/>
      <c r="K390" s="121"/>
      <c r="L390" s="121"/>
      <c r="M390" s="121"/>
      <c r="N390" s="121"/>
      <c r="O390" s="121"/>
      <c r="P390" s="122"/>
      <c r="Q390" s="121"/>
    </row>
    <row r="391" spans="1:17" ht="12.75" customHeight="1" x14ac:dyDescent="0.2">
      <c r="A391" s="124"/>
      <c r="B391" s="126"/>
      <c r="C391" s="126"/>
      <c r="D391" s="1"/>
      <c r="E391" s="1"/>
      <c r="F391" s="126"/>
      <c r="G391" s="126"/>
      <c r="H391" s="118"/>
      <c r="I391" s="119"/>
      <c r="J391" s="120"/>
      <c r="K391" s="121"/>
      <c r="L391" s="121"/>
      <c r="M391" s="121"/>
      <c r="N391" s="121"/>
      <c r="O391" s="121"/>
      <c r="P391" s="122"/>
      <c r="Q391" s="121"/>
    </row>
    <row r="392" spans="1:17" ht="12.75" customHeight="1" x14ac:dyDescent="0.2">
      <c r="A392" s="124"/>
      <c r="B392" s="126"/>
      <c r="C392" s="126"/>
      <c r="D392" s="1"/>
      <c r="E392" s="1"/>
      <c r="F392" s="126"/>
      <c r="G392" s="126"/>
      <c r="H392" s="118"/>
      <c r="I392" s="119"/>
      <c r="J392" s="120"/>
      <c r="K392" s="121"/>
      <c r="L392" s="121"/>
      <c r="M392" s="121"/>
      <c r="N392" s="121"/>
      <c r="O392" s="121"/>
      <c r="P392" s="122"/>
      <c r="Q392" s="121"/>
    </row>
    <row r="393" spans="1:17" ht="12.75" customHeight="1" x14ac:dyDescent="0.2">
      <c r="A393" s="124"/>
      <c r="B393" s="126"/>
      <c r="C393" s="126"/>
      <c r="D393" s="1"/>
      <c r="E393" s="1"/>
      <c r="F393" s="126"/>
      <c r="G393" s="126"/>
      <c r="H393" s="118"/>
      <c r="I393" s="119"/>
      <c r="J393" s="120"/>
      <c r="K393" s="121"/>
      <c r="L393" s="121"/>
      <c r="M393" s="121"/>
      <c r="N393" s="121"/>
      <c r="O393" s="121"/>
      <c r="P393" s="122"/>
      <c r="Q393" s="121"/>
    </row>
    <row r="394" spans="1:17" ht="12.75" customHeight="1" x14ac:dyDescent="0.2">
      <c r="A394" s="124"/>
      <c r="B394" s="126"/>
      <c r="C394" s="126"/>
      <c r="D394" s="1"/>
      <c r="E394" s="1"/>
      <c r="F394" s="126"/>
      <c r="G394" s="126"/>
      <c r="H394" s="118"/>
      <c r="I394" s="119"/>
      <c r="J394" s="120"/>
      <c r="K394" s="121"/>
      <c r="L394" s="121"/>
      <c r="M394" s="121"/>
      <c r="N394" s="121"/>
      <c r="O394" s="121"/>
      <c r="P394" s="122"/>
      <c r="Q394" s="121"/>
    </row>
    <row r="395" spans="1:17" ht="12.75" customHeight="1" x14ac:dyDescent="0.2">
      <c r="A395" s="124"/>
      <c r="B395" s="126"/>
      <c r="C395" s="126"/>
      <c r="D395" s="1"/>
      <c r="E395" s="1"/>
      <c r="F395" s="126"/>
      <c r="G395" s="126"/>
      <c r="H395" s="118"/>
      <c r="I395" s="119"/>
      <c r="J395" s="120"/>
      <c r="K395" s="121"/>
      <c r="L395" s="121"/>
      <c r="M395" s="121"/>
      <c r="N395" s="121"/>
      <c r="O395" s="121"/>
      <c r="P395" s="122"/>
      <c r="Q395" s="121"/>
    </row>
    <row r="396" spans="1:17" ht="12.75" customHeight="1" x14ac:dyDescent="0.2">
      <c r="A396" s="124"/>
      <c r="B396" s="126"/>
      <c r="C396" s="126"/>
      <c r="D396" s="1"/>
      <c r="E396" s="1"/>
      <c r="F396" s="126"/>
      <c r="G396" s="126"/>
      <c r="H396" s="118"/>
      <c r="I396" s="119"/>
      <c r="J396" s="120"/>
      <c r="K396" s="121"/>
      <c r="L396" s="121"/>
      <c r="M396" s="121"/>
      <c r="N396" s="121"/>
      <c r="O396" s="121"/>
      <c r="P396" s="122"/>
      <c r="Q396" s="121"/>
    </row>
    <row r="397" spans="1:17" ht="12.75" customHeight="1" x14ac:dyDescent="0.2">
      <c r="A397" s="124"/>
      <c r="B397" s="126"/>
      <c r="C397" s="126"/>
      <c r="D397" s="1"/>
      <c r="E397" s="1"/>
      <c r="F397" s="126"/>
      <c r="G397" s="126"/>
      <c r="H397" s="118"/>
      <c r="I397" s="119"/>
      <c r="J397" s="120"/>
      <c r="K397" s="121"/>
      <c r="L397" s="121"/>
      <c r="M397" s="121"/>
      <c r="N397" s="121"/>
      <c r="O397" s="121"/>
      <c r="P397" s="122"/>
      <c r="Q397" s="121"/>
    </row>
    <row r="398" spans="1:17" ht="12.75" customHeight="1" x14ac:dyDescent="0.2">
      <c r="A398" s="124"/>
      <c r="B398" s="126"/>
      <c r="C398" s="126"/>
      <c r="D398" s="1"/>
      <c r="E398" s="1"/>
      <c r="F398" s="126"/>
      <c r="G398" s="126"/>
      <c r="H398" s="118"/>
      <c r="I398" s="119"/>
      <c r="J398" s="120"/>
      <c r="K398" s="121"/>
      <c r="L398" s="121"/>
      <c r="M398" s="121"/>
      <c r="N398" s="121"/>
      <c r="O398" s="121"/>
      <c r="P398" s="122"/>
      <c r="Q398" s="121"/>
    </row>
    <row r="399" spans="1:17" ht="12.75" customHeight="1" x14ac:dyDescent="0.2">
      <c r="A399" s="124"/>
      <c r="B399" s="126"/>
      <c r="C399" s="126"/>
      <c r="D399" s="1"/>
      <c r="E399" s="1"/>
      <c r="F399" s="126"/>
      <c r="G399" s="126"/>
      <c r="H399" s="118"/>
      <c r="I399" s="119"/>
      <c r="J399" s="120"/>
      <c r="K399" s="121"/>
      <c r="L399" s="121"/>
      <c r="M399" s="121"/>
      <c r="N399" s="121"/>
      <c r="O399" s="121"/>
      <c r="P399" s="122"/>
      <c r="Q399" s="121"/>
    </row>
    <row r="400" spans="1:17" ht="12.75" customHeight="1" x14ac:dyDescent="0.2">
      <c r="A400" s="124"/>
      <c r="B400" s="126"/>
      <c r="C400" s="126"/>
      <c r="D400" s="1"/>
      <c r="E400" s="1"/>
      <c r="F400" s="126"/>
      <c r="G400" s="126"/>
      <c r="H400" s="118"/>
      <c r="I400" s="119"/>
      <c r="J400" s="120"/>
      <c r="K400" s="121"/>
      <c r="L400" s="121"/>
      <c r="M400" s="121"/>
      <c r="N400" s="121"/>
      <c r="O400" s="121"/>
      <c r="P400" s="122"/>
      <c r="Q400" s="121"/>
    </row>
    <row r="401" spans="1:17" ht="12.75" customHeight="1" x14ac:dyDescent="0.2">
      <c r="A401" s="124"/>
      <c r="B401" s="126"/>
      <c r="C401" s="126"/>
      <c r="D401" s="1"/>
      <c r="E401" s="1"/>
      <c r="F401" s="126"/>
      <c r="G401" s="126"/>
      <c r="H401" s="118"/>
      <c r="I401" s="119"/>
      <c r="J401" s="120"/>
      <c r="K401" s="121"/>
      <c r="L401" s="121"/>
      <c r="M401" s="121"/>
      <c r="N401" s="121"/>
      <c r="O401" s="121"/>
      <c r="P401" s="122"/>
      <c r="Q401" s="121"/>
    </row>
    <row r="402" spans="1:17" ht="12.75" customHeight="1" x14ac:dyDescent="0.2">
      <c r="A402" s="124"/>
      <c r="B402" s="126"/>
      <c r="C402" s="126"/>
      <c r="D402" s="1"/>
      <c r="E402" s="1"/>
      <c r="F402" s="126"/>
      <c r="G402" s="126"/>
      <c r="H402" s="118"/>
      <c r="I402" s="119"/>
      <c r="J402" s="120"/>
      <c r="K402" s="121"/>
      <c r="L402" s="121"/>
      <c r="M402" s="121"/>
      <c r="N402" s="121"/>
      <c r="O402" s="121"/>
      <c r="P402" s="122"/>
      <c r="Q402" s="121"/>
    </row>
    <row r="403" spans="1:17" ht="12.75" customHeight="1" x14ac:dyDescent="0.2">
      <c r="A403" s="124"/>
      <c r="B403" s="126"/>
      <c r="C403" s="126"/>
      <c r="D403" s="1"/>
      <c r="E403" s="1"/>
      <c r="F403" s="126"/>
      <c r="G403" s="126"/>
      <c r="H403" s="118"/>
      <c r="I403" s="119"/>
      <c r="J403" s="120"/>
      <c r="K403" s="121"/>
      <c r="L403" s="121"/>
      <c r="M403" s="121"/>
      <c r="N403" s="121"/>
      <c r="O403" s="121"/>
      <c r="P403" s="122"/>
      <c r="Q403" s="121"/>
    </row>
    <row r="404" spans="1:17" ht="12.75" customHeight="1" x14ac:dyDescent="0.2">
      <c r="A404" s="124"/>
      <c r="B404" s="126"/>
      <c r="C404" s="126"/>
      <c r="D404" s="1"/>
      <c r="E404" s="1"/>
      <c r="F404" s="126"/>
      <c r="G404" s="126"/>
      <c r="H404" s="118"/>
      <c r="I404" s="119"/>
      <c r="J404" s="120"/>
      <c r="K404" s="121"/>
      <c r="L404" s="121"/>
      <c r="M404" s="121"/>
      <c r="N404" s="121"/>
      <c r="O404" s="121"/>
      <c r="P404" s="122"/>
      <c r="Q404" s="121"/>
    </row>
    <row r="405" spans="1:17" ht="12.75" customHeight="1" x14ac:dyDescent="0.2">
      <c r="A405" s="124"/>
      <c r="B405" s="126"/>
      <c r="C405" s="126"/>
      <c r="D405" s="1"/>
      <c r="E405" s="1"/>
      <c r="F405" s="126"/>
      <c r="G405" s="126"/>
      <c r="H405" s="118"/>
      <c r="I405" s="119"/>
      <c r="J405" s="120"/>
      <c r="K405" s="121"/>
      <c r="L405" s="121"/>
      <c r="M405" s="121"/>
      <c r="N405" s="121"/>
      <c r="O405" s="121"/>
      <c r="P405" s="122"/>
      <c r="Q405" s="121"/>
    </row>
    <row r="406" spans="1:17" ht="12.75" customHeight="1" x14ac:dyDescent="0.2">
      <c r="A406" s="124"/>
      <c r="B406" s="126"/>
      <c r="C406" s="126"/>
      <c r="D406" s="1"/>
      <c r="E406" s="1"/>
      <c r="F406" s="126"/>
      <c r="G406" s="126"/>
      <c r="H406" s="118"/>
      <c r="I406" s="119"/>
      <c r="J406" s="120"/>
      <c r="K406" s="121"/>
      <c r="L406" s="121"/>
      <c r="M406" s="121"/>
      <c r="N406" s="121"/>
      <c r="O406" s="121"/>
      <c r="P406" s="122"/>
      <c r="Q406" s="121"/>
    </row>
    <row r="407" spans="1:17" ht="12.75" customHeight="1" x14ac:dyDescent="0.2">
      <c r="A407" s="124"/>
      <c r="B407" s="126"/>
      <c r="C407" s="126"/>
      <c r="D407" s="1"/>
      <c r="E407" s="1"/>
      <c r="F407" s="126"/>
      <c r="G407" s="126"/>
      <c r="H407" s="118"/>
      <c r="I407" s="119"/>
      <c r="J407" s="120"/>
      <c r="K407" s="121"/>
      <c r="L407" s="121"/>
      <c r="M407" s="121"/>
      <c r="N407" s="121"/>
      <c r="O407" s="121"/>
      <c r="P407" s="122"/>
      <c r="Q407" s="121"/>
    </row>
    <row r="408" spans="1:17" ht="12.75" customHeight="1" x14ac:dyDescent="0.2">
      <c r="A408" s="124"/>
      <c r="B408" s="126"/>
      <c r="C408" s="126"/>
      <c r="D408" s="1"/>
      <c r="E408" s="1"/>
      <c r="F408" s="126"/>
      <c r="G408" s="126"/>
      <c r="H408" s="118"/>
      <c r="I408" s="119"/>
      <c r="J408" s="120"/>
      <c r="K408" s="121"/>
      <c r="L408" s="121"/>
      <c r="M408" s="121"/>
      <c r="N408" s="121"/>
      <c r="O408" s="121"/>
      <c r="P408" s="122"/>
      <c r="Q408" s="121"/>
    </row>
    <row r="409" spans="1:17" ht="12.75" customHeight="1" x14ac:dyDescent="0.2">
      <c r="A409" s="124"/>
      <c r="B409" s="126"/>
      <c r="C409" s="126"/>
      <c r="D409" s="1"/>
      <c r="E409" s="1"/>
      <c r="F409" s="126"/>
      <c r="G409" s="126"/>
      <c r="H409" s="118"/>
      <c r="I409" s="119"/>
      <c r="J409" s="120"/>
      <c r="K409" s="121"/>
      <c r="L409" s="121"/>
      <c r="M409" s="121"/>
      <c r="N409" s="121"/>
      <c r="O409" s="121"/>
      <c r="P409" s="122"/>
      <c r="Q409" s="121"/>
    </row>
    <row r="410" spans="1:17" ht="12.75" customHeight="1" x14ac:dyDescent="0.2">
      <c r="A410" s="124"/>
      <c r="B410" s="126"/>
      <c r="C410" s="126"/>
      <c r="D410" s="1"/>
      <c r="E410" s="1"/>
      <c r="F410" s="126"/>
      <c r="G410" s="126"/>
      <c r="H410" s="118"/>
      <c r="I410" s="119"/>
      <c r="J410" s="120"/>
      <c r="K410" s="121"/>
      <c r="L410" s="121"/>
      <c r="M410" s="121"/>
      <c r="N410" s="121"/>
      <c r="O410" s="121"/>
      <c r="P410" s="122"/>
      <c r="Q410" s="121"/>
    </row>
    <row r="411" spans="1:17" ht="12.75" customHeight="1" x14ac:dyDescent="0.2">
      <c r="A411" s="124"/>
      <c r="B411" s="126"/>
      <c r="C411" s="126"/>
      <c r="D411" s="1"/>
      <c r="E411" s="1"/>
      <c r="F411" s="126"/>
      <c r="G411" s="126"/>
      <c r="H411" s="118"/>
      <c r="I411" s="119"/>
      <c r="J411" s="120"/>
      <c r="K411" s="121"/>
      <c r="L411" s="121"/>
      <c r="M411" s="121"/>
      <c r="N411" s="121"/>
      <c r="O411" s="121"/>
      <c r="P411" s="122"/>
      <c r="Q411" s="121"/>
    </row>
    <row r="412" spans="1:17" ht="12.75" customHeight="1" x14ac:dyDescent="0.2">
      <c r="A412" s="124"/>
      <c r="B412" s="126"/>
      <c r="C412" s="126"/>
      <c r="D412" s="1"/>
      <c r="E412" s="1"/>
      <c r="F412" s="126"/>
      <c r="G412" s="126"/>
      <c r="H412" s="118"/>
      <c r="I412" s="119"/>
      <c r="J412" s="120"/>
      <c r="K412" s="121"/>
      <c r="L412" s="121"/>
      <c r="M412" s="121"/>
      <c r="N412" s="121"/>
      <c r="O412" s="121"/>
      <c r="P412" s="122"/>
      <c r="Q412" s="121"/>
    </row>
    <row r="413" spans="1:17" ht="12.75" customHeight="1" x14ac:dyDescent="0.2">
      <c r="A413" s="124"/>
      <c r="B413" s="126"/>
      <c r="C413" s="126"/>
      <c r="D413" s="1"/>
      <c r="E413" s="1"/>
      <c r="F413" s="126"/>
      <c r="G413" s="126"/>
      <c r="H413" s="118"/>
      <c r="I413" s="119"/>
      <c r="J413" s="120"/>
      <c r="K413" s="121"/>
      <c r="L413" s="121"/>
      <c r="M413" s="121"/>
      <c r="N413" s="121"/>
      <c r="O413" s="121"/>
      <c r="P413" s="122"/>
      <c r="Q413" s="121"/>
    </row>
    <row r="414" spans="1:17" ht="12.75" customHeight="1" x14ac:dyDescent="0.2">
      <c r="A414" s="124"/>
      <c r="B414" s="126"/>
      <c r="C414" s="126"/>
      <c r="D414" s="1"/>
      <c r="E414" s="1"/>
      <c r="F414" s="126"/>
      <c r="G414" s="126"/>
      <c r="H414" s="118"/>
      <c r="I414" s="119"/>
      <c r="J414" s="120"/>
      <c r="K414" s="121"/>
      <c r="L414" s="121"/>
      <c r="M414" s="121"/>
      <c r="N414" s="121"/>
      <c r="O414" s="121"/>
      <c r="P414" s="122"/>
      <c r="Q414" s="121"/>
    </row>
    <row r="415" spans="1:17" ht="12.75" customHeight="1" x14ac:dyDescent="0.2">
      <c r="A415" s="124"/>
      <c r="B415" s="126"/>
      <c r="C415" s="126"/>
      <c r="D415" s="1"/>
      <c r="E415" s="1"/>
      <c r="F415" s="126"/>
      <c r="G415" s="126"/>
      <c r="H415" s="118"/>
      <c r="I415" s="119"/>
      <c r="J415" s="120"/>
      <c r="K415" s="121"/>
      <c r="L415" s="121"/>
      <c r="M415" s="121"/>
      <c r="N415" s="121"/>
      <c r="O415" s="121"/>
      <c r="P415" s="122"/>
      <c r="Q415" s="121"/>
    </row>
    <row r="416" spans="1:17" ht="12.75" customHeight="1" x14ac:dyDescent="0.2">
      <c r="A416" s="124"/>
      <c r="B416" s="126"/>
      <c r="C416" s="126"/>
      <c r="D416" s="1"/>
      <c r="E416" s="1"/>
      <c r="F416" s="126"/>
      <c r="G416" s="126"/>
      <c r="H416" s="118"/>
      <c r="I416" s="119"/>
      <c r="J416" s="120"/>
      <c r="K416" s="121"/>
      <c r="L416" s="121"/>
      <c r="M416" s="121"/>
      <c r="N416" s="121"/>
      <c r="O416" s="121"/>
      <c r="P416" s="122"/>
      <c r="Q416" s="121"/>
    </row>
    <row r="417" spans="1:17" ht="12.75" customHeight="1" x14ac:dyDescent="0.2">
      <c r="A417" s="124"/>
      <c r="B417" s="126"/>
      <c r="C417" s="126"/>
      <c r="D417" s="1"/>
      <c r="E417" s="1"/>
      <c r="F417" s="126"/>
      <c r="G417" s="126"/>
      <c r="H417" s="118"/>
      <c r="I417" s="119"/>
      <c r="J417" s="120"/>
      <c r="K417" s="121"/>
      <c r="L417" s="121"/>
      <c r="M417" s="121"/>
      <c r="N417" s="121"/>
      <c r="O417" s="121"/>
      <c r="P417" s="122"/>
      <c r="Q417" s="121"/>
    </row>
    <row r="418" spans="1:17" ht="12.75" customHeight="1" x14ac:dyDescent="0.2">
      <c r="A418" s="124"/>
      <c r="B418" s="126"/>
      <c r="C418" s="126"/>
      <c r="D418" s="1"/>
      <c r="E418" s="1"/>
      <c r="F418" s="126"/>
      <c r="G418" s="126"/>
      <c r="H418" s="118"/>
      <c r="I418" s="119"/>
      <c r="J418" s="120"/>
      <c r="K418" s="121"/>
      <c r="L418" s="121"/>
      <c r="M418" s="121"/>
      <c r="N418" s="121"/>
      <c r="O418" s="121"/>
      <c r="P418" s="122"/>
      <c r="Q418" s="121"/>
    </row>
    <row r="419" spans="1:17" ht="12.75" customHeight="1" x14ac:dyDescent="0.2">
      <c r="A419" s="124"/>
      <c r="B419" s="126"/>
      <c r="C419" s="126"/>
      <c r="D419" s="1"/>
      <c r="E419" s="1"/>
      <c r="F419" s="126"/>
      <c r="G419" s="126"/>
      <c r="H419" s="118"/>
      <c r="I419" s="119"/>
      <c r="J419" s="120"/>
      <c r="K419" s="121"/>
      <c r="L419" s="121"/>
      <c r="M419" s="121"/>
      <c r="N419" s="121"/>
      <c r="O419" s="121"/>
      <c r="P419" s="122"/>
      <c r="Q419" s="121"/>
    </row>
    <row r="420" spans="1:17" ht="12.75" customHeight="1" x14ac:dyDescent="0.2">
      <c r="A420" s="124"/>
      <c r="B420" s="126"/>
      <c r="C420" s="126"/>
      <c r="D420" s="1"/>
      <c r="E420" s="1"/>
      <c r="F420" s="126"/>
      <c r="G420" s="126"/>
      <c r="H420" s="118"/>
      <c r="I420" s="119"/>
      <c r="J420" s="120"/>
      <c r="K420" s="121"/>
      <c r="L420" s="121"/>
      <c r="M420" s="121"/>
      <c r="N420" s="121"/>
      <c r="O420" s="121"/>
      <c r="P420" s="122"/>
      <c r="Q420" s="121"/>
    </row>
    <row r="421" spans="1:17" ht="12.75" customHeight="1" x14ac:dyDescent="0.2">
      <c r="A421" s="124"/>
      <c r="B421" s="126"/>
      <c r="C421" s="126"/>
      <c r="D421" s="1"/>
      <c r="E421" s="1"/>
      <c r="F421" s="126"/>
      <c r="G421" s="126"/>
      <c r="H421" s="118"/>
      <c r="I421" s="119"/>
      <c r="J421" s="120"/>
      <c r="K421" s="121"/>
      <c r="L421" s="121"/>
      <c r="M421" s="121"/>
      <c r="N421" s="121"/>
      <c r="O421" s="121"/>
      <c r="P421" s="122"/>
      <c r="Q421" s="121"/>
    </row>
    <row r="422" spans="1:17" ht="12.75" customHeight="1" x14ac:dyDescent="0.2">
      <c r="A422" s="124"/>
      <c r="B422" s="126"/>
      <c r="C422" s="126"/>
      <c r="D422" s="1"/>
      <c r="E422" s="1"/>
      <c r="F422" s="126"/>
      <c r="G422" s="126"/>
      <c r="H422" s="118"/>
      <c r="I422" s="119"/>
      <c r="J422" s="120"/>
      <c r="K422" s="121"/>
      <c r="L422" s="121"/>
      <c r="M422" s="121"/>
      <c r="N422" s="121"/>
      <c r="O422" s="121"/>
      <c r="P422" s="122"/>
      <c r="Q422" s="121"/>
    </row>
    <row r="423" spans="1:17" ht="12.75" customHeight="1" x14ac:dyDescent="0.2">
      <c r="A423" s="124"/>
      <c r="B423" s="126"/>
      <c r="C423" s="126"/>
      <c r="D423" s="1"/>
      <c r="E423" s="1"/>
      <c r="F423" s="126"/>
      <c r="G423" s="126"/>
      <c r="H423" s="118"/>
      <c r="I423" s="119"/>
      <c r="J423" s="120"/>
      <c r="K423" s="121"/>
      <c r="L423" s="121"/>
      <c r="M423" s="121"/>
      <c r="N423" s="121"/>
      <c r="O423" s="121"/>
      <c r="P423" s="122"/>
      <c r="Q423" s="121"/>
    </row>
    <row r="424" spans="1:17" ht="12.75" customHeight="1" x14ac:dyDescent="0.2">
      <c r="A424" s="124"/>
      <c r="B424" s="126"/>
      <c r="C424" s="126"/>
      <c r="D424" s="1"/>
      <c r="E424" s="1"/>
      <c r="F424" s="126"/>
      <c r="G424" s="126"/>
      <c r="H424" s="118"/>
      <c r="I424" s="119"/>
      <c r="J424" s="120"/>
      <c r="K424" s="121"/>
      <c r="L424" s="121"/>
      <c r="M424" s="121"/>
      <c r="N424" s="121"/>
      <c r="O424" s="121"/>
      <c r="P424" s="122"/>
      <c r="Q424" s="121"/>
    </row>
    <row r="425" spans="1:17" ht="12.75" customHeight="1" x14ac:dyDescent="0.2">
      <c r="A425" s="124"/>
      <c r="B425" s="126"/>
      <c r="C425" s="126"/>
      <c r="D425" s="1"/>
      <c r="E425" s="1"/>
      <c r="F425" s="126"/>
      <c r="G425" s="126"/>
      <c r="H425" s="118"/>
      <c r="I425" s="119"/>
      <c r="J425" s="120"/>
      <c r="K425" s="121"/>
      <c r="L425" s="121"/>
      <c r="M425" s="121"/>
      <c r="N425" s="121"/>
      <c r="O425" s="121"/>
      <c r="P425" s="122"/>
      <c r="Q425" s="121"/>
    </row>
    <row r="426" spans="1:17" ht="12.75" customHeight="1" x14ac:dyDescent="0.2">
      <c r="A426" s="124"/>
      <c r="B426" s="126"/>
      <c r="C426" s="126"/>
      <c r="D426" s="1"/>
      <c r="E426" s="1"/>
      <c r="F426" s="126"/>
      <c r="G426" s="126"/>
      <c r="H426" s="118"/>
      <c r="I426" s="119"/>
      <c r="J426" s="120"/>
      <c r="K426" s="121"/>
      <c r="L426" s="121"/>
      <c r="M426" s="121"/>
      <c r="N426" s="121"/>
      <c r="O426" s="121"/>
      <c r="P426" s="122"/>
      <c r="Q426" s="121"/>
    </row>
    <row r="427" spans="1:17" ht="12.75" customHeight="1" x14ac:dyDescent="0.2">
      <c r="A427" s="124"/>
      <c r="B427" s="126"/>
      <c r="C427" s="126"/>
      <c r="D427" s="1"/>
      <c r="E427" s="1"/>
      <c r="F427" s="126"/>
      <c r="G427" s="126"/>
      <c r="H427" s="118"/>
      <c r="I427" s="119"/>
      <c r="J427" s="120"/>
      <c r="K427" s="121"/>
      <c r="L427" s="121"/>
      <c r="M427" s="121"/>
      <c r="N427" s="121"/>
      <c r="O427" s="121"/>
      <c r="P427" s="122"/>
      <c r="Q427" s="121"/>
    </row>
    <row r="428" spans="1:17" ht="12.75" customHeight="1" x14ac:dyDescent="0.2">
      <c r="A428" s="124"/>
      <c r="B428" s="126"/>
      <c r="C428" s="126"/>
      <c r="D428" s="1"/>
      <c r="E428" s="1"/>
      <c r="F428" s="126"/>
      <c r="G428" s="126"/>
      <c r="H428" s="118"/>
      <c r="I428" s="119"/>
      <c r="J428" s="120"/>
      <c r="K428" s="121"/>
      <c r="L428" s="121"/>
      <c r="M428" s="121"/>
      <c r="N428" s="121"/>
      <c r="O428" s="121"/>
      <c r="P428" s="122"/>
      <c r="Q428" s="121"/>
    </row>
    <row r="429" spans="1:17" ht="12.75" customHeight="1" x14ac:dyDescent="0.2">
      <c r="A429" s="124"/>
      <c r="B429" s="126"/>
      <c r="C429" s="126"/>
      <c r="D429" s="1"/>
      <c r="E429" s="1"/>
      <c r="F429" s="126"/>
      <c r="G429" s="126"/>
      <c r="H429" s="118"/>
      <c r="I429" s="119"/>
      <c r="J429" s="120"/>
      <c r="K429" s="121"/>
      <c r="L429" s="121"/>
      <c r="M429" s="121"/>
      <c r="N429" s="121"/>
      <c r="O429" s="121"/>
      <c r="P429" s="122"/>
      <c r="Q429" s="121"/>
    </row>
    <row r="430" spans="1:17" ht="12.75" customHeight="1" x14ac:dyDescent="0.2">
      <c r="A430" s="124"/>
      <c r="B430" s="126"/>
      <c r="C430" s="126"/>
      <c r="D430" s="1"/>
      <c r="E430" s="1"/>
      <c r="F430" s="126"/>
      <c r="G430" s="126"/>
      <c r="H430" s="118"/>
      <c r="I430" s="119"/>
      <c r="J430" s="120"/>
      <c r="K430" s="121"/>
      <c r="L430" s="121"/>
      <c r="M430" s="121"/>
      <c r="N430" s="121"/>
      <c r="O430" s="121"/>
      <c r="P430" s="122"/>
      <c r="Q430" s="121"/>
    </row>
    <row r="431" spans="1:17" ht="12.75" customHeight="1" x14ac:dyDescent="0.2">
      <c r="A431" s="124"/>
      <c r="B431" s="126"/>
      <c r="C431" s="126"/>
      <c r="D431" s="1"/>
      <c r="E431" s="1"/>
      <c r="F431" s="126"/>
      <c r="G431" s="126"/>
      <c r="H431" s="118"/>
      <c r="I431" s="119"/>
      <c r="J431" s="120"/>
      <c r="K431" s="121"/>
      <c r="L431" s="121"/>
      <c r="M431" s="121"/>
      <c r="N431" s="121"/>
      <c r="O431" s="121"/>
      <c r="P431" s="122"/>
      <c r="Q431" s="121"/>
    </row>
    <row r="432" spans="1:17" ht="12.75" customHeight="1" x14ac:dyDescent="0.2">
      <c r="A432" s="124"/>
      <c r="B432" s="126"/>
      <c r="C432" s="126"/>
      <c r="D432" s="1"/>
      <c r="E432" s="1"/>
      <c r="F432" s="126"/>
      <c r="G432" s="126"/>
      <c r="H432" s="118"/>
      <c r="I432" s="119"/>
      <c r="J432" s="120"/>
      <c r="K432" s="121"/>
      <c r="L432" s="121"/>
      <c r="M432" s="121"/>
      <c r="N432" s="121"/>
      <c r="O432" s="121"/>
      <c r="P432" s="122"/>
      <c r="Q432" s="121"/>
    </row>
    <row r="433" spans="1:17" ht="12.75" customHeight="1" x14ac:dyDescent="0.2">
      <c r="A433" s="124"/>
      <c r="B433" s="126"/>
      <c r="C433" s="126"/>
      <c r="D433" s="1"/>
      <c r="E433" s="1"/>
      <c r="F433" s="126"/>
      <c r="G433" s="126"/>
      <c r="H433" s="118"/>
      <c r="I433" s="119"/>
      <c r="J433" s="120"/>
      <c r="K433" s="121"/>
      <c r="L433" s="121"/>
      <c r="M433" s="121"/>
      <c r="N433" s="121"/>
      <c r="O433" s="121"/>
      <c r="P433" s="122"/>
      <c r="Q433" s="121"/>
    </row>
    <row r="434" spans="1:17" ht="12.75" customHeight="1" x14ac:dyDescent="0.2">
      <c r="A434" s="124"/>
      <c r="B434" s="126"/>
      <c r="C434" s="126"/>
      <c r="D434" s="1"/>
      <c r="E434" s="1"/>
      <c r="F434" s="126"/>
      <c r="G434" s="126"/>
      <c r="H434" s="118"/>
      <c r="I434" s="119"/>
      <c r="J434" s="120"/>
      <c r="K434" s="121"/>
      <c r="L434" s="121"/>
      <c r="M434" s="121"/>
      <c r="N434" s="121"/>
      <c r="O434" s="121"/>
      <c r="P434" s="122"/>
      <c r="Q434" s="121"/>
    </row>
    <row r="435" spans="1:17" ht="12.75" customHeight="1" x14ac:dyDescent="0.2">
      <c r="A435" s="124"/>
      <c r="B435" s="126"/>
      <c r="C435" s="126"/>
      <c r="D435" s="1"/>
      <c r="E435" s="1"/>
      <c r="F435" s="126"/>
      <c r="G435" s="126"/>
      <c r="H435" s="118"/>
      <c r="I435" s="119"/>
      <c r="J435" s="120"/>
      <c r="K435" s="121"/>
      <c r="L435" s="121"/>
      <c r="M435" s="121"/>
      <c r="N435" s="121"/>
      <c r="O435" s="121"/>
      <c r="P435" s="122"/>
      <c r="Q435" s="121"/>
    </row>
    <row r="436" spans="1:17" ht="12.75" customHeight="1" x14ac:dyDescent="0.2">
      <c r="A436" s="124"/>
      <c r="B436" s="126"/>
      <c r="C436" s="126"/>
      <c r="D436" s="1"/>
      <c r="E436" s="1"/>
      <c r="F436" s="126"/>
      <c r="G436" s="126"/>
      <c r="H436" s="118"/>
      <c r="I436" s="119"/>
      <c r="J436" s="120"/>
      <c r="K436" s="121"/>
      <c r="L436" s="121"/>
      <c r="M436" s="121"/>
      <c r="N436" s="121"/>
      <c r="O436" s="121"/>
      <c r="P436" s="122"/>
      <c r="Q436" s="121"/>
    </row>
    <row r="437" spans="1:17" ht="12.75" customHeight="1" x14ac:dyDescent="0.2">
      <c r="A437" s="124"/>
      <c r="B437" s="126"/>
      <c r="C437" s="126"/>
      <c r="D437" s="1"/>
      <c r="E437" s="1"/>
      <c r="F437" s="126"/>
      <c r="G437" s="126"/>
      <c r="H437" s="118"/>
      <c r="I437" s="119"/>
      <c r="J437" s="120"/>
      <c r="K437" s="121"/>
      <c r="L437" s="121"/>
      <c r="M437" s="121"/>
      <c r="N437" s="121"/>
      <c r="O437" s="121"/>
      <c r="P437" s="122"/>
      <c r="Q437" s="121"/>
    </row>
    <row r="438" spans="1:17" ht="12.75" customHeight="1" x14ac:dyDescent="0.2">
      <c r="A438" s="124"/>
      <c r="B438" s="126"/>
      <c r="C438" s="126"/>
      <c r="D438" s="1"/>
      <c r="E438" s="1"/>
      <c r="F438" s="126"/>
      <c r="G438" s="126"/>
      <c r="H438" s="118"/>
      <c r="I438" s="119"/>
      <c r="J438" s="120"/>
      <c r="K438" s="121"/>
      <c r="L438" s="121"/>
      <c r="M438" s="121"/>
      <c r="N438" s="121"/>
      <c r="O438" s="121"/>
      <c r="P438" s="122"/>
      <c r="Q438" s="121"/>
    </row>
    <row r="439" spans="1:17" ht="12.75" customHeight="1" x14ac:dyDescent="0.2">
      <c r="A439" s="124"/>
      <c r="B439" s="126"/>
      <c r="C439" s="126"/>
      <c r="D439" s="1"/>
      <c r="E439" s="1"/>
      <c r="F439" s="126"/>
      <c r="G439" s="126"/>
      <c r="H439" s="118"/>
      <c r="I439" s="119"/>
      <c r="J439" s="120"/>
      <c r="K439" s="121"/>
      <c r="L439" s="121"/>
      <c r="M439" s="121"/>
      <c r="N439" s="121"/>
      <c r="O439" s="121"/>
      <c r="P439" s="122"/>
      <c r="Q439" s="121"/>
    </row>
    <row r="440" spans="1:17" ht="12.75" customHeight="1" x14ac:dyDescent="0.2">
      <c r="A440" s="124"/>
      <c r="B440" s="126"/>
      <c r="C440" s="126"/>
      <c r="D440" s="1"/>
      <c r="E440" s="1"/>
      <c r="F440" s="126"/>
      <c r="G440" s="126"/>
      <c r="H440" s="118"/>
      <c r="I440" s="119"/>
      <c r="J440" s="120"/>
      <c r="K440" s="121"/>
      <c r="L440" s="121"/>
      <c r="M440" s="121"/>
      <c r="N440" s="121"/>
      <c r="O440" s="121"/>
      <c r="P440" s="122"/>
      <c r="Q440" s="121"/>
    </row>
    <row r="441" spans="1:17" ht="12.75" customHeight="1" x14ac:dyDescent="0.2">
      <c r="A441" s="124"/>
      <c r="B441" s="126"/>
      <c r="C441" s="126"/>
      <c r="D441" s="1"/>
      <c r="E441" s="1"/>
      <c r="F441" s="126"/>
      <c r="G441" s="126"/>
      <c r="H441" s="118"/>
      <c r="I441" s="119"/>
      <c r="J441" s="120"/>
      <c r="K441" s="121"/>
      <c r="L441" s="121"/>
      <c r="M441" s="121"/>
      <c r="N441" s="121"/>
      <c r="O441" s="121"/>
      <c r="P441" s="122"/>
      <c r="Q441" s="121"/>
    </row>
    <row r="442" spans="1:17" ht="12.75" customHeight="1" x14ac:dyDescent="0.2">
      <c r="A442" s="124"/>
      <c r="B442" s="126"/>
      <c r="C442" s="126"/>
      <c r="D442" s="1"/>
      <c r="E442" s="1"/>
      <c r="F442" s="126"/>
      <c r="G442" s="126"/>
      <c r="H442" s="118"/>
      <c r="I442" s="119"/>
      <c r="J442" s="120"/>
      <c r="K442" s="121"/>
      <c r="L442" s="121"/>
      <c r="M442" s="121"/>
      <c r="N442" s="121"/>
      <c r="O442" s="121"/>
      <c r="P442" s="122"/>
      <c r="Q442" s="121"/>
    </row>
    <row r="443" spans="1:17" ht="12.75" customHeight="1" x14ac:dyDescent="0.2">
      <c r="A443" s="124"/>
      <c r="B443" s="126"/>
      <c r="C443" s="126"/>
      <c r="D443" s="1"/>
      <c r="E443" s="1"/>
      <c r="F443" s="126"/>
      <c r="G443" s="126"/>
      <c r="H443" s="118"/>
      <c r="I443" s="119"/>
      <c r="J443" s="120"/>
      <c r="K443" s="121"/>
      <c r="L443" s="121"/>
      <c r="M443" s="121"/>
      <c r="N443" s="121"/>
      <c r="O443" s="121"/>
      <c r="P443" s="122"/>
      <c r="Q443" s="121"/>
    </row>
    <row r="444" spans="1:17" ht="12.75" customHeight="1" x14ac:dyDescent="0.2">
      <c r="A444" s="124"/>
      <c r="B444" s="126"/>
      <c r="C444" s="126"/>
      <c r="D444" s="1"/>
      <c r="E444" s="1"/>
      <c r="F444" s="126"/>
      <c r="G444" s="126"/>
      <c r="H444" s="118"/>
      <c r="I444" s="119"/>
      <c r="J444" s="120"/>
      <c r="K444" s="121"/>
      <c r="L444" s="121"/>
      <c r="M444" s="121"/>
      <c r="N444" s="121"/>
      <c r="O444" s="121"/>
      <c r="P444" s="122"/>
      <c r="Q444" s="121"/>
    </row>
    <row r="445" spans="1:17" ht="12.75" customHeight="1" x14ac:dyDescent="0.2">
      <c r="A445" s="124"/>
      <c r="B445" s="126"/>
      <c r="C445" s="126"/>
      <c r="D445" s="1"/>
      <c r="E445" s="1"/>
      <c r="F445" s="126"/>
      <c r="G445" s="126"/>
      <c r="H445" s="118"/>
      <c r="I445" s="119"/>
      <c r="J445" s="120"/>
      <c r="K445" s="121"/>
      <c r="L445" s="121"/>
      <c r="M445" s="121"/>
      <c r="N445" s="121"/>
      <c r="O445" s="121"/>
      <c r="P445" s="122"/>
      <c r="Q445" s="121"/>
    </row>
    <row r="446" spans="1:17" ht="12.75" customHeight="1" x14ac:dyDescent="0.2">
      <c r="A446" s="124"/>
      <c r="B446" s="126"/>
      <c r="C446" s="126"/>
      <c r="D446" s="1"/>
      <c r="E446" s="1"/>
      <c r="F446" s="126"/>
      <c r="G446" s="126"/>
      <c r="H446" s="118"/>
      <c r="I446" s="119"/>
      <c r="J446" s="120"/>
      <c r="K446" s="121"/>
      <c r="L446" s="121"/>
      <c r="M446" s="121"/>
      <c r="N446" s="121"/>
      <c r="O446" s="121"/>
      <c r="P446" s="122"/>
      <c r="Q446" s="121"/>
    </row>
    <row r="447" spans="1:17" ht="12.75" customHeight="1" x14ac:dyDescent="0.2">
      <c r="A447" s="124"/>
      <c r="B447" s="126"/>
      <c r="C447" s="126"/>
      <c r="D447" s="1"/>
      <c r="E447" s="1"/>
      <c r="F447" s="126"/>
      <c r="G447" s="126"/>
      <c r="H447" s="118"/>
      <c r="I447" s="119"/>
      <c r="J447" s="120"/>
      <c r="K447" s="121"/>
      <c r="L447" s="121"/>
      <c r="M447" s="121"/>
      <c r="N447" s="121"/>
      <c r="O447" s="121"/>
      <c r="P447" s="122"/>
      <c r="Q447" s="121"/>
    </row>
    <row r="448" spans="1:17" ht="12.75" customHeight="1" x14ac:dyDescent="0.2">
      <c r="A448" s="124"/>
      <c r="B448" s="126"/>
      <c r="C448" s="126"/>
      <c r="D448" s="1"/>
      <c r="E448" s="1"/>
      <c r="F448" s="126"/>
      <c r="G448" s="126"/>
      <c r="H448" s="118"/>
      <c r="I448" s="119"/>
      <c r="J448" s="120"/>
      <c r="K448" s="121"/>
      <c r="L448" s="121"/>
      <c r="M448" s="121"/>
      <c r="N448" s="121"/>
      <c r="O448" s="121"/>
      <c r="P448" s="122"/>
      <c r="Q448" s="121"/>
    </row>
    <row r="449" spans="1:17" ht="12.75" customHeight="1" x14ac:dyDescent="0.2">
      <c r="A449" s="124"/>
      <c r="B449" s="126"/>
      <c r="C449" s="126"/>
      <c r="D449" s="1"/>
      <c r="E449" s="1"/>
      <c r="F449" s="126"/>
      <c r="G449" s="126"/>
      <c r="H449" s="118"/>
      <c r="I449" s="119"/>
      <c r="J449" s="120"/>
      <c r="K449" s="121"/>
      <c r="L449" s="121"/>
      <c r="M449" s="121"/>
      <c r="N449" s="121"/>
      <c r="O449" s="121"/>
      <c r="P449" s="122"/>
      <c r="Q449" s="121"/>
    </row>
    <row r="450" spans="1:17" ht="12.75" customHeight="1" x14ac:dyDescent="0.2">
      <c r="A450" s="124"/>
      <c r="B450" s="126"/>
      <c r="C450" s="126"/>
      <c r="D450" s="1"/>
      <c r="E450" s="1"/>
      <c r="F450" s="126"/>
      <c r="G450" s="126"/>
      <c r="H450" s="118"/>
      <c r="I450" s="119"/>
      <c r="J450" s="120"/>
      <c r="K450" s="121"/>
      <c r="L450" s="121"/>
      <c r="M450" s="121"/>
      <c r="N450" s="121"/>
      <c r="O450" s="121"/>
      <c r="P450" s="122"/>
      <c r="Q450" s="121"/>
    </row>
    <row r="451" spans="1:17" ht="12.75" customHeight="1" x14ac:dyDescent="0.2">
      <c r="A451" s="124"/>
      <c r="B451" s="126"/>
      <c r="C451" s="126"/>
      <c r="D451" s="1"/>
      <c r="E451" s="1"/>
      <c r="F451" s="126"/>
      <c r="G451" s="126"/>
      <c r="H451" s="118"/>
      <c r="I451" s="119"/>
      <c r="J451" s="120"/>
      <c r="K451" s="121"/>
      <c r="L451" s="121"/>
      <c r="M451" s="121"/>
      <c r="N451" s="121"/>
      <c r="O451" s="121"/>
      <c r="P451" s="122"/>
      <c r="Q451" s="121"/>
    </row>
    <row r="452" spans="1:17" ht="12.75" customHeight="1" x14ac:dyDescent="0.2">
      <c r="A452" s="124"/>
      <c r="B452" s="126"/>
      <c r="C452" s="126"/>
      <c r="D452" s="1"/>
      <c r="E452" s="1"/>
      <c r="F452" s="126"/>
      <c r="G452" s="126"/>
      <c r="H452" s="118"/>
      <c r="I452" s="119"/>
      <c r="J452" s="120"/>
      <c r="K452" s="121"/>
      <c r="L452" s="121"/>
      <c r="M452" s="121"/>
      <c r="N452" s="121"/>
      <c r="O452" s="121"/>
      <c r="P452" s="122"/>
      <c r="Q452" s="121"/>
    </row>
    <row r="453" spans="1:17" ht="12.75" customHeight="1" x14ac:dyDescent="0.2">
      <c r="A453" s="124"/>
      <c r="B453" s="126"/>
      <c r="C453" s="126"/>
      <c r="D453" s="1"/>
      <c r="E453" s="1"/>
      <c r="F453" s="126"/>
      <c r="G453" s="126"/>
      <c r="H453" s="118"/>
      <c r="I453" s="119"/>
      <c r="J453" s="120"/>
      <c r="K453" s="121"/>
      <c r="L453" s="121"/>
      <c r="M453" s="121"/>
      <c r="N453" s="121"/>
      <c r="O453" s="121"/>
      <c r="P453" s="122"/>
      <c r="Q453" s="121"/>
    </row>
    <row r="454" spans="1:17" ht="12.75" customHeight="1" x14ac:dyDescent="0.2">
      <c r="A454" s="124"/>
      <c r="B454" s="126"/>
      <c r="C454" s="126"/>
      <c r="D454" s="1"/>
      <c r="E454" s="1"/>
      <c r="F454" s="126"/>
      <c r="G454" s="126"/>
      <c r="H454" s="118"/>
      <c r="I454" s="119"/>
      <c r="J454" s="120"/>
      <c r="K454" s="121"/>
      <c r="L454" s="121"/>
      <c r="M454" s="121"/>
      <c r="N454" s="121"/>
      <c r="O454" s="121"/>
      <c r="P454" s="122"/>
      <c r="Q454" s="121"/>
    </row>
    <row r="455" spans="1:17" ht="12.75" customHeight="1" x14ac:dyDescent="0.2">
      <c r="A455" s="124"/>
      <c r="B455" s="126"/>
      <c r="C455" s="126"/>
      <c r="D455" s="1"/>
      <c r="E455" s="1"/>
      <c r="F455" s="126"/>
      <c r="G455" s="126"/>
      <c r="H455" s="118"/>
      <c r="I455" s="119"/>
      <c r="J455" s="120"/>
      <c r="K455" s="121"/>
      <c r="L455" s="121"/>
      <c r="M455" s="121"/>
      <c r="N455" s="121"/>
      <c r="O455" s="121"/>
      <c r="P455" s="122"/>
      <c r="Q455" s="121"/>
    </row>
    <row r="456" spans="1:17" ht="12.75" customHeight="1" x14ac:dyDescent="0.2">
      <c r="A456" s="124"/>
      <c r="B456" s="126"/>
      <c r="C456" s="126"/>
      <c r="D456" s="1"/>
      <c r="E456" s="1"/>
      <c r="F456" s="126"/>
      <c r="G456" s="126"/>
      <c r="H456" s="118"/>
      <c r="I456" s="119"/>
      <c r="J456" s="120"/>
      <c r="K456" s="121"/>
      <c r="L456" s="121"/>
      <c r="M456" s="121"/>
      <c r="N456" s="121"/>
      <c r="O456" s="121"/>
      <c r="P456" s="122"/>
      <c r="Q456" s="121"/>
    </row>
    <row r="457" spans="1:17" ht="12.75" customHeight="1" x14ac:dyDescent="0.2">
      <c r="A457" s="124"/>
      <c r="B457" s="126"/>
      <c r="C457" s="126"/>
      <c r="D457" s="1"/>
      <c r="E457" s="1"/>
      <c r="F457" s="126"/>
      <c r="G457" s="126"/>
      <c r="H457" s="118"/>
      <c r="I457" s="119"/>
      <c r="J457" s="120"/>
      <c r="K457" s="121"/>
      <c r="L457" s="121"/>
      <c r="M457" s="121"/>
      <c r="N457" s="121"/>
      <c r="O457" s="121"/>
      <c r="P457" s="122"/>
      <c r="Q457" s="121"/>
    </row>
    <row r="458" spans="1:17" ht="12.75" customHeight="1" x14ac:dyDescent="0.2">
      <c r="A458" s="124"/>
      <c r="B458" s="126"/>
      <c r="C458" s="126"/>
      <c r="D458" s="1"/>
      <c r="E458" s="1"/>
      <c r="F458" s="126"/>
      <c r="G458" s="126"/>
      <c r="H458" s="118"/>
      <c r="I458" s="119"/>
      <c r="J458" s="120"/>
      <c r="K458" s="121"/>
      <c r="L458" s="121"/>
      <c r="M458" s="121"/>
      <c r="N458" s="121"/>
      <c r="O458" s="121"/>
      <c r="P458" s="122"/>
      <c r="Q458" s="121"/>
    </row>
    <row r="459" spans="1:17" ht="12.75" customHeight="1" x14ac:dyDescent="0.2">
      <c r="A459" s="124"/>
      <c r="B459" s="126"/>
      <c r="C459" s="126"/>
      <c r="D459" s="1"/>
      <c r="E459" s="1"/>
      <c r="F459" s="126"/>
      <c r="G459" s="126"/>
      <c r="H459" s="118"/>
      <c r="I459" s="119"/>
      <c r="J459" s="120"/>
      <c r="K459" s="121"/>
      <c r="L459" s="121"/>
      <c r="M459" s="121"/>
      <c r="N459" s="121"/>
      <c r="O459" s="121"/>
      <c r="P459" s="122"/>
      <c r="Q459" s="121"/>
    </row>
    <row r="460" spans="1:17" ht="12.75" customHeight="1" x14ac:dyDescent="0.2">
      <c r="A460" s="124"/>
      <c r="B460" s="126"/>
      <c r="C460" s="126"/>
      <c r="D460" s="1"/>
      <c r="E460" s="1"/>
      <c r="F460" s="126"/>
      <c r="G460" s="126"/>
      <c r="H460" s="118"/>
      <c r="I460" s="119"/>
      <c r="J460" s="120"/>
      <c r="K460" s="121"/>
      <c r="L460" s="121"/>
      <c r="M460" s="121"/>
      <c r="N460" s="121"/>
      <c r="O460" s="121"/>
      <c r="P460" s="122"/>
      <c r="Q460" s="121"/>
    </row>
    <row r="461" spans="1:17" ht="12.75" customHeight="1" x14ac:dyDescent="0.2">
      <c r="A461" s="124"/>
      <c r="B461" s="126"/>
      <c r="C461" s="126"/>
      <c r="D461" s="1"/>
      <c r="E461" s="1"/>
      <c r="F461" s="126"/>
      <c r="G461" s="126"/>
      <c r="H461" s="118"/>
      <c r="I461" s="119"/>
      <c r="J461" s="120"/>
      <c r="K461" s="121"/>
      <c r="L461" s="121"/>
      <c r="M461" s="121"/>
      <c r="N461" s="121"/>
      <c r="O461" s="121"/>
      <c r="P461" s="122"/>
      <c r="Q461" s="121"/>
    </row>
    <row r="462" spans="1:17" ht="12.75" customHeight="1" x14ac:dyDescent="0.2">
      <c r="A462" s="124"/>
      <c r="B462" s="126"/>
      <c r="C462" s="126"/>
      <c r="D462" s="1"/>
      <c r="E462" s="1"/>
      <c r="F462" s="126"/>
      <c r="G462" s="126"/>
      <c r="H462" s="118"/>
      <c r="I462" s="119"/>
      <c r="J462" s="120"/>
      <c r="K462" s="121"/>
      <c r="L462" s="121"/>
      <c r="M462" s="121"/>
      <c r="N462" s="121"/>
      <c r="O462" s="121"/>
      <c r="P462" s="122"/>
      <c r="Q462" s="121"/>
    </row>
    <row r="463" spans="1:17" ht="12.75" customHeight="1" x14ac:dyDescent="0.2">
      <c r="A463" s="124"/>
      <c r="B463" s="126"/>
      <c r="C463" s="126"/>
      <c r="D463" s="1"/>
      <c r="E463" s="1"/>
      <c r="F463" s="126"/>
      <c r="G463" s="126"/>
      <c r="H463" s="118"/>
      <c r="I463" s="119"/>
      <c r="J463" s="120"/>
      <c r="K463" s="121"/>
      <c r="L463" s="121"/>
      <c r="M463" s="121"/>
      <c r="N463" s="121"/>
      <c r="O463" s="121"/>
      <c r="P463" s="122"/>
      <c r="Q463" s="121"/>
    </row>
    <row r="464" spans="1:17" ht="12.75" customHeight="1" x14ac:dyDescent="0.2">
      <c r="A464" s="124"/>
      <c r="B464" s="126"/>
      <c r="C464" s="126"/>
      <c r="D464" s="1"/>
      <c r="E464" s="1"/>
      <c r="F464" s="126"/>
      <c r="G464" s="126"/>
      <c r="H464" s="118"/>
      <c r="I464" s="119"/>
      <c r="J464" s="120"/>
      <c r="K464" s="121"/>
      <c r="L464" s="121"/>
      <c r="M464" s="121"/>
      <c r="N464" s="121"/>
      <c r="O464" s="121"/>
      <c r="P464" s="122"/>
      <c r="Q464" s="121"/>
    </row>
    <row r="465" spans="1:17" ht="12.75" customHeight="1" x14ac:dyDescent="0.2">
      <c r="A465" s="124"/>
      <c r="B465" s="126"/>
      <c r="C465" s="126"/>
      <c r="D465" s="1"/>
      <c r="E465" s="1"/>
      <c r="F465" s="126"/>
      <c r="G465" s="126"/>
      <c r="H465" s="118"/>
      <c r="I465" s="119"/>
      <c r="J465" s="120"/>
      <c r="K465" s="121"/>
      <c r="L465" s="121"/>
      <c r="M465" s="121"/>
      <c r="N465" s="121"/>
      <c r="O465" s="121"/>
      <c r="P465" s="122"/>
      <c r="Q465" s="121"/>
    </row>
    <row r="466" spans="1:17" ht="12.75" customHeight="1" x14ac:dyDescent="0.2">
      <c r="A466" s="124"/>
      <c r="B466" s="126"/>
      <c r="C466" s="126"/>
      <c r="D466" s="1"/>
      <c r="E466" s="1"/>
      <c r="F466" s="126"/>
      <c r="G466" s="126"/>
      <c r="H466" s="118"/>
      <c r="I466" s="119"/>
      <c r="J466" s="120"/>
      <c r="K466" s="121"/>
      <c r="L466" s="121"/>
      <c r="M466" s="121"/>
      <c r="N466" s="121"/>
      <c r="O466" s="121"/>
      <c r="P466" s="122"/>
      <c r="Q466" s="121"/>
    </row>
    <row r="467" spans="1:17" ht="12.75" customHeight="1" x14ac:dyDescent="0.2">
      <c r="A467" s="124"/>
      <c r="B467" s="126"/>
      <c r="C467" s="126"/>
      <c r="D467" s="1"/>
      <c r="E467" s="1"/>
      <c r="F467" s="126"/>
      <c r="G467" s="126"/>
      <c r="H467" s="118"/>
      <c r="I467" s="119"/>
      <c r="J467" s="120"/>
      <c r="K467" s="121"/>
      <c r="L467" s="121"/>
      <c r="M467" s="121"/>
      <c r="N467" s="121"/>
      <c r="O467" s="121"/>
      <c r="P467" s="122"/>
      <c r="Q467" s="121"/>
    </row>
    <row r="468" spans="1:17" ht="12.75" customHeight="1" x14ac:dyDescent="0.2">
      <c r="A468" s="124"/>
      <c r="B468" s="126"/>
      <c r="C468" s="126"/>
      <c r="D468" s="1"/>
      <c r="E468" s="1"/>
      <c r="F468" s="126"/>
      <c r="G468" s="126"/>
      <c r="H468" s="118"/>
      <c r="I468" s="119"/>
      <c r="J468" s="120"/>
      <c r="K468" s="121"/>
      <c r="L468" s="121"/>
      <c r="M468" s="121"/>
      <c r="N468" s="121"/>
      <c r="O468" s="121"/>
      <c r="P468" s="122"/>
      <c r="Q468" s="121"/>
    </row>
    <row r="469" spans="1:17" ht="12.75" customHeight="1" x14ac:dyDescent="0.2">
      <c r="A469" s="124"/>
      <c r="B469" s="126"/>
      <c r="C469" s="126"/>
      <c r="D469" s="1"/>
      <c r="E469" s="1"/>
      <c r="F469" s="126"/>
      <c r="G469" s="126"/>
      <c r="H469" s="118"/>
      <c r="I469" s="119"/>
      <c r="J469" s="120"/>
      <c r="K469" s="121"/>
      <c r="L469" s="121"/>
      <c r="M469" s="121"/>
      <c r="N469" s="121"/>
      <c r="O469" s="121"/>
      <c r="P469" s="122"/>
      <c r="Q469" s="121"/>
    </row>
    <row r="470" spans="1:17" ht="12.75" customHeight="1" x14ac:dyDescent="0.2">
      <c r="A470" s="124"/>
      <c r="B470" s="126"/>
      <c r="C470" s="126"/>
      <c r="D470" s="1"/>
      <c r="E470" s="1"/>
      <c r="F470" s="126"/>
      <c r="G470" s="126"/>
      <c r="H470" s="118"/>
      <c r="I470" s="119"/>
      <c r="J470" s="120"/>
      <c r="K470" s="121"/>
      <c r="L470" s="121"/>
      <c r="M470" s="121"/>
      <c r="N470" s="121"/>
      <c r="O470" s="121"/>
      <c r="P470" s="122"/>
      <c r="Q470" s="121"/>
    </row>
    <row r="471" spans="1:17" ht="12.75" customHeight="1" x14ac:dyDescent="0.2">
      <c r="A471" s="124"/>
      <c r="B471" s="126"/>
      <c r="C471" s="126"/>
      <c r="D471" s="1"/>
      <c r="E471" s="1"/>
      <c r="F471" s="126"/>
      <c r="G471" s="126"/>
      <c r="H471" s="118"/>
      <c r="I471" s="119"/>
      <c r="J471" s="120"/>
      <c r="K471" s="121"/>
      <c r="L471" s="121"/>
      <c r="M471" s="121"/>
      <c r="N471" s="121"/>
      <c r="O471" s="121"/>
      <c r="P471" s="122"/>
      <c r="Q471" s="121"/>
    </row>
    <row r="472" spans="1:17" ht="12.75" customHeight="1" x14ac:dyDescent="0.2">
      <c r="A472" s="124"/>
      <c r="B472" s="126"/>
      <c r="C472" s="126"/>
      <c r="D472" s="1"/>
      <c r="E472" s="1"/>
      <c r="F472" s="126"/>
      <c r="G472" s="126"/>
      <c r="H472" s="118"/>
      <c r="I472" s="119"/>
      <c r="J472" s="120"/>
      <c r="K472" s="121"/>
      <c r="L472" s="121"/>
      <c r="M472" s="121"/>
      <c r="N472" s="121"/>
      <c r="O472" s="121"/>
      <c r="P472" s="122"/>
      <c r="Q472" s="121"/>
    </row>
    <row r="473" spans="1:17" ht="12.75" customHeight="1" x14ac:dyDescent="0.2">
      <c r="A473" s="124"/>
      <c r="B473" s="126"/>
      <c r="C473" s="126"/>
      <c r="D473" s="1"/>
      <c r="E473" s="1"/>
      <c r="F473" s="126"/>
      <c r="G473" s="126"/>
      <c r="H473" s="118"/>
      <c r="I473" s="119"/>
      <c r="J473" s="120"/>
      <c r="K473" s="121"/>
      <c r="L473" s="121"/>
      <c r="M473" s="121"/>
      <c r="N473" s="121"/>
      <c r="O473" s="121"/>
      <c r="P473" s="122"/>
      <c r="Q473" s="121"/>
    </row>
    <row r="474" spans="1:17" ht="12.75" customHeight="1" x14ac:dyDescent="0.2">
      <c r="A474" s="124"/>
      <c r="B474" s="126"/>
      <c r="C474" s="126"/>
      <c r="D474" s="1"/>
      <c r="E474" s="1"/>
      <c r="F474" s="126"/>
      <c r="G474" s="126"/>
      <c r="H474" s="118"/>
      <c r="I474" s="119"/>
      <c r="J474" s="120"/>
      <c r="K474" s="121"/>
      <c r="L474" s="121"/>
      <c r="M474" s="121"/>
      <c r="N474" s="121"/>
      <c r="O474" s="121"/>
      <c r="P474" s="122"/>
      <c r="Q474" s="121"/>
    </row>
    <row r="475" spans="1:17" ht="12.75" customHeight="1" x14ac:dyDescent="0.2">
      <c r="A475" s="124"/>
      <c r="B475" s="126"/>
      <c r="C475" s="126"/>
      <c r="D475" s="1"/>
      <c r="E475" s="1"/>
      <c r="F475" s="126"/>
      <c r="G475" s="126"/>
      <c r="H475" s="118"/>
      <c r="I475" s="119"/>
      <c r="J475" s="120"/>
      <c r="K475" s="121"/>
      <c r="L475" s="121"/>
      <c r="M475" s="121"/>
      <c r="N475" s="121"/>
      <c r="O475" s="121"/>
      <c r="P475" s="122"/>
      <c r="Q475" s="121"/>
    </row>
    <row r="476" spans="1:17" ht="12.75" customHeight="1" x14ac:dyDescent="0.2">
      <c r="A476" s="124"/>
      <c r="B476" s="126"/>
      <c r="C476" s="126"/>
      <c r="D476" s="1"/>
      <c r="E476" s="1"/>
      <c r="F476" s="126"/>
      <c r="G476" s="126"/>
      <c r="H476" s="118"/>
      <c r="I476" s="119"/>
      <c r="J476" s="120"/>
      <c r="K476" s="121"/>
      <c r="L476" s="121"/>
      <c r="M476" s="121"/>
      <c r="N476" s="121"/>
      <c r="O476" s="121"/>
      <c r="P476" s="122"/>
      <c r="Q476" s="121"/>
    </row>
    <row r="477" spans="1:17" ht="12.75" customHeight="1" x14ac:dyDescent="0.2">
      <c r="A477" s="124"/>
      <c r="B477" s="126"/>
      <c r="C477" s="126"/>
      <c r="D477" s="1"/>
      <c r="E477" s="1"/>
      <c r="F477" s="126"/>
      <c r="G477" s="126"/>
      <c r="H477" s="118"/>
      <c r="I477" s="119"/>
      <c r="J477" s="120"/>
      <c r="K477" s="121"/>
      <c r="L477" s="121"/>
      <c r="M477" s="121"/>
      <c r="N477" s="121"/>
      <c r="O477" s="121"/>
      <c r="P477" s="122"/>
      <c r="Q477" s="121"/>
    </row>
    <row r="478" spans="1:17" ht="12.75" customHeight="1" x14ac:dyDescent="0.2">
      <c r="A478" s="124"/>
      <c r="B478" s="126"/>
      <c r="C478" s="126"/>
      <c r="D478" s="1"/>
      <c r="E478" s="1"/>
      <c r="F478" s="126"/>
      <c r="G478" s="126"/>
      <c r="H478" s="118"/>
      <c r="I478" s="119"/>
      <c r="J478" s="120"/>
      <c r="K478" s="121"/>
      <c r="L478" s="121"/>
      <c r="M478" s="121"/>
      <c r="N478" s="121"/>
      <c r="O478" s="121"/>
      <c r="P478" s="122"/>
      <c r="Q478" s="121"/>
    </row>
    <row r="479" spans="1:17" ht="12.75" customHeight="1" x14ac:dyDescent="0.2">
      <c r="A479" s="124"/>
      <c r="B479" s="126"/>
      <c r="C479" s="126"/>
      <c r="D479" s="1"/>
      <c r="E479" s="1"/>
      <c r="F479" s="126"/>
      <c r="G479" s="126"/>
      <c r="H479" s="118"/>
      <c r="I479" s="119"/>
      <c r="J479" s="120"/>
      <c r="K479" s="121"/>
      <c r="L479" s="121"/>
      <c r="M479" s="121"/>
      <c r="N479" s="121"/>
      <c r="O479" s="121"/>
      <c r="P479" s="122"/>
      <c r="Q479" s="121"/>
    </row>
    <row r="480" spans="1:17" ht="12.75" customHeight="1" x14ac:dyDescent="0.2">
      <c r="A480" s="124"/>
      <c r="B480" s="126"/>
      <c r="C480" s="126"/>
      <c r="D480" s="1"/>
      <c r="E480" s="1"/>
      <c r="F480" s="126"/>
      <c r="G480" s="126"/>
      <c r="H480" s="118"/>
      <c r="I480" s="119"/>
      <c r="J480" s="120"/>
      <c r="K480" s="121"/>
      <c r="L480" s="121"/>
      <c r="M480" s="121"/>
      <c r="N480" s="121"/>
      <c r="O480" s="121"/>
      <c r="P480" s="122"/>
      <c r="Q480" s="121"/>
    </row>
    <row r="481" spans="1:17" ht="12.75" customHeight="1" x14ac:dyDescent="0.2">
      <c r="A481" s="124"/>
      <c r="B481" s="126"/>
      <c r="C481" s="126"/>
      <c r="D481" s="1"/>
      <c r="E481" s="1"/>
      <c r="F481" s="126"/>
      <c r="G481" s="126"/>
      <c r="H481" s="118"/>
      <c r="I481" s="119"/>
      <c r="J481" s="120"/>
      <c r="K481" s="121"/>
      <c r="L481" s="121"/>
      <c r="M481" s="121"/>
      <c r="N481" s="121"/>
      <c r="O481" s="121"/>
      <c r="P481" s="122"/>
      <c r="Q481" s="121"/>
    </row>
    <row r="482" spans="1:17" ht="12.75" customHeight="1" x14ac:dyDescent="0.2">
      <c r="A482" s="124"/>
      <c r="B482" s="126"/>
      <c r="C482" s="126"/>
      <c r="D482" s="1"/>
      <c r="E482" s="1"/>
      <c r="F482" s="126"/>
      <c r="G482" s="126"/>
      <c r="H482" s="118"/>
      <c r="I482" s="119"/>
      <c r="J482" s="120"/>
      <c r="K482" s="121"/>
      <c r="L482" s="121"/>
      <c r="M482" s="121"/>
      <c r="N482" s="121"/>
      <c r="O482" s="121"/>
      <c r="P482" s="122"/>
      <c r="Q482" s="121"/>
    </row>
    <row r="483" spans="1:17" ht="12.75" customHeight="1" x14ac:dyDescent="0.2">
      <c r="A483" s="124"/>
      <c r="B483" s="126"/>
      <c r="C483" s="126"/>
      <c r="D483" s="1"/>
      <c r="E483" s="1"/>
      <c r="F483" s="126"/>
      <c r="G483" s="126"/>
      <c r="H483" s="118"/>
      <c r="I483" s="119"/>
      <c r="J483" s="120"/>
      <c r="K483" s="121"/>
      <c r="L483" s="121"/>
      <c r="M483" s="121"/>
      <c r="N483" s="121"/>
      <c r="O483" s="121"/>
      <c r="P483" s="122"/>
      <c r="Q483" s="121"/>
    </row>
    <row r="484" spans="1:17" ht="12.75" customHeight="1" x14ac:dyDescent="0.2">
      <c r="A484" s="124"/>
      <c r="B484" s="126"/>
      <c r="C484" s="126"/>
      <c r="D484" s="1"/>
      <c r="E484" s="1"/>
      <c r="F484" s="126"/>
      <c r="G484" s="126"/>
      <c r="H484" s="118"/>
      <c r="I484" s="119"/>
      <c r="J484" s="120"/>
      <c r="K484" s="121"/>
      <c r="L484" s="121"/>
      <c r="M484" s="121"/>
      <c r="N484" s="121"/>
      <c r="O484" s="121"/>
      <c r="P484" s="122"/>
      <c r="Q484" s="121"/>
    </row>
    <row r="485" spans="1:17" ht="12.75" customHeight="1" x14ac:dyDescent="0.2">
      <c r="A485" s="124"/>
      <c r="B485" s="126"/>
      <c r="C485" s="126"/>
      <c r="D485" s="1"/>
      <c r="E485" s="1"/>
      <c r="F485" s="126"/>
      <c r="G485" s="126"/>
      <c r="H485" s="118"/>
      <c r="I485" s="119"/>
      <c r="J485" s="120"/>
      <c r="K485" s="121"/>
      <c r="L485" s="121"/>
      <c r="M485" s="121"/>
      <c r="N485" s="121"/>
      <c r="O485" s="121"/>
      <c r="P485" s="122"/>
      <c r="Q485" s="121"/>
    </row>
    <row r="486" spans="1:17" ht="12.75" customHeight="1" x14ac:dyDescent="0.2">
      <c r="A486" s="124"/>
      <c r="B486" s="126"/>
      <c r="C486" s="126"/>
      <c r="D486" s="1"/>
      <c r="E486" s="1"/>
      <c r="F486" s="126"/>
      <c r="G486" s="126"/>
      <c r="H486" s="118"/>
      <c r="I486" s="119"/>
      <c r="J486" s="120"/>
      <c r="K486" s="121"/>
      <c r="L486" s="121"/>
      <c r="M486" s="121"/>
      <c r="N486" s="121"/>
      <c r="O486" s="121"/>
      <c r="P486" s="122"/>
      <c r="Q486" s="121"/>
    </row>
    <row r="487" spans="1:17" ht="12.75" customHeight="1" x14ac:dyDescent="0.2">
      <c r="A487" s="124"/>
      <c r="B487" s="126"/>
      <c r="C487" s="126"/>
      <c r="D487" s="1"/>
      <c r="E487" s="1"/>
      <c r="F487" s="126"/>
      <c r="G487" s="126"/>
      <c r="H487" s="118"/>
      <c r="I487" s="119"/>
      <c r="J487" s="120"/>
      <c r="K487" s="121"/>
      <c r="L487" s="121"/>
      <c r="M487" s="121"/>
      <c r="N487" s="121"/>
      <c r="O487" s="121"/>
      <c r="P487" s="122"/>
      <c r="Q487" s="121"/>
    </row>
    <row r="488" spans="1:17" ht="12.75" customHeight="1" x14ac:dyDescent="0.2">
      <c r="A488" s="124"/>
      <c r="B488" s="126"/>
      <c r="C488" s="126"/>
      <c r="D488" s="1"/>
      <c r="E488" s="1"/>
      <c r="F488" s="126"/>
      <c r="G488" s="126"/>
      <c r="H488" s="118"/>
      <c r="I488" s="119"/>
      <c r="J488" s="120"/>
      <c r="K488" s="121"/>
      <c r="L488" s="121"/>
      <c r="M488" s="121"/>
      <c r="N488" s="121"/>
      <c r="O488" s="121"/>
      <c r="P488" s="122"/>
      <c r="Q488" s="121"/>
    </row>
    <row r="489" spans="1:17" ht="12.75" customHeight="1" x14ac:dyDescent="0.2">
      <c r="A489" s="124"/>
      <c r="B489" s="126"/>
      <c r="C489" s="126"/>
      <c r="D489" s="1"/>
      <c r="E489" s="1"/>
      <c r="F489" s="126"/>
      <c r="G489" s="126"/>
      <c r="H489" s="118"/>
      <c r="I489" s="119"/>
      <c r="J489" s="120"/>
      <c r="K489" s="121"/>
      <c r="L489" s="121"/>
      <c r="M489" s="121"/>
      <c r="N489" s="121"/>
      <c r="O489" s="121"/>
      <c r="P489" s="122"/>
      <c r="Q489" s="121"/>
    </row>
    <row r="490" spans="1:17" ht="12.75" customHeight="1" x14ac:dyDescent="0.2">
      <c r="A490" s="124"/>
      <c r="B490" s="126"/>
      <c r="C490" s="126"/>
      <c r="D490" s="1"/>
      <c r="E490" s="1"/>
      <c r="F490" s="126"/>
      <c r="G490" s="126"/>
      <c r="H490" s="118"/>
      <c r="I490" s="119"/>
      <c r="J490" s="120"/>
      <c r="K490" s="121"/>
      <c r="L490" s="121"/>
      <c r="M490" s="121"/>
      <c r="N490" s="121"/>
      <c r="O490" s="121"/>
      <c r="P490" s="122"/>
      <c r="Q490" s="121"/>
    </row>
    <row r="491" spans="1:17" ht="12.75" customHeight="1" x14ac:dyDescent="0.2">
      <c r="A491" s="124"/>
      <c r="B491" s="126"/>
      <c r="C491" s="126"/>
      <c r="D491" s="1"/>
      <c r="E491" s="1"/>
      <c r="F491" s="126"/>
      <c r="G491" s="126"/>
      <c r="H491" s="118"/>
      <c r="I491" s="119"/>
      <c r="J491" s="120"/>
      <c r="K491" s="121"/>
      <c r="L491" s="121"/>
      <c r="M491" s="121"/>
      <c r="N491" s="121"/>
      <c r="O491" s="121"/>
      <c r="P491" s="122"/>
      <c r="Q491" s="121"/>
    </row>
    <row r="492" spans="1:17" ht="12.75" customHeight="1" x14ac:dyDescent="0.2">
      <c r="A492" s="124"/>
      <c r="B492" s="126"/>
      <c r="C492" s="126"/>
      <c r="D492" s="1"/>
      <c r="E492" s="1"/>
      <c r="F492" s="126"/>
      <c r="G492" s="126"/>
      <c r="H492" s="118"/>
      <c r="I492" s="119"/>
      <c r="J492" s="120"/>
      <c r="K492" s="121"/>
      <c r="L492" s="121"/>
      <c r="M492" s="121"/>
      <c r="N492" s="121"/>
      <c r="O492" s="121"/>
      <c r="P492" s="122"/>
      <c r="Q492" s="121"/>
    </row>
    <row r="493" spans="1:17" ht="12.75" customHeight="1" x14ac:dyDescent="0.2">
      <c r="A493" s="124"/>
      <c r="B493" s="126"/>
      <c r="C493" s="126"/>
      <c r="D493" s="1"/>
      <c r="E493" s="1"/>
      <c r="F493" s="126"/>
      <c r="G493" s="126"/>
      <c r="H493" s="118"/>
      <c r="I493" s="119"/>
      <c r="J493" s="120"/>
      <c r="K493" s="121"/>
      <c r="L493" s="121"/>
      <c r="M493" s="121"/>
      <c r="N493" s="121"/>
      <c r="O493" s="121"/>
      <c r="P493" s="122"/>
      <c r="Q493" s="121"/>
    </row>
    <row r="494" spans="1:17" ht="12.75" customHeight="1" x14ac:dyDescent="0.2">
      <c r="A494" s="124"/>
      <c r="B494" s="126"/>
      <c r="C494" s="126"/>
      <c r="D494" s="1"/>
      <c r="E494" s="1"/>
      <c r="F494" s="126"/>
      <c r="G494" s="126"/>
      <c r="H494" s="118"/>
      <c r="I494" s="119"/>
      <c r="J494" s="120"/>
      <c r="K494" s="121"/>
      <c r="L494" s="121"/>
      <c r="M494" s="121"/>
      <c r="N494" s="121"/>
      <c r="O494" s="121"/>
      <c r="P494" s="122"/>
      <c r="Q494" s="121"/>
    </row>
    <row r="495" spans="1:17" ht="12.75" customHeight="1" x14ac:dyDescent="0.2">
      <c r="A495" s="124"/>
      <c r="B495" s="126"/>
      <c r="C495" s="126"/>
      <c r="D495" s="1"/>
      <c r="E495" s="1"/>
      <c r="F495" s="126"/>
      <c r="G495" s="126"/>
      <c r="H495" s="118"/>
      <c r="I495" s="119"/>
      <c r="J495" s="120"/>
      <c r="K495" s="121"/>
      <c r="L495" s="121"/>
      <c r="M495" s="121"/>
      <c r="N495" s="121"/>
      <c r="O495" s="121"/>
      <c r="P495" s="122"/>
      <c r="Q495" s="121"/>
    </row>
    <row r="496" spans="1:17" ht="12.75" customHeight="1" x14ac:dyDescent="0.2">
      <c r="A496" s="124"/>
      <c r="B496" s="126"/>
      <c r="C496" s="126"/>
      <c r="D496" s="1"/>
      <c r="E496" s="1"/>
      <c r="F496" s="126"/>
      <c r="G496" s="126"/>
      <c r="H496" s="118"/>
      <c r="I496" s="119"/>
      <c r="J496" s="120"/>
      <c r="K496" s="121"/>
      <c r="L496" s="121"/>
      <c r="M496" s="121"/>
      <c r="N496" s="121"/>
      <c r="O496" s="121"/>
      <c r="P496" s="122"/>
      <c r="Q496" s="121"/>
    </row>
    <row r="497" spans="1:17" ht="12.75" customHeight="1" x14ac:dyDescent="0.2">
      <c r="A497" s="124"/>
      <c r="B497" s="126"/>
      <c r="C497" s="126"/>
      <c r="D497" s="1"/>
      <c r="E497" s="1"/>
      <c r="F497" s="126"/>
      <c r="G497" s="126"/>
      <c r="H497" s="118"/>
      <c r="I497" s="119"/>
      <c r="J497" s="120"/>
      <c r="K497" s="121"/>
      <c r="L497" s="121"/>
      <c r="M497" s="121"/>
      <c r="N497" s="121"/>
      <c r="O497" s="121"/>
      <c r="P497" s="122"/>
      <c r="Q497" s="121"/>
    </row>
    <row r="498" spans="1:17" ht="12.75" customHeight="1" x14ac:dyDescent="0.2">
      <c r="A498" s="124"/>
      <c r="B498" s="126"/>
      <c r="C498" s="126"/>
      <c r="D498" s="1"/>
      <c r="E498" s="1"/>
      <c r="F498" s="126"/>
      <c r="G498" s="126"/>
      <c r="H498" s="118"/>
      <c r="I498" s="119"/>
      <c r="J498" s="120"/>
      <c r="K498" s="121"/>
      <c r="L498" s="121"/>
      <c r="M498" s="121"/>
      <c r="N498" s="121"/>
      <c r="O498" s="121"/>
      <c r="P498" s="122"/>
      <c r="Q498" s="121"/>
    </row>
    <row r="499" spans="1:17" ht="12.75" customHeight="1" x14ac:dyDescent="0.2">
      <c r="A499" s="124"/>
      <c r="B499" s="126"/>
      <c r="C499" s="126"/>
      <c r="D499" s="1"/>
      <c r="E499" s="1"/>
      <c r="F499" s="126"/>
      <c r="G499" s="126"/>
      <c r="H499" s="118"/>
      <c r="I499" s="119"/>
      <c r="J499" s="120"/>
      <c r="K499" s="121"/>
      <c r="L499" s="121"/>
      <c r="M499" s="121"/>
      <c r="N499" s="121"/>
      <c r="O499" s="121"/>
      <c r="P499" s="122"/>
      <c r="Q499" s="121"/>
    </row>
    <row r="500" spans="1:17" ht="12.75" customHeight="1" x14ac:dyDescent="0.2">
      <c r="A500" s="124"/>
      <c r="B500" s="126"/>
      <c r="C500" s="126"/>
      <c r="D500" s="1"/>
      <c r="E500" s="1"/>
      <c r="F500" s="126"/>
      <c r="G500" s="126"/>
      <c r="H500" s="118"/>
      <c r="I500" s="119"/>
      <c r="J500" s="120"/>
      <c r="K500" s="121"/>
      <c r="L500" s="121"/>
      <c r="M500" s="121"/>
      <c r="N500" s="121"/>
      <c r="O500" s="121"/>
      <c r="P500" s="122"/>
      <c r="Q500" s="121"/>
    </row>
    <row r="501" spans="1:17" ht="12.75" customHeight="1" x14ac:dyDescent="0.2">
      <c r="A501" s="124"/>
      <c r="B501" s="126"/>
      <c r="C501" s="126"/>
      <c r="D501" s="1"/>
      <c r="E501" s="1"/>
      <c r="F501" s="126"/>
      <c r="G501" s="126"/>
      <c r="H501" s="118"/>
      <c r="I501" s="119"/>
      <c r="J501" s="120"/>
      <c r="K501" s="121"/>
      <c r="L501" s="121"/>
      <c r="M501" s="121"/>
      <c r="N501" s="121"/>
      <c r="O501" s="121"/>
      <c r="P501" s="122"/>
      <c r="Q501" s="121"/>
    </row>
    <row r="502" spans="1:17" ht="12.75" customHeight="1" x14ac:dyDescent="0.2">
      <c r="A502" s="124"/>
      <c r="B502" s="126"/>
      <c r="C502" s="126"/>
      <c r="D502" s="1"/>
      <c r="E502" s="1"/>
      <c r="F502" s="126"/>
      <c r="G502" s="126"/>
      <c r="H502" s="118"/>
      <c r="I502" s="119"/>
      <c r="J502" s="120"/>
      <c r="K502" s="121"/>
      <c r="L502" s="121"/>
      <c r="M502" s="121"/>
      <c r="N502" s="121"/>
      <c r="O502" s="121"/>
      <c r="P502" s="122"/>
      <c r="Q502" s="121"/>
    </row>
    <row r="503" spans="1:17" ht="12.75" customHeight="1" x14ac:dyDescent="0.2">
      <c r="A503" s="124"/>
      <c r="B503" s="126"/>
      <c r="C503" s="126"/>
      <c r="D503" s="1"/>
      <c r="E503" s="1"/>
      <c r="F503" s="126"/>
      <c r="G503" s="126"/>
      <c r="H503" s="118"/>
      <c r="I503" s="119"/>
      <c r="J503" s="120"/>
      <c r="K503" s="121"/>
      <c r="L503" s="121"/>
      <c r="M503" s="121"/>
      <c r="N503" s="121"/>
      <c r="O503" s="121"/>
      <c r="P503" s="122"/>
      <c r="Q503" s="121"/>
    </row>
    <row r="504" spans="1:17" ht="12.75" customHeight="1" x14ac:dyDescent="0.2">
      <c r="A504" s="124"/>
      <c r="B504" s="126"/>
      <c r="C504" s="126"/>
      <c r="D504" s="1"/>
      <c r="E504" s="1"/>
      <c r="F504" s="126"/>
      <c r="G504" s="126"/>
      <c r="H504" s="118"/>
      <c r="I504" s="119"/>
      <c r="J504" s="120"/>
      <c r="K504" s="121"/>
      <c r="L504" s="121"/>
      <c r="M504" s="121"/>
      <c r="N504" s="121"/>
      <c r="O504" s="121"/>
      <c r="P504" s="122"/>
      <c r="Q504" s="121"/>
    </row>
    <row r="505" spans="1:17" ht="12.75" customHeight="1" x14ac:dyDescent="0.2">
      <c r="A505" s="124"/>
      <c r="B505" s="126"/>
      <c r="C505" s="126"/>
      <c r="D505" s="1"/>
      <c r="E505" s="1"/>
      <c r="F505" s="126"/>
      <c r="G505" s="126"/>
      <c r="H505" s="118"/>
      <c r="I505" s="119"/>
      <c r="J505" s="120"/>
      <c r="K505" s="121"/>
      <c r="L505" s="121"/>
      <c r="M505" s="121"/>
      <c r="N505" s="121"/>
      <c r="O505" s="121"/>
      <c r="P505" s="122"/>
      <c r="Q505" s="121"/>
    </row>
    <row r="506" spans="1:17" ht="12.75" customHeight="1" x14ac:dyDescent="0.2">
      <c r="A506" s="124"/>
      <c r="B506" s="126"/>
      <c r="C506" s="126"/>
      <c r="D506" s="1"/>
      <c r="E506" s="1"/>
      <c r="F506" s="126"/>
      <c r="G506" s="126"/>
      <c r="H506" s="118"/>
      <c r="I506" s="119"/>
      <c r="J506" s="120"/>
      <c r="K506" s="121"/>
      <c r="L506" s="121"/>
      <c r="M506" s="121"/>
      <c r="N506" s="121"/>
      <c r="O506" s="121"/>
      <c r="P506" s="122"/>
      <c r="Q506" s="121"/>
    </row>
    <row r="507" spans="1:17" ht="12.75" customHeight="1" x14ac:dyDescent="0.2">
      <c r="A507" s="124"/>
      <c r="B507" s="126"/>
      <c r="C507" s="126"/>
      <c r="D507" s="1"/>
      <c r="E507" s="1"/>
      <c r="F507" s="126"/>
      <c r="G507" s="126"/>
      <c r="H507" s="118"/>
      <c r="I507" s="119"/>
      <c r="J507" s="120"/>
      <c r="K507" s="121"/>
      <c r="L507" s="121"/>
      <c r="M507" s="121"/>
      <c r="N507" s="121"/>
      <c r="O507" s="121"/>
      <c r="P507" s="122"/>
      <c r="Q507" s="121"/>
    </row>
    <row r="508" spans="1:17" ht="12.75" customHeight="1" x14ac:dyDescent="0.2">
      <c r="A508" s="124"/>
      <c r="B508" s="126"/>
      <c r="C508" s="126"/>
      <c r="D508" s="1"/>
      <c r="E508" s="1"/>
      <c r="F508" s="126"/>
      <c r="G508" s="126"/>
      <c r="H508" s="118"/>
      <c r="I508" s="119"/>
      <c r="J508" s="120"/>
      <c r="K508" s="121"/>
      <c r="L508" s="121"/>
      <c r="M508" s="121"/>
      <c r="N508" s="121"/>
      <c r="O508" s="121"/>
      <c r="P508" s="122"/>
      <c r="Q508" s="121"/>
    </row>
    <row r="509" spans="1:17" ht="12.75" customHeight="1" x14ac:dyDescent="0.2">
      <c r="A509" s="124"/>
      <c r="B509" s="126"/>
      <c r="C509" s="126"/>
      <c r="D509" s="1"/>
      <c r="E509" s="1"/>
      <c r="F509" s="126"/>
      <c r="G509" s="126"/>
      <c r="H509" s="118"/>
      <c r="I509" s="119"/>
      <c r="J509" s="120"/>
      <c r="K509" s="121"/>
      <c r="L509" s="121"/>
      <c r="M509" s="121"/>
      <c r="N509" s="121"/>
      <c r="O509" s="121"/>
      <c r="P509" s="122"/>
      <c r="Q509" s="121"/>
    </row>
    <row r="510" spans="1:17" ht="12.75" customHeight="1" x14ac:dyDescent="0.2">
      <c r="A510" s="124"/>
      <c r="B510" s="126"/>
      <c r="C510" s="126"/>
      <c r="D510" s="1"/>
      <c r="E510" s="1"/>
      <c r="F510" s="126"/>
      <c r="G510" s="126"/>
      <c r="H510" s="118"/>
      <c r="I510" s="119"/>
      <c r="J510" s="120"/>
      <c r="K510" s="121"/>
      <c r="L510" s="121"/>
      <c r="M510" s="121"/>
      <c r="N510" s="121"/>
      <c r="O510" s="121"/>
      <c r="P510" s="122"/>
      <c r="Q510" s="121"/>
    </row>
    <row r="511" spans="1:17" ht="12.75" customHeight="1" x14ac:dyDescent="0.2">
      <c r="A511" s="124"/>
      <c r="B511" s="126"/>
      <c r="C511" s="126"/>
      <c r="D511" s="1"/>
      <c r="E511" s="1"/>
      <c r="F511" s="126"/>
      <c r="G511" s="126"/>
      <c r="H511" s="118"/>
      <c r="I511" s="119"/>
      <c r="J511" s="120"/>
      <c r="K511" s="121"/>
      <c r="L511" s="121"/>
      <c r="M511" s="121"/>
      <c r="N511" s="121"/>
      <c r="O511" s="121"/>
      <c r="P511" s="122"/>
      <c r="Q511" s="121"/>
    </row>
    <row r="512" spans="1:17" ht="12.75" customHeight="1" x14ac:dyDescent="0.2">
      <c r="A512" s="124"/>
      <c r="B512" s="126"/>
      <c r="C512" s="126"/>
      <c r="D512" s="1"/>
      <c r="E512" s="1"/>
      <c r="F512" s="126"/>
      <c r="G512" s="126"/>
      <c r="H512" s="118"/>
      <c r="I512" s="119"/>
      <c r="J512" s="120"/>
      <c r="K512" s="121"/>
      <c r="L512" s="121"/>
      <c r="M512" s="121"/>
      <c r="N512" s="121"/>
      <c r="O512" s="121"/>
      <c r="P512" s="122"/>
      <c r="Q512" s="121"/>
    </row>
    <row r="513" spans="1:17" ht="12.75" customHeight="1" x14ac:dyDescent="0.2">
      <c r="A513" s="124"/>
      <c r="B513" s="126"/>
      <c r="C513" s="126"/>
      <c r="D513" s="1"/>
      <c r="E513" s="1"/>
      <c r="F513" s="126"/>
      <c r="G513" s="126"/>
      <c r="H513" s="118"/>
      <c r="I513" s="119"/>
      <c r="J513" s="120"/>
      <c r="K513" s="121"/>
      <c r="L513" s="121"/>
      <c r="M513" s="121"/>
      <c r="N513" s="121"/>
      <c r="O513" s="121"/>
      <c r="P513" s="122"/>
      <c r="Q513" s="121"/>
    </row>
    <row r="514" spans="1:17" ht="12.75" customHeight="1" x14ac:dyDescent="0.2">
      <c r="A514" s="124"/>
      <c r="B514" s="126"/>
      <c r="C514" s="126"/>
      <c r="D514" s="1"/>
      <c r="E514" s="1"/>
      <c r="F514" s="126"/>
      <c r="G514" s="126"/>
      <c r="H514" s="118"/>
      <c r="I514" s="119"/>
      <c r="J514" s="120"/>
      <c r="K514" s="121"/>
      <c r="L514" s="121"/>
      <c r="M514" s="121"/>
      <c r="N514" s="121"/>
      <c r="O514" s="121"/>
      <c r="P514" s="122"/>
      <c r="Q514" s="121"/>
    </row>
    <row r="515" spans="1:17" ht="12.75" customHeight="1" x14ac:dyDescent="0.2">
      <c r="A515" s="124"/>
      <c r="B515" s="126"/>
      <c r="C515" s="126"/>
      <c r="D515" s="1"/>
      <c r="E515" s="1"/>
      <c r="F515" s="126"/>
      <c r="G515" s="126"/>
      <c r="H515" s="118"/>
      <c r="I515" s="119"/>
      <c r="J515" s="120"/>
      <c r="K515" s="121"/>
      <c r="L515" s="121"/>
      <c r="M515" s="121"/>
      <c r="N515" s="121"/>
      <c r="O515" s="121"/>
      <c r="P515" s="122"/>
      <c r="Q515" s="121"/>
    </row>
    <row r="516" spans="1:17" ht="12.75" customHeight="1" x14ac:dyDescent="0.2">
      <c r="A516" s="124"/>
      <c r="B516" s="126"/>
      <c r="C516" s="126"/>
      <c r="D516" s="1"/>
      <c r="E516" s="1"/>
      <c r="F516" s="126"/>
      <c r="G516" s="126"/>
      <c r="H516" s="118"/>
      <c r="I516" s="119"/>
      <c r="J516" s="120"/>
      <c r="K516" s="121"/>
      <c r="L516" s="121"/>
      <c r="M516" s="121"/>
      <c r="N516" s="121"/>
      <c r="O516" s="121"/>
      <c r="P516" s="122"/>
      <c r="Q516" s="121"/>
    </row>
    <row r="517" spans="1:17" ht="12.75" customHeight="1" x14ac:dyDescent="0.2">
      <c r="A517" s="124"/>
      <c r="B517" s="126"/>
      <c r="C517" s="126"/>
      <c r="D517" s="1"/>
      <c r="E517" s="1"/>
      <c r="F517" s="126"/>
      <c r="G517" s="126"/>
      <c r="H517" s="118"/>
      <c r="I517" s="119"/>
      <c r="J517" s="120"/>
      <c r="K517" s="121"/>
      <c r="L517" s="121"/>
      <c r="M517" s="121"/>
      <c r="N517" s="121"/>
      <c r="O517" s="121"/>
      <c r="P517" s="122"/>
      <c r="Q517" s="121"/>
    </row>
    <row r="518" spans="1:17" ht="12.75" customHeight="1" x14ac:dyDescent="0.2">
      <c r="A518" s="124"/>
      <c r="B518" s="126"/>
      <c r="C518" s="126"/>
      <c r="D518" s="1"/>
      <c r="E518" s="1"/>
      <c r="F518" s="126"/>
      <c r="G518" s="126"/>
      <c r="H518" s="118"/>
      <c r="I518" s="119"/>
      <c r="J518" s="120"/>
      <c r="K518" s="121"/>
      <c r="L518" s="121"/>
      <c r="M518" s="121"/>
      <c r="N518" s="121"/>
      <c r="O518" s="121"/>
      <c r="P518" s="122"/>
      <c r="Q518" s="121"/>
    </row>
    <row r="519" spans="1:17" ht="12.75" customHeight="1" x14ac:dyDescent="0.2">
      <c r="A519" s="124"/>
      <c r="B519" s="126"/>
      <c r="C519" s="126"/>
      <c r="D519" s="1"/>
      <c r="E519" s="1"/>
      <c r="F519" s="126"/>
      <c r="G519" s="126"/>
      <c r="H519" s="118"/>
      <c r="I519" s="119"/>
      <c r="J519" s="120"/>
      <c r="K519" s="121"/>
      <c r="L519" s="121"/>
      <c r="M519" s="121"/>
      <c r="N519" s="121"/>
      <c r="O519" s="121"/>
      <c r="P519" s="122"/>
      <c r="Q519" s="121"/>
    </row>
    <row r="520" spans="1:17" ht="12.75" customHeight="1" x14ac:dyDescent="0.2">
      <c r="A520" s="124"/>
      <c r="B520" s="126"/>
      <c r="C520" s="126"/>
      <c r="D520" s="1"/>
      <c r="E520" s="1"/>
      <c r="F520" s="126"/>
      <c r="G520" s="126"/>
      <c r="H520" s="118"/>
      <c r="I520" s="119"/>
      <c r="J520" s="120"/>
      <c r="K520" s="121"/>
      <c r="L520" s="121"/>
      <c r="M520" s="121"/>
      <c r="N520" s="121"/>
      <c r="O520" s="121"/>
      <c r="P520" s="122"/>
      <c r="Q520" s="121"/>
    </row>
    <row r="521" spans="1:17" ht="12.75" customHeight="1" x14ac:dyDescent="0.2">
      <c r="A521" s="124"/>
      <c r="B521" s="126"/>
      <c r="C521" s="126"/>
      <c r="D521" s="1"/>
      <c r="E521" s="1"/>
      <c r="F521" s="126"/>
      <c r="G521" s="126"/>
      <c r="H521" s="118"/>
      <c r="I521" s="119"/>
      <c r="J521" s="120"/>
      <c r="K521" s="121"/>
      <c r="L521" s="121"/>
      <c r="M521" s="121"/>
      <c r="N521" s="121"/>
      <c r="O521" s="121"/>
      <c r="P521" s="122"/>
      <c r="Q521" s="121"/>
    </row>
    <row r="522" spans="1:17" ht="12.75" customHeight="1" x14ac:dyDescent="0.2">
      <c r="A522" s="124"/>
      <c r="B522" s="126"/>
      <c r="C522" s="126"/>
      <c r="D522" s="1"/>
      <c r="E522" s="1"/>
      <c r="F522" s="126"/>
      <c r="G522" s="126"/>
      <c r="H522" s="118"/>
      <c r="I522" s="119"/>
      <c r="J522" s="120"/>
      <c r="K522" s="121"/>
      <c r="L522" s="121"/>
      <c r="M522" s="121"/>
      <c r="N522" s="121"/>
      <c r="O522" s="121"/>
      <c r="P522" s="122"/>
      <c r="Q522" s="121"/>
    </row>
    <row r="523" spans="1:17" ht="12.75" customHeight="1" x14ac:dyDescent="0.2">
      <c r="A523" s="124"/>
      <c r="B523" s="126"/>
      <c r="C523" s="126"/>
      <c r="D523" s="1"/>
      <c r="E523" s="1"/>
      <c r="F523" s="126"/>
      <c r="G523" s="126"/>
      <c r="H523" s="118"/>
      <c r="I523" s="119"/>
      <c r="J523" s="120"/>
      <c r="K523" s="121"/>
      <c r="L523" s="121"/>
      <c r="M523" s="121"/>
      <c r="N523" s="121"/>
      <c r="O523" s="121"/>
      <c r="P523" s="122"/>
      <c r="Q523" s="121"/>
    </row>
    <row r="524" spans="1:17" ht="12.75" customHeight="1" x14ac:dyDescent="0.2">
      <c r="A524" s="124"/>
      <c r="B524" s="126"/>
      <c r="C524" s="126"/>
      <c r="D524" s="1"/>
      <c r="E524" s="1"/>
      <c r="F524" s="126"/>
      <c r="G524" s="126"/>
      <c r="H524" s="118"/>
      <c r="I524" s="119"/>
      <c r="J524" s="120"/>
      <c r="K524" s="121"/>
      <c r="L524" s="121"/>
      <c r="M524" s="121"/>
      <c r="N524" s="121"/>
      <c r="O524" s="121"/>
      <c r="P524" s="122"/>
      <c r="Q524" s="121"/>
    </row>
    <row r="525" spans="1:17" ht="12.75" customHeight="1" x14ac:dyDescent="0.2">
      <c r="A525" s="124"/>
      <c r="B525" s="126"/>
      <c r="C525" s="126"/>
      <c r="D525" s="1"/>
      <c r="E525" s="1"/>
      <c r="F525" s="126"/>
      <c r="G525" s="126"/>
      <c r="H525" s="118"/>
      <c r="I525" s="119"/>
      <c r="J525" s="120"/>
      <c r="K525" s="121"/>
      <c r="L525" s="121"/>
      <c r="M525" s="121"/>
      <c r="N525" s="121"/>
      <c r="O525" s="121"/>
      <c r="P525" s="122"/>
      <c r="Q525" s="121"/>
    </row>
    <row r="526" spans="1:17" ht="12.75" customHeight="1" x14ac:dyDescent="0.2">
      <c r="A526" s="124"/>
      <c r="B526" s="126"/>
      <c r="C526" s="126"/>
      <c r="D526" s="1"/>
      <c r="E526" s="1"/>
      <c r="F526" s="126"/>
      <c r="G526" s="126"/>
      <c r="H526" s="118"/>
      <c r="I526" s="119"/>
      <c r="J526" s="120"/>
      <c r="K526" s="121"/>
      <c r="L526" s="121"/>
      <c r="M526" s="121"/>
      <c r="N526" s="121"/>
      <c r="O526" s="121"/>
      <c r="P526" s="122"/>
      <c r="Q526" s="121"/>
    </row>
    <row r="527" spans="1:17" ht="12.75" customHeight="1" x14ac:dyDescent="0.2">
      <c r="A527" s="124"/>
      <c r="B527" s="126"/>
      <c r="C527" s="126"/>
      <c r="D527" s="1"/>
      <c r="E527" s="1"/>
      <c r="F527" s="126"/>
      <c r="G527" s="126"/>
      <c r="H527" s="118"/>
      <c r="I527" s="119"/>
      <c r="J527" s="120"/>
      <c r="K527" s="121"/>
      <c r="L527" s="121"/>
      <c r="M527" s="121"/>
      <c r="N527" s="121"/>
      <c r="O527" s="121"/>
      <c r="P527" s="122"/>
      <c r="Q527" s="121"/>
    </row>
    <row r="528" spans="1:17" ht="12.75" customHeight="1" x14ac:dyDescent="0.2">
      <c r="A528" s="124"/>
      <c r="B528" s="126"/>
      <c r="C528" s="126"/>
      <c r="D528" s="1"/>
      <c r="E528" s="1"/>
      <c r="F528" s="126"/>
      <c r="G528" s="126"/>
      <c r="H528" s="118"/>
      <c r="I528" s="119"/>
      <c r="J528" s="120"/>
      <c r="K528" s="121"/>
      <c r="L528" s="121"/>
      <c r="M528" s="121"/>
      <c r="N528" s="121"/>
      <c r="O528" s="121"/>
      <c r="P528" s="122"/>
      <c r="Q528" s="121"/>
    </row>
    <row r="529" spans="1:17" ht="12.75" customHeight="1" x14ac:dyDescent="0.2">
      <c r="A529" s="124"/>
      <c r="B529" s="126"/>
      <c r="C529" s="126"/>
      <c r="D529" s="1"/>
      <c r="E529" s="1"/>
      <c r="F529" s="126"/>
      <c r="G529" s="126"/>
      <c r="H529" s="118"/>
      <c r="I529" s="119"/>
      <c r="J529" s="120"/>
      <c r="K529" s="121"/>
      <c r="L529" s="121"/>
      <c r="M529" s="121"/>
      <c r="N529" s="121"/>
      <c r="O529" s="121"/>
      <c r="P529" s="122"/>
      <c r="Q529" s="121"/>
    </row>
    <row r="530" spans="1:17" ht="12.75" customHeight="1" x14ac:dyDescent="0.2">
      <c r="A530" s="124"/>
      <c r="B530" s="126"/>
      <c r="C530" s="126"/>
      <c r="D530" s="1"/>
      <c r="E530" s="1"/>
      <c r="F530" s="126"/>
      <c r="G530" s="126"/>
      <c r="H530" s="118"/>
      <c r="I530" s="119"/>
      <c r="J530" s="120"/>
      <c r="K530" s="121"/>
      <c r="L530" s="121"/>
      <c r="M530" s="121"/>
      <c r="N530" s="121"/>
      <c r="O530" s="121"/>
      <c r="P530" s="122"/>
      <c r="Q530" s="121"/>
    </row>
    <row r="531" spans="1:17" ht="12.75" customHeight="1" x14ac:dyDescent="0.2">
      <c r="A531" s="124"/>
      <c r="B531" s="126"/>
      <c r="C531" s="126"/>
      <c r="D531" s="1"/>
      <c r="E531" s="1"/>
      <c r="F531" s="126"/>
      <c r="G531" s="126"/>
      <c r="H531" s="118"/>
      <c r="I531" s="119"/>
      <c r="J531" s="120"/>
      <c r="K531" s="121"/>
      <c r="L531" s="121"/>
      <c r="M531" s="121"/>
      <c r="N531" s="121"/>
      <c r="O531" s="121"/>
      <c r="P531" s="122"/>
      <c r="Q531" s="121"/>
    </row>
    <row r="532" spans="1:17" ht="12.75" customHeight="1" x14ac:dyDescent="0.2">
      <c r="A532" s="124"/>
      <c r="B532" s="126"/>
      <c r="C532" s="126"/>
      <c r="D532" s="1"/>
      <c r="E532" s="1"/>
      <c r="F532" s="126"/>
      <c r="G532" s="126"/>
      <c r="H532" s="118"/>
      <c r="I532" s="119"/>
      <c r="J532" s="120"/>
      <c r="K532" s="121"/>
      <c r="L532" s="121"/>
      <c r="M532" s="121"/>
      <c r="N532" s="121"/>
      <c r="O532" s="121"/>
      <c r="P532" s="122"/>
      <c r="Q532" s="121"/>
    </row>
    <row r="533" spans="1:17" ht="12.75" customHeight="1" x14ac:dyDescent="0.2">
      <c r="A533" s="124"/>
      <c r="B533" s="126"/>
      <c r="C533" s="126"/>
      <c r="D533" s="1"/>
      <c r="E533" s="1"/>
      <c r="F533" s="126"/>
      <c r="G533" s="126"/>
      <c r="H533" s="118"/>
      <c r="I533" s="119"/>
      <c r="J533" s="120"/>
      <c r="K533" s="121"/>
      <c r="L533" s="121"/>
      <c r="M533" s="121"/>
      <c r="N533" s="121"/>
      <c r="O533" s="121"/>
      <c r="P533" s="122"/>
      <c r="Q533" s="121"/>
    </row>
    <row r="534" spans="1:17" ht="12.75" customHeight="1" x14ac:dyDescent="0.2">
      <c r="A534" s="124"/>
      <c r="B534" s="126"/>
      <c r="C534" s="126"/>
      <c r="D534" s="1"/>
      <c r="E534" s="1"/>
      <c r="F534" s="126"/>
      <c r="G534" s="126"/>
      <c r="H534" s="118"/>
      <c r="I534" s="119"/>
      <c r="J534" s="120"/>
      <c r="K534" s="121"/>
      <c r="L534" s="121"/>
      <c r="M534" s="121"/>
      <c r="N534" s="121"/>
      <c r="O534" s="121"/>
      <c r="P534" s="122"/>
      <c r="Q534" s="121"/>
    </row>
    <row r="535" spans="1:17" ht="12.75" customHeight="1" x14ac:dyDescent="0.2">
      <c r="A535" s="124"/>
      <c r="B535" s="126"/>
      <c r="C535" s="126"/>
      <c r="D535" s="1"/>
      <c r="E535" s="1"/>
      <c r="F535" s="126"/>
      <c r="G535" s="126"/>
      <c r="H535" s="118"/>
      <c r="I535" s="119"/>
      <c r="J535" s="120"/>
      <c r="K535" s="121"/>
      <c r="L535" s="121"/>
      <c r="M535" s="121"/>
      <c r="N535" s="121"/>
      <c r="O535" s="121"/>
      <c r="P535" s="122"/>
      <c r="Q535" s="121"/>
    </row>
    <row r="536" spans="1:17" ht="12.75" customHeight="1" x14ac:dyDescent="0.2">
      <c r="A536" s="124"/>
      <c r="B536" s="126"/>
      <c r="C536" s="126"/>
      <c r="D536" s="1"/>
      <c r="E536" s="1"/>
      <c r="F536" s="126"/>
      <c r="G536" s="126"/>
      <c r="H536" s="118"/>
      <c r="I536" s="119"/>
      <c r="J536" s="120"/>
      <c r="K536" s="121"/>
      <c r="L536" s="121"/>
      <c r="M536" s="121"/>
      <c r="N536" s="121"/>
      <c r="O536" s="121"/>
      <c r="P536" s="122"/>
      <c r="Q536" s="121"/>
    </row>
    <row r="537" spans="1:17" ht="12.75" customHeight="1" x14ac:dyDescent="0.2">
      <c r="A537" s="124"/>
      <c r="B537" s="126"/>
      <c r="C537" s="126"/>
      <c r="D537" s="1"/>
      <c r="E537" s="1"/>
      <c r="F537" s="126"/>
      <c r="G537" s="126"/>
      <c r="H537" s="118"/>
      <c r="I537" s="119"/>
      <c r="J537" s="120"/>
      <c r="K537" s="121"/>
      <c r="L537" s="121"/>
      <c r="M537" s="121"/>
      <c r="N537" s="121"/>
      <c r="O537" s="121"/>
      <c r="P537" s="122"/>
      <c r="Q537" s="121"/>
    </row>
    <row r="538" spans="1:17" ht="12.75" customHeight="1" x14ac:dyDescent="0.2">
      <c r="A538" s="124"/>
      <c r="B538" s="126"/>
      <c r="C538" s="126"/>
      <c r="D538" s="1"/>
      <c r="E538" s="1"/>
      <c r="F538" s="126"/>
      <c r="G538" s="126"/>
      <c r="H538" s="118"/>
      <c r="I538" s="119"/>
      <c r="J538" s="120"/>
      <c r="K538" s="121"/>
      <c r="L538" s="121"/>
      <c r="M538" s="121"/>
      <c r="N538" s="121"/>
      <c r="O538" s="121"/>
      <c r="P538" s="122"/>
      <c r="Q538" s="121"/>
    </row>
    <row r="539" spans="1:17" ht="12.75" customHeight="1" x14ac:dyDescent="0.2">
      <c r="A539" s="124"/>
      <c r="B539" s="126"/>
      <c r="C539" s="126"/>
      <c r="D539" s="1"/>
      <c r="E539" s="1"/>
      <c r="F539" s="126"/>
      <c r="G539" s="126"/>
      <c r="H539" s="118"/>
      <c r="I539" s="119"/>
      <c r="J539" s="120"/>
      <c r="K539" s="121"/>
      <c r="L539" s="121"/>
      <c r="M539" s="121"/>
      <c r="N539" s="121"/>
      <c r="O539" s="121"/>
      <c r="P539" s="122"/>
      <c r="Q539" s="121"/>
    </row>
    <row r="540" spans="1:17" ht="12.75" customHeight="1" x14ac:dyDescent="0.2">
      <c r="A540" s="124"/>
      <c r="B540" s="126"/>
      <c r="C540" s="126"/>
      <c r="D540" s="1"/>
      <c r="E540" s="1"/>
      <c r="F540" s="126"/>
      <c r="G540" s="126"/>
      <c r="H540" s="118"/>
      <c r="I540" s="119"/>
      <c r="J540" s="120"/>
      <c r="K540" s="121"/>
      <c r="L540" s="121"/>
      <c r="M540" s="121"/>
      <c r="N540" s="121"/>
      <c r="O540" s="121"/>
      <c r="P540" s="122"/>
      <c r="Q540" s="121"/>
    </row>
    <row r="541" spans="1:17" ht="12.75" customHeight="1" x14ac:dyDescent="0.2">
      <c r="A541" s="124"/>
      <c r="B541" s="126"/>
      <c r="C541" s="126"/>
      <c r="D541" s="1"/>
      <c r="E541" s="1"/>
      <c r="F541" s="126"/>
      <c r="G541" s="126"/>
      <c r="H541" s="118"/>
      <c r="I541" s="119"/>
      <c r="J541" s="120"/>
      <c r="K541" s="121"/>
      <c r="L541" s="121"/>
      <c r="M541" s="121"/>
      <c r="N541" s="121"/>
      <c r="O541" s="121"/>
      <c r="P541" s="122"/>
      <c r="Q541" s="121"/>
    </row>
    <row r="542" spans="1:17" ht="12.75" customHeight="1" x14ac:dyDescent="0.2">
      <c r="A542" s="124"/>
      <c r="B542" s="126"/>
      <c r="C542" s="126"/>
      <c r="D542" s="1"/>
      <c r="E542" s="1"/>
      <c r="F542" s="126"/>
      <c r="G542" s="126"/>
      <c r="H542" s="118"/>
      <c r="I542" s="119"/>
      <c r="J542" s="120"/>
      <c r="K542" s="121"/>
      <c r="L542" s="121"/>
      <c r="M542" s="121"/>
      <c r="N542" s="121"/>
      <c r="O542" s="121"/>
      <c r="P542" s="122"/>
      <c r="Q542" s="121"/>
    </row>
    <row r="543" spans="1:17" ht="12.75" customHeight="1" x14ac:dyDescent="0.2">
      <c r="A543" s="124"/>
      <c r="B543" s="126"/>
      <c r="C543" s="126"/>
      <c r="D543" s="1"/>
      <c r="E543" s="1"/>
      <c r="F543" s="126"/>
      <c r="G543" s="126"/>
      <c r="H543" s="118"/>
      <c r="I543" s="119"/>
      <c r="J543" s="120"/>
      <c r="K543" s="121"/>
      <c r="L543" s="121"/>
      <c r="M543" s="121"/>
      <c r="N543" s="121"/>
      <c r="O543" s="121"/>
      <c r="P543" s="122"/>
      <c r="Q543" s="121"/>
    </row>
    <row r="544" spans="1:17" ht="12.75" customHeight="1" x14ac:dyDescent="0.2">
      <c r="A544" s="124"/>
      <c r="B544" s="126"/>
      <c r="C544" s="126"/>
      <c r="D544" s="1"/>
      <c r="E544" s="1"/>
      <c r="F544" s="126"/>
      <c r="G544" s="126"/>
      <c r="H544" s="118"/>
      <c r="I544" s="119"/>
      <c r="J544" s="120"/>
      <c r="K544" s="121"/>
      <c r="L544" s="121"/>
      <c r="M544" s="121"/>
      <c r="N544" s="121"/>
      <c r="O544" s="121"/>
      <c r="P544" s="122"/>
      <c r="Q544" s="121"/>
    </row>
    <row r="545" spans="1:17" ht="12.75" customHeight="1" x14ac:dyDescent="0.2">
      <c r="A545" s="124"/>
      <c r="B545" s="126"/>
      <c r="C545" s="126"/>
      <c r="D545" s="1"/>
      <c r="E545" s="1"/>
      <c r="F545" s="126"/>
      <c r="G545" s="126"/>
      <c r="H545" s="118"/>
      <c r="I545" s="119"/>
      <c r="J545" s="120"/>
      <c r="K545" s="121"/>
      <c r="L545" s="121"/>
      <c r="M545" s="121"/>
      <c r="N545" s="121"/>
      <c r="O545" s="121"/>
      <c r="P545" s="122"/>
      <c r="Q545" s="121"/>
    </row>
    <row r="546" spans="1:17" ht="12.75" customHeight="1" x14ac:dyDescent="0.2">
      <c r="A546" s="124"/>
      <c r="B546" s="126"/>
      <c r="C546" s="126"/>
      <c r="D546" s="1"/>
      <c r="E546" s="1"/>
      <c r="F546" s="126"/>
      <c r="G546" s="126"/>
      <c r="H546" s="118"/>
      <c r="I546" s="119"/>
      <c r="J546" s="120"/>
      <c r="K546" s="121"/>
      <c r="L546" s="121"/>
      <c r="M546" s="121"/>
      <c r="N546" s="121"/>
      <c r="O546" s="121"/>
      <c r="P546" s="122"/>
      <c r="Q546" s="121"/>
    </row>
    <row r="547" spans="1:17" ht="12.75" customHeight="1" x14ac:dyDescent="0.2">
      <c r="A547" s="124"/>
      <c r="B547" s="126"/>
      <c r="C547" s="126"/>
      <c r="D547" s="1"/>
      <c r="E547" s="1"/>
      <c r="F547" s="126"/>
      <c r="G547" s="126"/>
      <c r="H547" s="118"/>
      <c r="I547" s="119"/>
      <c r="J547" s="120"/>
      <c r="K547" s="121"/>
      <c r="L547" s="121"/>
      <c r="M547" s="121"/>
      <c r="N547" s="121"/>
      <c r="O547" s="121"/>
      <c r="P547" s="122"/>
      <c r="Q547" s="121"/>
    </row>
    <row r="548" spans="1:17" ht="12.75" customHeight="1" x14ac:dyDescent="0.2">
      <c r="A548" s="124"/>
      <c r="B548" s="126"/>
      <c r="C548" s="126"/>
      <c r="D548" s="1"/>
      <c r="E548" s="1"/>
      <c r="F548" s="126"/>
      <c r="G548" s="126"/>
      <c r="H548" s="118"/>
      <c r="I548" s="119"/>
      <c r="J548" s="120"/>
      <c r="K548" s="121"/>
      <c r="L548" s="121"/>
      <c r="M548" s="121"/>
      <c r="N548" s="121"/>
      <c r="O548" s="121"/>
      <c r="P548" s="122"/>
      <c r="Q548" s="121"/>
    </row>
    <row r="549" spans="1:17" ht="12.75" customHeight="1" x14ac:dyDescent="0.2">
      <c r="A549" s="124"/>
      <c r="B549" s="126"/>
      <c r="C549" s="126"/>
      <c r="D549" s="1"/>
      <c r="E549" s="1"/>
      <c r="F549" s="126"/>
      <c r="G549" s="126"/>
      <c r="H549" s="118"/>
      <c r="I549" s="119"/>
      <c r="J549" s="120"/>
      <c r="K549" s="121"/>
      <c r="L549" s="121"/>
      <c r="M549" s="121"/>
      <c r="N549" s="121"/>
      <c r="O549" s="121"/>
      <c r="P549" s="122"/>
      <c r="Q549" s="121"/>
    </row>
    <row r="550" spans="1:17" ht="12.75" customHeight="1" x14ac:dyDescent="0.2">
      <c r="A550" s="124"/>
      <c r="B550" s="126"/>
      <c r="C550" s="126"/>
      <c r="D550" s="1"/>
      <c r="E550" s="1"/>
      <c r="F550" s="126"/>
      <c r="G550" s="126"/>
      <c r="H550" s="118"/>
      <c r="I550" s="119"/>
      <c r="J550" s="120"/>
      <c r="K550" s="121"/>
      <c r="L550" s="121"/>
      <c r="M550" s="121"/>
      <c r="N550" s="121"/>
      <c r="O550" s="121"/>
      <c r="P550" s="122"/>
      <c r="Q550" s="121"/>
    </row>
    <row r="551" spans="1:17" ht="12.75" customHeight="1" x14ac:dyDescent="0.2">
      <c r="A551" s="124"/>
      <c r="B551" s="126"/>
      <c r="C551" s="126"/>
      <c r="D551" s="1"/>
      <c r="E551" s="1"/>
      <c r="F551" s="126"/>
      <c r="G551" s="126"/>
      <c r="H551" s="118"/>
      <c r="I551" s="119"/>
      <c r="J551" s="120"/>
      <c r="K551" s="121"/>
      <c r="L551" s="121"/>
      <c r="M551" s="121"/>
      <c r="N551" s="121"/>
      <c r="O551" s="121"/>
      <c r="P551" s="122"/>
      <c r="Q551" s="121"/>
    </row>
    <row r="552" spans="1:17" ht="12.75" customHeight="1" x14ac:dyDescent="0.2">
      <c r="A552" s="124"/>
      <c r="B552" s="126"/>
      <c r="C552" s="126"/>
      <c r="D552" s="1"/>
      <c r="E552" s="1"/>
      <c r="F552" s="126"/>
      <c r="G552" s="126"/>
      <c r="H552" s="118"/>
      <c r="I552" s="119"/>
      <c r="J552" s="120"/>
      <c r="K552" s="121"/>
      <c r="L552" s="121"/>
      <c r="M552" s="121"/>
      <c r="N552" s="121"/>
      <c r="O552" s="121"/>
      <c r="P552" s="122"/>
      <c r="Q552" s="121"/>
    </row>
    <row r="553" spans="1:17" ht="12.75" customHeight="1" x14ac:dyDescent="0.2">
      <c r="A553" s="124"/>
      <c r="B553" s="126"/>
      <c r="C553" s="126"/>
      <c r="D553" s="1"/>
      <c r="E553" s="1"/>
      <c r="F553" s="126"/>
      <c r="G553" s="126"/>
      <c r="H553" s="118"/>
      <c r="I553" s="119"/>
      <c r="J553" s="120"/>
      <c r="K553" s="121"/>
      <c r="L553" s="121"/>
      <c r="M553" s="121"/>
      <c r="N553" s="121"/>
      <c r="O553" s="121"/>
      <c r="P553" s="122"/>
      <c r="Q553" s="121"/>
    </row>
    <row r="554" spans="1:17" ht="12.75" customHeight="1" x14ac:dyDescent="0.2">
      <c r="A554" s="124"/>
      <c r="B554" s="126"/>
      <c r="C554" s="126"/>
      <c r="D554" s="1"/>
      <c r="E554" s="1"/>
      <c r="F554" s="126"/>
      <c r="G554" s="126"/>
      <c r="H554" s="118"/>
      <c r="I554" s="119"/>
      <c r="J554" s="120"/>
      <c r="K554" s="121"/>
      <c r="L554" s="121"/>
      <c r="M554" s="121"/>
      <c r="N554" s="121"/>
      <c r="O554" s="121"/>
      <c r="P554" s="122"/>
      <c r="Q554" s="121"/>
    </row>
    <row r="555" spans="1:17" ht="12.75" customHeight="1" x14ac:dyDescent="0.2">
      <c r="A555" s="124"/>
      <c r="B555" s="126"/>
      <c r="C555" s="126"/>
      <c r="D555" s="1"/>
      <c r="E555" s="1"/>
      <c r="F555" s="126"/>
      <c r="G555" s="126"/>
      <c r="H555" s="118"/>
      <c r="I555" s="119"/>
      <c r="J555" s="120"/>
      <c r="K555" s="121"/>
      <c r="L555" s="121"/>
      <c r="M555" s="121"/>
      <c r="N555" s="121"/>
      <c r="O555" s="121"/>
      <c r="P555" s="122"/>
      <c r="Q555" s="121"/>
    </row>
    <row r="556" spans="1:17" ht="12.75" customHeight="1" x14ac:dyDescent="0.2">
      <c r="A556" s="124"/>
      <c r="B556" s="126"/>
      <c r="C556" s="126"/>
      <c r="D556" s="1"/>
      <c r="E556" s="1"/>
      <c r="F556" s="126"/>
      <c r="G556" s="126"/>
      <c r="H556" s="118"/>
      <c r="I556" s="119"/>
      <c r="J556" s="120"/>
      <c r="K556" s="121"/>
      <c r="L556" s="121"/>
      <c r="M556" s="121"/>
      <c r="N556" s="121"/>
      <c r="O556" s="121"/>
      <c r="P556" s="122"/>
      <c r="Q556" s="121"/>
    </row>
    <row r="557" spans="1:17" ht="12.75" customHeight="1" x14ac:dyDescent="0.2">
      <c r="A557" s="124"/>
      <c r="B557" s="126"/>
      <c r="C557" s="126"/>
      <c r="D557" s="1"/>
      <c r="E557" s="1"/>
      <c r="F557" s="126"/>
      <c r="G557" s="126"/>
      <c r="H557" s="118"/>
      <c r="I557" s="119"/>
      <c r="J557" s="120"/>
      <c r="K557" s="121"/>
      <c r="L557" s="121"/>
      <c r="M557" s="121"/>
      <c r="N557" s="121"/>
      <c r="O557" s="121"/>
      <c r="P557" s="122"/>
      <c r="Q557" s="121"/>
    </row>
    <row r="558" spans="1:17" ht="12.75" customHeight="1" x14ac:dyDescent="0.2">
      <c r="A558" s="124"/>
      <c r="B558" s="126"/>
      <c r="C558" s="126"/>
      <c r="D558" s="1"/>
      <c r="E558" s="1"/>
      <c r="F558" s="126"/>
      <c r="G558" s="126"/>
      <c r="H558" s="118"/>
      <c r="I558" s="119"/>
      <c r="J558" s="120"/>
      <c r="K558" s="121"/>
      <c r="L558" s="121"/>
      <c r="M558" s="121"/>
      <c r="N558" s="121"/>
      <c r="O558" s="121"/>
      <c r="P558" s="122"/>
      <c r="Q558" s="121"/>
    </row>
    <row r="559" spans="1:17" ht="12.75" customHeight="1" x14ac:dyDescent="0.2">
      <c r="A559" s="124"/>
      <c r="B559" s="126"/>
      <c r="C559" s="126"/>
      <c r="D559" s="1"/>
      <c r="E559" s="1"/>
      <c r="F559" s="126"/>
      <c r="G559" s="126"/>
      <c r="H559" s="118"/>
      <c r="I559" s="119"/>
      <c r="J559" s="120"/>
      <c r="K559" s="121"/>
      <c r="L559" s="121"/>
      <c r="M559" s="121"/>
      <c r="N559" s="121"/>
      <c r="O559" s="121"/>
      <c r="P559" s="122"/>
      <c r="Q559" s="121"/>
    </row>
    <row r="560" spans="1:17" ht="12.75" customHeight="1" x14ac:dyDescent="0.2">
      <c r="A560" s="124"/>
      <c r="B560" s="126"/>
      <c r="C560" s="126"/>
      <c r="D560" s="1"/>
      <c r="E560" s="1"/>
      <c r="F560" s="126"/>
      <c r="G560" s="126"/>
      <c r="H560" s="118"/>
      <c r="I560" s="119"/>
      <c r="J560" s="120"/>
      <c r="K560" s="121"/>
      <c r="L560" s="121"/>
      <c r="M560" s="121"/>
      <c r="N560" s="121"/>
      <c r="O560" s="121"/>
      <c r="P560" s="122"/>
      <c r="Q560" s="121"/>
    </row>
    <row r="561" spans="1:17" ht="12.75" customHeight="1" x14ac:dyDescent="0.2">
      <c r="A561" s="124"/>
      <c r="B561" s="126"/>
      <c r="C561" s="126"/>
      <c r="D561" s="1"/>
      <c r="E561" s="1"/>
      <c r="F561" s="126"/>
      <c r="G561" s="126"/>
      <c r="H561" s="118"/>
      <c r="I561" s="119"/>
      <c r="J561" s="120"/>
      <c r="K561" s="121"/>
      <c r="L561" s="121"/>
      <c r="M561" s="121"/>
      <c r="N561" s="121"/>
      <c r="O561" s="121"/>
      <c r="P561" s="122"/>
      <c r="Q561" s="121"/>
    </row>
    <row r="562" spans="1:17" ht="12.75" customHeight="1" x14ac:dyDescent="0.2">
      <c r="A562" s="124"/>
      <c r="B562" s="126"/>
      <c r="C562" s="126"/>
      <c r="D562" s="1"/>
      <c r="E562" s="1"/>
      <c r="F562" s="126"/>
      <c r="G562" s="126"/>
      <c r="H562" s="118"/>
      <c r="I562" s="119"/>
      <c r="J562" s="120"/>
      <c r="K562" s="121"/>
      <c r="L562" s="121"/>
      <c r="M562" s="121"/>
      <c r="N562" s="121"/>
      <c r="O562" s="121"/>
      <c r="P562" s="122"/>
      <c r="Q562" s="121"/>
    </row>
    <row r="563" spans="1:17" ht="12.75" customHeight="1" x14ac:dyDescent="0.2">
      <c r="A563" s="124"/>
      <c r="B563" s="126"/>
      <c r="C563" s="126"/>
      <c r="D563" s="1"/>
      <c r="E563" s="1"/>
      <c r="F563" s="126"/>
      <c r="G563" s="126"/>
      <c r="H563" s="118"/>
      <c r="I563" s="119"/>
      <c r="J563" s="120"/>
      <c r="K563" s="121"/>
      <c r="L563" s="121"/>
      <c r="M563" s="121"/>
      <c r="N563" s="121"/>
      <c r="O563" s="121"/>
      <c r="P563" s="122"/>
      <c r="Q563" s="121"/>
    </row>
    <row r="564" spans="1:17" ht="12.75" customHeight="1" x14ac:dyDescent="0.2">
      <c r="A564" s="124"/>
      <c r="B564" s="126"/>
      <c r="C564" s="126"/>
      <c r="D564" s="1"/>
      <c r="E564" s="1"/>
      <c r="F564" s="126"/>
      <c r="G564" s="126"/>
      <c r="H564" s="118"/>
      <c r="I564" s="119"/>
      <c r="J564" s="120"/>
      <c r="K564" s="121"/>
      <c r="L564" s="121"/>
      <c r="M564" s="121"/>
      <c r="N564" s="121"/>
      <c r="O564" s="121"/>
      <c r="P564" s="122"/>
      <c r="Q564" s="121"/>
    </row>
    <row r="565" spans="1:17" ht="12.75" customHeight="1" x14ac:dyDescent="0.2">
      <c r="A565" s="124"/>
      <c r="B565" s="126"/>
      <c r="C565" s="126"/>
      <c r="D565" s="1"/>
      <c r="E565" s="1"/>
      <c r="F565" s="126"/>
      <c r="G565" s="126"/>
      <c r="H565" s="118"/>
      <c r="I565" s="119"/>
      <c r="J565" s="120"/>
      <c r="K565" s="121"/>
      <c r="L565" s="121"/>
      <c r="M565" s="121"/>
      <c r="N565" s="121"/>
      <c r="O565" s="121"/>
      <c r="P565" s="122"/>
      <c r="Q565" s="121"/>
    </row>
    <row r="566" spans="1:17" ht="12.75" customHeight="1" x14ac:dyDescent="0.2">
      <c r="A566" s="124"/>
      <c r="B566" s="126"/>
      <c r="C566" s="126"/>
      <c r="D566" s="1"/>
      <c r="E566" s="1"/>
      <c r="F566" s="126"/>
      <c r="G566" s="126"/>
      <c r="H566" s="118"/>
      <c r="I566" s="119"/>
      <c r="J566" s="120"/>
      <c r="K566" s="121"/>
      <c r="L566" s="121"/>
      <c r="M566" s="121"/>
      <c r="N566" s="121"/>
      <c r="O566" s="121"/>
      <c r="P566" s="122"/>
      <c r="Q566" s="121"/>
    </row>
    <row r="567" spans="1:17" ht="12.75" customHeight="1" x14ac:dyDescent="0.2">
      <c r="A567" s="124"/>
      <c r="B567" s="126"/>
      <c r="C567" s="126"/>
      <c r="D567" s="1"/>
      <c r="E567" s="1"/>
      <c r="F567" s="126"/>
      <c r="G567" s="126"/>
      <c r="H567" s="118"/>
      <c r="I567" s="119"/>
      <c r="J567" s="120"/>
      <c r="K567" s="121"/>
      <c r="L567" s="121"/>
      <c r="M567" s="121"/>
      <c r="N567" s="121"/>
      <c r="O567" s="121"/>
      <c r="P567" s="122"/>
      <c r="Q567" s="121"/>
    </row>
    <row r="568" spans="1:17" ht="12.75" customHeight="1" x14ac:dyDescent="0.2">
      <c r="A568" s="124"/>
      <c r="B568" s="126"/>
      <c r="C568" s="126"/>
      <c r="D568" s="1"/>
      <c r="E568" s="1"/>
      <c r="F568" s="126"/>
      <c r="G568" s="126"/>
      <c r="H568" s="118"/>
      <c r="I568" s="119"/>
      <c r="J568" s="120"/>
      <c r="K568" s="121"/>
      <c r="L568" s="121"/>
      <c r="M568" s="121"/>
      <c r="N568" s="121"/>
      <c r="O568" s="121"/>
      <c r="P568" s="122"/>
      <c r="Q568" s="121"/>
    </row>
    <row r="569" spans="1:17" ht="12.75" customHeight="1" x14ac:dyDescent="0.2">
      <c r="A569" s="124"/>
      <c r="B569" s="126"/>
      <c r="C569" s="126"/>
      <c r="D569" s="1"/>
      <c r="E569" s="1"/>
      <c r="F569" s="126"/>
      <c r="G569" s="126"/>
      <c r="H569" s="118"/>
      <c r="I569" s="119"/>
      <c r="J569" s="120"/>
      <c r="K569" s="121"/>
      <c r="L569" s="121"/>
      <c r="M569" s="121"/>
      <c r="N569" s="121"/>
      <c r="O569" s="121"/>
      <c r="P569" s="122"/>
      <c r="Q569" s="121"/>
    </row>
    <row r="570" spans="1:17" ht="12.75" customHeight="1" x14ac:dyDescent="0.2">
      <c r="A570" s="124"/>
      <c r="B570" s="126"/>
      <c r="C570" s="126"/>
      <c r="D570" s="1"/>
      <c r="E570" s="1"/>
      <c r="F570" s="126"/>
      <c r="G570" s="126"/>
      <c r="H570" s="118"/>
      <c r="I570" s="119"/>
      <c r="J570" s="120"/>
      <c r="K570" s="121"/>
      <c r="L570" s="121"/>
      <c r="M570" s="121"/>
      <c r="N570" s="121"/>
      <c r="O570" s="121"/>
      <c r="P570" s="122"/>
      <c r="Q570" s="121"/>
    </row>
    <row r="571" spans="1:17" ht="12.75" customHeight="1" x14ac:dyDescent="0.2">
      <c r="A571" s="124"/>
      <c r="B571" s="126"/>
      <c r="C571" s="126"/>
      <c r="D571" s="1"/>
      <c r="E571" s="1"/>
      <c r="F571" s="126"/>
      <c r="G571" s="126"/>
      <c r="H571" s="118"/>
      <c r="I571" s="119"/>
      <c r="J571" s="120"/>
      <c r="K571" s="121"/>
      <c r="L571" s="121"/>
      <c r="M571" s="121"/>
      <c r="N571" s="121"/>
      <c r="O571" s="121"/>
      <c r="P571" s="122"/>
      <c r="Q571" s="121"/>
    </row>
    <row r="572" spans="1:17" ht="12.75" customHeight="1" x14ac:dyDescent="0.2">
      <c r="A572" s="124"/>
      <c r="B572" s="126"/>
      <c r="C572" s="126"/>
      <c r="D572" s="1"/>
      <c r="E572" s="1"/>
      <c r="F572" s="126"/>
      <c r="G572" s="126"/>
      <c r="H572" s="118"/>
      <c r="I572" s="119"/>
      <c r="J572" s="120"/>
      <c r="K572" s="121"/>
      <c r="L572" s="121"/>
      <c r="M572" s="121"/>
      <c r="N572" s="121"/>
      <c r="O572" s="121"/>
      <c r="P572" s="122"/>
      <c r="Q572" s="121"/>
    </row>
    <row r="573" spans="1:17" ht="12.75" customHeight="1" x14ac:dyDescent="0.2">
      <c r="A573" s="124"/>
      <c r="B573" s="126"/>
      <c r="C573" s="126"/>
      <c r="D573" s="1"/>
      <c r="E573" s="1"/>
      <c r="F573" s="126"/>
      <c r="G573" s="126"/>
      <c r="H573" s="118"/>
      <c r="I573" s="119"/>
      <c r="J573" s="120"/>
      <c r="K573" s="121"/>
      <c r="L573" s="121"/>
      <c r="M573" s="121"/>
      <c r="N573" s="121"/>
      <c r="O573" s="121"/>
      <c r="P573" s="122"/>
      <c r="Q573" s="121"/>
    </row>
    <row r="574" spans="1:17" ht="12.75" customHeight="1" x14ac:dyDescent="0.2">
      <c r="A574" s="124"/>
      <c r="B574" s="126"/>
      <c r="C574" s="126"/>
      <c r="D574" s="1"/>
      <c r="E574" s="1"/>
      <c r="F574" s="126"/>
      <c r="G574" s="126"/>
      <c r="H574" s="118"/>
      <c r="I574" s="119"/>
      <c r="J574" s="120"/>
      <c r="K574" s="121"/>
      <c r="L574" s="121"/>
      <c r="M574" s="121"/>
      <c r="N574" s="121"/>
      <c r="O574" s="121"/>
      <c r="P574" s="122"/>
      <c r="Q574" s="121"/>
    </row>
    <row r="575" spans="1:17" ht="12.75" customHeight="1" x14ac:dyDescent="0.2">
      <c r="A575" s="124"/>
      <c r="B575" s="126"/>
      <c r="C575" s="126"/>
      <c r="D575" s="1"/>
      <c r="E575" s="1"/>
      <c r="F575" s="126"/>
      <c r="G575" s="126"/>
      <c r="H575" s="118"/>
      <c r="I575" s="119"/>
      <c r="J575" s="120"/>
      <c r="K575" s="121"/>
      <c r="L575" s="121"/>
      <c r="M575" s="121"/>
      <c r="N575" s="121"/>
      <c r="O575" s="121"/>
      <c r="P575" s="122"/>
      <c r="Q575" s="121"/>
    </row>
    <row r="576" spans="1:17" ht="12.75" customHeight="1" x14ac:dyDescent="0.2">
      <c r="A576" s="124"/>
      <c r="B576" s="126"/>
      <c r="C576" s="126"/>
      <c r="D576" s="1"/>
      <c r="E576" s="1"/>
      <c r="F576" s="126"/>
      <c r="G576" s="126"/>
      <c r="H576" s="118"/>
      <c r="I576" s="119"/>
      <c r="J576" s="120"/>
      <c r="K576" s="121"/>
      <c r="L576" s="121"/>
      <c r="M576" s="121"/>
      <c r="N576" s="121"/>
      <c r="O576" s="121"/>
      <c r="P576" s="122"/>
      <c r="Q576" s="121"/>
    </row>
    <row r="577" spans="1:17" ht="12.75" customHeight="1" x14ac:dyDescent="0.2">
      <c r="A577" s="124"/>
      <c r="B577" s="126"/>
      <c r="C577" s="126"/>
      <c r="D577" s="1"/>
      <c r="E577" s="1"/>
      <c r="F577" s="126"/>
      <c r="G577" s="126"/>
      <c r="H577" s="118"/>
      <c r="I577" s="119"/>
      <c r="J577" s="120"/>
      <c r="K577" s="121"/>
      <c r="L577" s="121"/>
      <c r="M577" s="121"/>
      <c r="N577" s="121"/>
      <c r="O577" s="121"/>
      <c r="P577" s="122"/>
      <c r="Q577" s="121"/>
    </row>
    <row r="578" spans="1:17" ht="12.75" customHeight="1" x14ac:dyDescent="0.2">
      <c r="A578" s="124"/>
      <c r="B578" s="126"/>
      <c r="C578" s="126"/>
      <c r="D578" s="1"/>
      <c r="E578" s="1"/>
      <c r="F578" s="126"/>
      <c r="G578" s="126"/>
      <c r="H578" s="118"/>
      <c r="I578" s="119"/>
      <c r="J578" s="120"/>
      <c r="K578" s="121"/>
      <c r="L578" s="121"/>
      <c r="M578" s="121"/>
      <c r="N578" s="121"/>
      <c r="O578" s="121"/>
      <c r="P578" s="122"/>
      <c r="Q578" s="121"/>
    </row>
    <row r="579" spans="1:17" ht="12.75" customHeight="1" x14ac:dyDescent="0.2">
      <c r="A579" s="124"/>
      <c r="B579" s="126"/>
      <c r="C579" s="126"/>
      <c r="D579" s="1"/>
      <c r="E579" s="1"/>
      <c r="F579" s="126"/>
      <c r="G579" s="126"/>
      <c r="H579" s="118"/>
      <c r="I579" s="119"/>
      <c r="J579" s="120"/>
      <c r="K579" s="121"/>
      <c r="L579" s="121"/>
      <c r="M579" s="121"/>
      <c r="N579" s="121"/>
      <c r="O579" s="121"/>
      <c r="P579" s="122"/>
      <c r="Q579" s="121"/>
    </row>
    <row r="580" spans="1:17" ht="12.75" customHeight="1" x14ac:dyDescent="0.2">
      <c r="A580" s="124"/>
      <c r="B580" s="126"/>
      <c r="C580" s="126"/>
      <c r="D580" s="1"/>
      <c r="E580" s="1"/>
      <c r="F580" s="126"/>
      <c r="G580" s="126"/>
      <c r="H580" s="118"/>
      <c r="I580" s="119"/>
      <c r="J580" s="120"/>
      <c r="K580" s="121"/>
      <c r="L580" s="121"/>
      <c r="M580" s="121"/>
      <c r="N580" s="121"/>
      <c r="O580" s="121"/>
      <c r="P580" s="122"/>
      <c r="Q580" s="121"/>
    </row>
    <row r="581" spans="1:17" ht="12.75" customHeight="1" x14ac:dyDescent="0.2">
      <c r="A581" s="124"/>
      <c r="B581" s="126"/>
      <c r="C581" s="126"/>
      <c r="D581" s="1"/>
      <c r="E581" s="1"/>
      <c r="F581" s="126"/>
      <c r="G581" s="126"/>
      <c r="H581" s="118"/>
      <c r="I581" s="119"/>
      <c r="J581" s="120"/>
      <c r="K581" s="121"/>
      <c r="L581" s="121"/>
      <c r="M581" s="121"/>
      <c r="N581" s="121"/>
      <c r="O581" s="121"/>
      <c r="P581" s="122"/>
      <c r="Q581" s="121"/>
    </row>
    <row r="582" spans="1:17" ht="12.75" customHeight="1" x14ac:dyDescent="0.2">
      <c r="A582" s="124"/>
      <c r="B582" s="126"/>
      <c r="C582" s="126"/>
      <c r="D582" s="1"/>
      <c r="E582" s="1"/>
      <c r="F582" s="126"/>
      <c r="G582" s="126"/>
      <c r="H582" s="118"/>
      <c r="I582" s="119"/>
      <c r="J582" s="120"/>
      <c r="K582" s="121"/>
      <c r="L582" s="121"/>
      <c r="M582" s="121"/>
      <c r="N582" s="121"/>
      <c r="O582" s="121"/>
      <c r="P582" s="122"/>
      <c r="Q582" s="121"/>
    </row>
    <row r="583" spans="1:17" ht="12.75" customHeight="1" x14ac:dyDescent="0.2">
      <c r="A583" s="124"/>
      <c r="B583" s="126"/>
      <c r="C583" s="126"/>
      <c r="D583" s="1"/>
      <c r="E583" s="1"/>
      <c r="F583" s="126"/>
      <c r="G583" s="126"/>
      <c r="H583" s="118"/>
      <c r="I583" s="119"/>
      <c r="J583" s="120"/>
      <c r="K583" s="121"/>
      <c r="L583" s="121"/>
      <c r="M583" s="121"/>
      <c r="N583" s="121"/>
      <c r="O583" s="121"/>
      <c r="P583" s="122"/>
      <c r="Q583" s="121"/>
    </row>
    <row r="584" spans="1:17" ht="12.75" customHeight="1" x14ac:dyDescent="0.2">
      <c r="A584" s="124"/>
      <c r="B584" s="126"/>
      <c r="C584" s="126"/>
      <c r="D584" s="1"/>
      <c r="E584" s="1"/>
      <c r="F584" s="126"/>
      <c r="G584" s="126"/>
      <c r="H584" s="118"/>
      <c r="I584" s="119"/>
      <c r="J584" s="120"/>
      <c r="K584" s="121"/>
      <c r="L584" s="121"/>
      <c r="M584" s="121"/>
      <c r="N584" s="121"/>
      <c r="O584" s="121"/>
      <c r="P584" s="122"/>
      <c r="Q584" s="121"/>
    </row>
    <row r="585" spans="1:17" ht="12.75" customHeight="1" x14ac:dyDescent="0.2">
      <c r="A585" s="124"/>
      <c r="B585" s="126"/>
      <c r="C585" s="126"/>
      <c r="D585" s="1"/>
      <c r="E585" s="1"/>
      <c r="F585" s="126"/>
      <c r="G585" s="126"/>
      <c r="H585" s="118"/>
      <c r="I585" s="119"/>
      <c r="J585" s="120"/>
      <c r="K585" s="121"/>
      <c r="L585" s="121"/>
      <c r="M585" s="121"/>
      <c r="N585" s="121"/>
      <c r="O585" s="121"/>
      <c r="P585" s="122"/>
      <c r="Q585" s="121"/>
    </row>
    <row r="586" spans="1:17" ht="12.75" customHeight="1" x14ac:dyDescent="0.2">
      <c r="A586" s="124"/>
      <c r="B586" s="126"/>
      <c r="C586" s="126"/>
      <c r="D586" s="1"/>
      <c r="E586" s="1"/>
      <c r="F586" s="126"/>
      <c r="G586" s="126"/>
      <c r="H586" s="118"/>
      <c r="I586" s="119"/>
      <c r="J586" s="120"/>
      <c r="K586" s="121"/>
      <c r="L586" s="121"/>
      <c r="M586" s="121"/>
      <c r="N586" s="121"/>
      <c r="O586" s="121"/>
      <c r="P586" s="122"/>
      <c r="Q586" s="121"/>
    </row>
    <row r="587" spans="1:17" ht="12.75" customHeight="1" x14ac:dyDescent="0.2">
      <c r="A587" s="124"/>
      <c r="B587" s="126"/>
      <c r="C587" s="126"/>
      <c r="D587" s="1"/>
      <c r="E587" s="1"/>
      <c r="F587" s="126"/>
      <c r="G587" s="126"/>
      <c r="H587" s="118"/>
      <c r="I587" s="119"/>
      <c r="J587" s="120"/>
      <c r="K587" s="121"/>
      <c r="L587" s="121"/>
      <c r="M587" s="121"/>
      <c r="N587" s="121"/>
      <c r="O587" s="121"/>
      <c r="P587" s="122"/>
      <c r="Q587" s="121"/>
    </row>
    <row r="588" spans="1:17" ht="12.75" customHeight="1" x14ac:dyDescent="0.2">
      <c r="A588" s="124"/>
      <c r="B588" s="126"/>
      <c r="C588" s="126"/>
      <c r="D588" s="1"/>
      <c r="E588" s="1"/>
      <c r="F588" s="126"/>
      <c r="G588" s="126"/>
      <c r="H588" s="118"/>
      <c r="I588" s="119"/>
      <c r="J588" s="120"/>
      <c r="K588" s="121"/>
      <c r="L588" s="121"/>
      <c r="M588" s="121"/>
      <c r="N588" s="121"/>
      <c r="O588" s="121"/>
      <c r="P588" s="122"/>
      <c r="Q588" s="121"/>
    </row>
    <row r="589" spans="1:17" ht="12.75" customHeight="1" x14ac:dyDescent="0.2">
      <c r="A589" s="124"/>
      <c r="B589" s="126"/>
      <c r="C589" s="126"/>
      <c r="D589" s="1"/>
      <c r="E589" s="1"/>
      <c r="F589" s="126"/>
      <c r="G589" s="126"/>
      <c r="H589" s="118"/>
      <c r="I589" s="119"/>
      <c r="J589" s="120"/>
      <c r="K589" s="121"/>
      <c r="L589" s="121"/>
      <c r="M589" s="121"/>
      <c r="N589" s="121"/>
      <c r="O589" s="121"/>
      <c r="P589" s="122"/>
      <c r="Q589" s="121"/>
    </row>
    <row r="590" spans="1:17" ht="12.75" customHeight="1" x14ac:dyDescent="0.2">
      <c r="A590" s="124"/>
      <c r="B590" s="126"/>
      <c r="C590" s="126"/>
      <c r="D590" s="1"/>
      <c r="E590" s="1"/>
      <c r="F590" s="126"/>
      <c r="G590" s="126"/>
      <c r="H590" s="118"/>
      <c r="I590" s="119"/>
      <c r="J590" s="120"/>
      <c r="K590" s="121"/>
      <c r="L590" s="121"/>
      <c r="M590" s="121"/>
      <c r="N590" s="121"/>
      <c r="O590" s="121"/>
      <c r="P590" s="122"/>
      <c r="Q590" s="121"/>
    </row>
    <row r="591" spans="1:17" ht="12.75" customHeight="1" x14ac:dyDescent="0.2">
      <c r="A591" s="124"/>
      <c r="B591" s="126"/>
      <c r="C591" s="126"/>
      <c r="D591" s="1"/>
      <c r="E591" s="1"/>
      <c r="F591" s="126"/>
      <c r="G591" s="126"/>
      <c r="H591" s="118"/>
      <c r="I591" s="119"/>
      <c r="J591" s="120"/>
      <c r="K591" s="121"/>
      <c r="L591" s="121"/>
      <c r="M591" s="121"/>
      <c r="N591" s="121"/>
      <c r="O591" s="121"/>
      <c r="P591" s="122"/>
      <c r="Q591" s="121"/>
    </row>
    <row r="592" spans="1:17" ht="12.75" customHeight="1" x14ac:dyDescent="0.2">
      <c r="A592" s="124"/>
      <c r="B592" s="126"/>
      <c r="C592" s="126"/>
      <c r="D592" s="1"/>
      <c r="E592" s="1"/>
      <c r="F592" s="126"/>
      <c r="G592" s="126"/>
      <c r="H592" s="118"/>
      <c r="I592" s="119"/>
      <c r="J592" s="120"/>
      <c r="K592" s="121"/>
      <c r="L592" s="121"/>
      <c r="M592" s="121"/>
      <c r="N592" s="121"/>
      <c r="O592" s="121"/>
      <c r="P592" s="122"/>
      <c r="Q592" s="121"/>
    </row>
    <row r="593" spans="1:17" ht="12.75" customHeight="1" x14ac:dyDescent="0.2">
      <c r="A593" s="124"/>
      <c r="B593" s="126"/>
      <c r="C593" s="126"/>
      <c r="D593" s="1"/>
      <c r="E593" s="1"/>
      <c r="F593" s="126"/>
      <c r="G593" s="126"/>
      <c r="H593" s="118"/>
      <c r="I593" s="119"/>
      <c r="J593" s="120"/>
      <c r="K593" s="121"/>
      <c r="L593" s="121"/>
      <c r="M593" s="121"/>
      <c r="N593" s="121"/>
      <c r="O593" s="121"/>
      <c r="P593" s="122"/>
      <c r="Q593" s="121"/>
    </row>
    <row r="594" spans="1:17" ht="12.75" customHeight="1" x14ac:dyDescent="0.2">
      <c r="A594" s="124"/>
      <c r="B594" s="126"/>
      <c r="C594" s="126"/>
      <c r="D594" s="1"/>
      <c r="E594" s="1"/>
      <c r="F594" s="126"/>
      <c r="G594" s="126"/>
      <c r="H594" s="118"/>
      <c r="I594" s="119"/>
      <c r="J594" s="120"/>
      <c r="K594" s="121"/>
      <c r="L594" s="121"/>
      <c r="M594" s="121"/>
      <c r="N594" s="121"/>
      <c r="O594" s="121"/>
      <c r="P594" s="122"/>
      <c r="Q594" s="121"/>
    </row>
    <row r="595" spans="1:17" ht="12.75" customHeight="1" x14ac:dyDescent="0.2">
      <c r="A595" s="124"/>
      <c r="B595" s="126"/>
      <c r="C595" s="126"/>
      <c r="D595" s="1"/>
      <c r="E595" s="1"/>
      <c r="F595" s="126"/>
      <c r="G595" s="126"/>
      <c r="H595" s="118"/>
      <c r="I595" s="119"/>
      <c r="J595" s="120"/>
      <c r="K595" s="121"/>
      <c r="L595" s="121"/>
      <c r="M595" s="121"/>
      <c r="N595" s="121"/>
      <c r="O595" s="121"/>
      <c r="P595" s="122"/>
      <c r="Q595" s="121"/>
    </row>
    <row r="596" spans="1:17" ht="12.75" customHeight="1" x14ac:dyDescent="0.2">
      <c r="A596" s="124"/>
      <c r="B596" s="126"/>
      <c r="C596" s="126"/>
      <c r="D596" s="1"/>
      <c r="E596" s="1"/>
      <c r="F596" s="126"/>
      <c r="G596" s="126"/>
      <c r="H596" s="118"/>
      <c r="I596" s="119"/>
      <c r="J596" s="120"/>
      <c r="K596" s="121"/>
      <c r="L596" s="121"/>
      <c r="M596" s="121"/>
      <c r="N596" s="121"/>
      <c r="O596" s="121"/>
      <c r="P596" s="122"/>
      <c r="Q596" s="121"/>
    </row>
    <row r="597" spans="1:17" ht="12.75" customHeight="1" x14ac:dyDescent="0.2">
      <c r="A597" s="124"/>
      <c r="B597" s="126"/>
      <c r="C597" s="126"/>
      <c r="D597" s="1"/>
      <c r="E597" s="1"/>
      <c r="F597" s="126"/>
      <c r="G597" s="126"/>
      <c r="H597" s="118"/>
      <c r="I597" s="119"/>
      <c r="J597" s="120"/>
      <c r="K597" s="121"/>
      <c r="L597" s="121"/>
      <c r="M597" s="121"/>
      <c r="N597" s="121"/>
      <c r="O597" s="121"/>
      <c r="P597" s="122"/>
      <c r="Q597" s="121"/>
    </row>
    <row r="598" spans="1:17" ht="12.75" customHeight="1" x14ac:dyDescent="0.2">
      <c r="A598" s="124"/>
      <c r="B598" s="126"/>
      <c r="C598" s="126"/>
      <c r="D598" s="1"/>
      <c r="E598" s="1"/>
      <c r="F598" s="126"/>
      <c r="G598" s="126"/>
      <c r="H598" s="118"/>
      <c r="I598" s="119"/>
      <c r="J598" s="120"/>
      <c r="K598" s="121"/>
      <c r="L598" s="121"/>
      <c r="M598" s="121"/>
      <c r="N598" s="121"/>
      <c r="O598" s="121"/>
      <c r="P598" s="122"/>
      <c r="Q598" s="121"/>
    </row>
    <row r="599" spans="1:17" ht="12.75" customHeight="1" x14ac:dyDescent="0.2">
      <c r="A599" s="124"/>
      <c r="B599" s="126"/>
      <c r="C599" s="126"/>
      <c r="D599" s="1"/>
      <c r="E599" s="1"/>
      <c r="F599" s="126"/>
      <c r="G599" s="126"/>
      <c r="H599" s="118"/>
      <c r="I599" s="119"/>
      <c r="J599" s="120"/>
      <c r="K599" s="121"/>
      <c r="L599" s="121"/>
      <c r="M599" s="121"/>
      <c r="N599" s="121"/>
      <c r="O599" s="121"/>
      <c r="P599" s="122"/>
      <c r="Q599" s="121"/>
    </row>
    <row r="600" spans="1:17" ht="12.75" customHeight="1" x14ac:dyDescent="0.2">
      <c r="A600" s="124"/>
      <c r="B600" s="126"/>
      <c r="C600" s="126"/>
      <c r="D600" s="1"/>
      <c r="E600" s="1"/>
      <c r="F600" s="126"/>
      <c r="G600" s="126"/>
      <c r="H600" s="118"/>
      <c r="I600" s="119"/>
      <c r="J600" s="120"/>
      <c r="K600" s="121"/>
      <c r="L600" s="121"/>
      <c r="M600" s="121"/>
      <c r="N600" s="121"/>
      <c r="O600" s="121"/>
      <c r="P600" s="122"/>
      <c r="Q600" s="121"/>
    </row>
    <row r="601" spans="1:17" ht="12.75" customHeight="1" x14ac:dyDescent="0.2">
      <c r="A601" s="124"/>
      <c r="B601" s="126"/>
      <c r="C601" s="126"/>
      <c r="D601" s="1"/>
      <c r="E601" s="1"/>
      <c r="F601" s="126"/>
      <c r="G601" s="126"/>
      <c r="H601" s="118"/>
      <c r="I601" s="119"/>
      <c r="J601" s="120"/>
      <c r="K601" s="121"/>
      <c r="L601" s="121"/>
      <c r="M601" s="121"/>
      <c r="N601" s="121"/>
      <c r="O601" s="121"/>
      <c r="P601" s="122"/>
      <c r="Q601" s="121"/>
    </row>
    <row r="602" spans="1:17" ht="12.75" customHeight="1" x14ac:dyDescent="0.2">
      <c r="A602" s="124"/>
      <c r="B602" s="126"/>
      <c r="C602" s="126"/>
      <c r="D602" s="1"/>
      <c r="E602" s="1"/>
      <c r="F602" s="126"/>
      <c r="G602" s="126"/>
      <c r="H602" s="118"/>
      <c r="I602" s="119"/>
      <c r="J602" s="120"/>
      <c r="K602" s="121"/>
      <c r="L602" s="121"/>
      <c r="M602" s="121"/>
      <c r="N602" s="121"/>
      <c r="O602" s="121"/>
      <c r="P602" s="122"/>
      <c r="Q602" s="121"/>
    </row>
    <row r="603" spans="1:17" ht="12.75" customHeight="1" x14ac:dyDescent="0.2">
      <c r="A603" s="124"/>
      <c r="B603" s="126"/>
      <c r="C603" s="126"/>
      <c r="D603" s="1"/>
      <c r="E603" s="1"/>
      <c r="F603" s="126"/>
      <c r="G603" s="126"/>
      <c r="H603" s="118"/>
      <c r="I603" s="119"/>
      <c r="J603" s="120"/>
      <c r="K603" s="121"/>
      <c r="L603" s="121"/>
      <c r="M603" s="121"/>
      <c r="N603" s="121"/>
      <c r="O603" s="121"/>
      <c r="P603" s="122"/>
      <c r="Q603" s="121"/>
    </row>
    <row r="604" spans="1:17" ht="12.75" customHeight="1" x14ac:dyDescent="0.2">
      <c r="A604" s="124"/>
      <c r="B604" s="126"/>
      <c r="C604" s="126"/>
      <c r="D604" s="1"/>
      <c r="E604" s="1"/>
      <c r="F604" s="126"/>
      <c r="G604" s="126"/>
      <c r="H604" s="118"/>
      <c r="I604" s="119"/>
      <c r="J604" s="120"/>
      <c r="K604" s="121"/>
      <c r="L604" s="121"/>
      <c r="M604" s="121"/>
      <c r="N604" s="121"/>
      <c r="O604" s="121"/>
      <c r="P604" s="122"/>
      <c r="Q604" s="121"/>
    </row>
    <row r="605" spans="1:17" ht="12.75" customHeight="1" x14ac:dyDescent="0.2">
      <c r="A605" s="124"/>
      <c r="B605" s="126"/>
      <c r="C605" s="126"/>
      <c r="D605" s="1"/>
      <c r="E605" s="1"/>
      <c r="F605" s="126"/>
      <c r="G605" s="126"/>
      <c r="H605" s="118"/>
      <c r="I605" s="119"/>
      <c r="J605" s="120"/>
      <c r="K605" s="121"/>
      <c r="L605" s="121"/>
      <c r="M605" s="121"/>
      <c r="N605" s="121"/>
      <c r="O605" s="121"/>
      <c r="P605" s="122"/>
      <c r="Q605" s="121"/>
    </row>
    <row r="606" spans="1:17" ht="12.75" customHeight="1" x14ac:dyDescent="0.2">
      <c r="A606" s="124"/>
      <c r="B606" s="126"/>
      <c r="C606" s="126"/>
      <c r="D606" s="1"/>
      <c r="E606" s="1"/>
      <c r="F606" s="126"/>
      <c r="G606" s="126"/>
      <c r="H606" s="118"/>
      <c r="I606" s="119"/>
      <c r="J606" s="120"/>
      <c r="K606" s="121"/>
      <c r="L606" s="121"/>
      <c r="M606" s="121"/>
      <c r="N606" s="121"/>
      <c r="O606" s="121"/>
      <c r="P606" s="122"/>
      <c r="Q606" s="121"/>
    </row>
    <row r="607" spans="1:17" ht="12.75" customHeight="1" x14ac:dyDescent="0.2">
      <c r="A607" s="124"/>
      <c r="B607" s="126"/>
      <c r="C607" s="126"/>
      <c r="D607" s="1"/>
      <c r="E607" s="1"/>
      <c r="F607" s="126"/>
      <c r="G607" s="126"/>
      <c r="H607" s="118"/>
      <c r="I607" s="119"/>
      <c r="J607" s="120"/>
      <c r="K607" s="121"/>
      <c r="L607" s="121"/>
      <c r="M607" s="121"/>
      <c r="N607" s="121"/>
      <c r="O607" s="121"/>
      <c r="P607" s="122"/>
      <c r="Q607" s="121"/>
    </row>
    <row r="608" spans="1:17" ht="12.75" customHeight="1" x14ac:dyDescent="0.2">
      <c r="A608" s="124"/>
      <c r="B608" s="126"/>
      <c r="C608" s="126"/>
      <c r="D608" s="1"/>
      <c r="E608" s="1"/>
      <c r="F608" s="126"/>
      <c r="G608" s="126"/>
      <c r="H608" s="118"/>
      <c r="I608" s="119"/>
      <c r="J608" s="120"/>
      <c r="K608" s="121"/>
      <c r="L608" s="121"/>
      <c r="M608" s="121"/>
      <c r="N608" s="121"/>
      <c r="O608" s="121"/>
      <c r="P608" s="122"/>
      <c r="Q608" s="121"/>
    </row>
    <row r="609" spans="1:17" ht="12.75" customHeight="1" x14ac:dyDescent="0.2">
      <c r="A609" s="124"/>
      <c r="B609" s="126"/>
      <c r="C609" s="126"/>
      <c r="D609" s="1"/>
      <c r="E609" s="1"/>
      <c r="F609" s="126"/>
      <c r="G609" s="126"/>
      <c r="H609" s="118"/>
      <c r="I609" s="119"/>
      <c r="J609" s="120"/>
      <c r="K609" s="121"/>
      <c r="L609" s="121"/>
      <c r="M609" s="121"/>
      <c r="N609" s="121"/>
      <c r="O609" s="121"/>
      <c r="P609" s="122"/>
      <c r="Q609" s="121"/>
    </row>
    <row r="610" spans="1:17" ht="12.75" customHeight="1" x14ac:dyDescent="0.2">
      <c r="A610" s="124"/>
      <c r="B610" s="126"/>
      <c r="C610" s="126"/>
      <c r="D610" s="1"/>
      <c r="E610" s="1"/>
      <c r="F610" s="126"/>
      <c r="G610" s="126"/>
      <c r="H610" s="118"/>
      <c r="I610" s="119"/>
      <c r="J610" s="120"/>
      <c r="K610" s="121"/>
      <c r="L610" s="121"/>
      <c r="M610" s="121"/>
      <c r="N610" s="121"/>
      <c r="O610" s="121"/>
      <c r="P610" s="122"/>
      <c r="Q610" s="121"/>
    </row>
    <row r="611" spans="1:17" ht="12.75" customHeight="1" x14ac:dyDescent="0.2">
      <c r="A611" s="124"/>
      <c r="B611" s="126"/>
      <c r="C611" s="126"/>
      <c r="D611" s="1"/>
      <c r="E611" s="1"/>
      <c r="F611" s="126"/>
      <c r="G611" s="126"/>
      <c r="H611" s="118"/>
      <c r="I611" s="119"/>
      <c r="J611" s="120"/>
      <c r="K611" s="121"/>
      <c r="L611" s="121"/>
      <c r="M611" s="121"/>
      <c r="N611" s="121"/>
      <c r="O611" s="121"/>
      <c r="P611" s="122"/>
      <c r="Q611" s="121"/>
    </row>
    <row r="612" spans="1:17" ht="12.75" customHeight="1" x14ac:dyDescent="0.2">
      <c r="A612" s="124"/>
      <c r="B612" s="126"/>
      <c r="C612" s="126"/>
      <c r="D612" s="1"/>
      <c r="E612" s="1"/>
      <c r="F612" s="126"/>
      <c r="G612" s="126"/>
      <c r="H612" s="118"/>
      <c r="I612" s="119"/>
      <c r="J612" s="120"/>
      <c r="K612" s="121"/>
      <c r="L612" s="121"/>
      <c r="M612" s="121"/>
      <c r="N612" s="121"/>
      <c r="O612" s="121"/>
      <c r="P612" s="122"/>
      <c r="Q612" s="121"/>
    </row>
    <row r="613" spans="1:17" ht="12.75" customHeight="1" x14ac:dyDescent="0.2">
      <c r="A613" s="124"/>
      <c r="B613" s="126"/>
      <c r="C613" s="126"/>
      <c r="D613" s="1"/>
      <c r="E613" s="1"/>
      <c r="F613" s="126"/>
      <c r="G613" s="126"/>
      <c r="H613" s="118"/>
      <c r="I613" s="119"/>
      <c r="J613" s="120"/>
      <c r="K613" s="121"/>
      <c r="L613" s="121"/>
      <c r="M613" s="121"/>
      <c r="N613" s="121"/>
      <c r="O613" s="121"/>
      <c r="P613" s="122"/>
      <c r="Q613" s="121"/>
    </row>
    <row r="614" spans="1:17" ht="12.75" customHeight="1" x14ac:dyDescent="0.2">
      <c r="A614" s="124"/>
      <c r="B614" s="126"/>
      <c r="C614" s="126"/>
      <c r="D614" s="1"/>
      <c r="E614" s="1"/>
      <c r="F614" s="126"/>
      <c r="G614" s="126"/>
      <c r="H614" s="118"/>
      <c r="I614" s="119"/>
      <c r="J614" s="120"/>
      <c r="K614" s="121"/>
      <c r="L614" s="121"/>
      <c r="M614" s="121"/>
      <c r="N614" s="121"/>
      <c r="O614" s="121"/>
      <c r="P614" s="122"/>
      <c r="Q614" s="121"/>
    </row>
    <row r="615" spans="1:17" ht="12.75" customHeight="1" x14ac:dyDescent="0.2">
      <c r="A615" s="124"/>
      <c r="B615" s="126"/>
      <c r="C615" s="126"/>
      <c r="D615" s="1"/>
      <c r="E615" s="1"/>
      <c r="F615" s="126"/>
      <c r="G615" s="126"/>
      <c r="H615" s="118"/>
      <c r="I615" s="119"/>
      <c r="J615" s="120"/>
      <c r="K615" s="121"/>
      <c r="L615" s="121"/>
      <c r="M615" s="121"/>
      <c r="N615" s="121"/>
      <c r="O615" s="121"/>
      <c r="P615" s="122"/>
      <c r="Q615" s="121"/>
    </row>
    <row r="616" spans="1:17" ht="12.75" customHeight="1" x14ac:dyDescent="0.2">
      <c r="A616" s="124"/>
      <c r="B616" s="126"/>
      <c r="C616" s="126"/>
      <c r="D616" s="1"/>
      <c r="E616" s="1"/>
      <c r="F616" s="126"/>
      <c r="G616" s="126"/>
      <c r="H616" s="118"/>
      <c r="I616" s="119"/>
      <c r="J616" s="120"/>
      <c r="K616" s="121"/>
      <c r="L616" s="121"/>
      <c r="M616" s="121"/>
      <c r="N616" s="121"/>
      <c r="O616" s="121"/>
      <c r="P616" s="122"/>
      <c r="Q616" s="121"/>
    </row>
    <row r="617" spans="1:17" ht="12.75" customHeight="1" x14ac:dyDescent="0.2">
      <c r="A617" s="124"/>
      <c r="B617" s="126"/>
      <c r="C617" s="126"/>
      <c r="D617" s="1"/>
      <c r="E617" s="1"/>
      <c r="F617" s="126"/>
      <c r="G617" s="126"/>
      <c r="H617" s="118"/>
      <c r="I617" s="119"/>
      <c r="J617" s="120"/>
      <c r="K617" s="121"/>
      <c r="L617" s="121"/>
      <c r="M617" s="121"/>
      <c r="N617" s="121"/>
      <c r="O617" s="121"/>
      <c r="P617" s="122"/>
      <c r="Q617" s="121"/>
    </row>
    <row r="618" spans="1:17" ht="12.75" customHeight="1" x14ac:dyDescent="0.2">
      <c r="A618" s="124"/>
      <c r="B618" s="126"/>
      <c r="C618" s="126"/>
      <c r="D618" s="1"/>
      <c r="E618" s="1"/>
      <c r="F618" s="126"/>
      <c r="G618" s="126"/>
      <c r="H618" s="118"/>
      <c r="I618" s="119"/>
      <c r="J618" s="120"/>
      <c r="K618" s="121"/>
      <c r="L618" s="121"/>
      <c r="M618" s="121"/>
      <c r="N618" s="121"/>
      <c r="O618" s="121"/>
      <c r="P618" s="122"/>
      <c r="Q618" s="121"/>
    </row>
    <row r="619" spans="1:17" ht="12.75" customHeight="1" x14ac:dyDescent="0.2">
      <c r="A619" s="124"/>
      <c r="B619" s="126"/>
      <c r="C619" s="126"/>
      <c r="D619" s="1"/>
      <c r="E619" s="1"/>
      <c r="F619" s="126"/>
      <c r="G619" s="126"/>
      <c r="H619" s="118"/>
      <c r="I619" s="119"/>
      <c r="J619" s="120"/>
      <c r="K619" s="121"/>
      <c r="L619" s="121"/>
      <c r="M619" s="121"/>
      <c r="N619" s="121"/>
      <c r="O619" s="121"/>
      <c r="P619" s="122"/>
      <c r="Q619" s="121"/>
    </row>
    <row r="620" spans="1:17" ht="12.75" customHeight="1" x14ac:dyDescent="0.2">
      <c r="A620" s="124"/>
      <c r="B620" s="126"/>
      <c r="C620" s="126"/>
      <c r="D620" s="1"/>
      <c r="E620" s="1"/>
      <c r="F620" s="126"/>
      <c r="G620" s="126"/>
      <c r="H620" s="118"/>
      <c r="I620" s="119"/>
      <c r="J620" s="120"/>
      <c r="K620" s="121"/>
      <c r="L620" s="121"/>
      <c r="M620" s="121"/>
      <c r="N620" s="121"/>
      <c r="O620" s="121"/>
      <c r="P620" s="122"/>
      <c r="Q620" s="121"/>
    </row>
    <row r="621" spans="1:17" ht="12.75" customHeight="1" x14ac:dyDescent="0.2">
      <c r="A621" s="124"/>
      <c r="B621" s="126"/>
      <c r="C621" s="126"/>
      <c r="D621" s="1"/>
      <c r="E621" s="1"/>
      <c r="F621" s="126"/>
      <c r="G621" s="126"/>
      <c r="H621" s="118"/>
      <c r="I621" s="119"/>
      <c r="J621" s="120"/>
      <c r="K621" s="121"/>
      <c r="L621" s="121"/>
      <c r="M621" s="121"/>
      <c r="N621" s="121"/>
      <c r="O621" s="121"/>
      <c r="P621" s="122"/>
      <c r="Q621" s="121"/>
    </row>
    <row r="622" spans="1:17" ht="12.75" customHeight="1" x14ac:dyDescent="0.2">
      <c r="A622" s="124"/>
      <c r="B622" s="126"/>
      <c r="C622" s="126"/>
      <c r="D622" s="1"/>
      <c r="E622" s="1"/>
      <c r="F622" s="126"/>
      <c r="G622" s="126"/>
      <c r="H622" s="118"/>
      <c r="I622" s="119"/>
      <c r="J622" s="120"/>
      <c r="K622" s="121"/>
      <c r="L622" s="121"/>
      <c r="M622" s="121"/>
      <c r="N622" s="121"/>
      <c r="O622" s="121"/>
      <c r="P622" s="122"/>
      <c r="Q622" s="121"/>
    </row>
    <row r="623" spans="1:17" ht="12.75" customHeight="1" x14ac:dyDescent="0.2">
      <c r="A623" s="124"/>
      <c r="B623" s="126"/>
      <c r="C623" s="126"/>
      <c r="D623" s="1"/>
      <c r="E623" s="1"/>
      <c r="F623" s="126"/>
      <c r="G623" s="126"/>
      <c r="H623" s="118"/>
      <c r="I623" s="119"/>
      <c r="J623" s="120"/>
      <c r="K623" s="121"/>
      <c r="L623" s="121"/>
      <c r="M623" s="121"/>
      <c r="N623" s="121"/>
      <c r="O623" s="121"/>
      <c r="P623" s="122"/>
      <c r="Q623" s="121"/>
    </row>
    <row r="624" spans="1:17" ht="12.75" customHeight="1" x14ac:dyDescent="0.2">
      <c r="A624" s="124"/>
      <c r="B624" s="126"/>
      <c r="C624" s="126"/>
      <c r="D624" s="1"/>
      <c r="E624" s="1"/>
      <c r="F624" s="126"/>
      <c r="G624" s="126"/>
      <c r="H624" s="118"/>
      <c r="I624" s="119"/>
      <c r="J624" s="120"/>
      <c r="K624" s="121"/>
      <c r="L624" s="121"/>
      <c r="M624" s="121"/>
      <c r="N624" s="121"/>
      <c r="O624" s="121"/>
      <c r="P624" s="122"/>
      <c r="Q624" s="121"/>
    </row>
    <row r="625" spans="1:17" ht="12.75" customHeight="1" x14ac:dyDescent="0.2">
      <c r="A625" s="124"/>
      <c r="B625" s="126"/>
      <c r="C625" s="126"/>
      <c r="D625" s="1"/>
      <c r="E625" s="1"/>
      <c r="F625" s="126"/>
      <c r="G625" s="126"/>
      <c r="H625" s="118"/>
      <c r="I625" s="119"/>
      <c r="J625" s="120"/>
      <c r="K625" s="121"/>
      <c r="L625" s="121"/>
      <c r="M625" s="121"/>
      <c r="N625" s="121"/>
      <c r="O625" s="121"/>
      <c r="P625" s="122"/>
      <c r="Q625" s="121"/>
    </row>
    <row r="626" spans="1:17" ht="12.75" customHeight="1" x14ac:dyDescent="0.2">
      <c r="A626" s="124"/>
      <c r="B626" s="126"/>
      <c r="C626" s="126"/>
      <c r="D626" s="1"/>
      <c r="E626" s="1"/>
      <c r="F626" s="126"/>
      <c r="G626" s="126"/>
      <c r="H626" s="118"/>
      <c r="I626" s="119"/>
      <c r="J626" s="120"/>
      <c r="K626" s="121"/>
      <c r="L626" s="121"/>
      <c r="M626" s="121"/>
      <c r="N626" s="121"/>
      <c r="O626" s="121"/>
      <c r="P626" s="122"/>
      <c r="Q626" s="121"/>
    </row>
    <row r="627" spans="1:17" ht="12.75" customHeight="1" x14ac:dyDescent="0.2">
      <c r="A627" s="124"/>
      <c r="B627" s="126"/>
      <c r="C627" s="126"/>
      <c r="D627" s="1"/>
      <c r="E627" s="1"/>
      <c r="F627" s="126"/>
      <c r="G627" s="126"/>
      <c r="H627" s="118"/>
      <c r="I627" s="119"/>
      <c r="J627" s="120"/>
      <c r="K627" s="121"/>
      <c r="L627" s="121"/>
      <c r="M627" s="121"/>
      <c r="N627" s="121"/>
      <c r="O627" s="121"/>
      <c r="P627" s="122"/>
      <c r="Q627" s="121"/>
    </row>
    <row r="628" spans="1:17" ht="12.75" customHeight="1" x14ac:dyDescent="0.2">
      <c r="A628" s="124"/>
      <c r="B628" s="126"/>
      <c r="C628" s="126"/>
      <c r="D628" s="1"/>
      <c r="E628" s="1"/>
      <c r="F628" s="126"/>
      <c r="G628" s="126"/>
      <c r="H628" s="118"/>
      <c r="I628" s="119"/>
      <c r="J628" s="120"/>
      <c r="K628" s="121"/>
      <c r="L628" s="121"/>
      <c r="M628" s="121"/>
      <c r="N628" s="121"/>
      <c r="O628" s="121"/>
      <c r="P628" s="122"/>
      <c r="Q628" s="121"/>
    </row>
    <row r="629" spans="1:17" ht="12.75" customHeight="1" x14ac:dyDescent="0.2">
      <c r="A629" s="124"/>
      <c r="B629" s="126"/>
      <c r="C629" s="126"/>
      <c r="D629" s="1"/>
      <c r="E629" s="1"/>
      <c r="F629" s="126"/>
      <c r="G629" s="126"/>
      <c r="H629" s="118"/>
      <c r="I629" s="119"/>
      <c r="J629" s="120"/>
      <c r="K629" s="121"/>
      <c r="L629" s="121"/>
      <c r="M629" s="121"/>
      <c r="N629" s="121"/>
      <c r="O629" s="121"/>
      <c r="P629" s="122"/>
      <c r="Q629" s="121"/>
    </row>
    <row r="630" spans="1:17" ht="12.75" customHeight="1" x14ac:dyDescent="0.2">
      <c r="A630" s="124"/>
      <c r="B630" s="126"/>
      <c r="C630" s="126"/>
      <c r="D630" s="1"/>
      <c r="E630" s="1"/>
      <c r="F630" s="126"/>
      <c r="G630" s="126"/>
      <c r="H630" s="118"/>
      <c r="I630" s="119"/>
      <c r="J630" s="120"/>
      <c r="K630" s="121"/>
      <c r="L630" s="121"/>
      <c r="M630" s="121"/>
      <c r="N630" s="121"/>
      <c r="O630" s="121"/>
      <c r="P630" s="122"/>
      <c r="Q630" s="121"/>
    </row>
    <row r="631" spans="1:17" ht="12.75" customHeight="1" x14ac:dyDescent="0.2">
      <c r="A631" s="124"/>
      <c r="B631" s="126"/>
      <c r="C631" s="126"/>
      <c r="D631" s="1"/>
      <c r="E631" s="1"/>
      <c r="F631" s="126"/>
      <c r="G631" s="126"/>
      <c r="H631" s="118"/>
      <c r="I631" s="119"/>
      <c r="J631" s="120"/>
      <c r="K631" s="121"/>
      <c r="L631" s="121"/>
      <c r="M631" s="121"/>
      <c r="N631" s="121"/>
      <c r="O631" s="121"/>
      <c r="P631" s="122"/>
      <c r="Q631" s="121"/>
    </row>
    <row r="632" spans="1:17" ht="12.75" customHeight="1" x14ac:dyDescent="0.2">
      <c r="A632" s="124"/>
      <c r="B632" s="126"/>
      <c r="C632" s="126"/>
      <c r="D632" s="1"/>
      <c r="E632" s="1"/>
      <c r="F632" s="126"/>
      <c r="G632" s="126"/>
      <c r="H632" s="118"/>
      <c r="I632" s="119"/>
      <c r="J632" s="120"/>
      <c r="K632" s="121"/>
      <c r="L632" s="121"/>
      <c r="M632" s="121"/>
      <c r="N632" s="121"/>
      <c r="O632" s="121"/>
      <c r="P632" s="122"/>
      <c r="Q632" s="121"/>
    </row>
    <row r="633" spans="1:17" ht="12.75" customHeight="1" x14ac:dyDescent="0.2">
      <c r="A633" s="124"/>
      <c r="B633" s="126"/>
      <c r="C633" s="126"/>
      <c r="D633" s="1"/>
      <c r="E633" s="1"/>
      <c r="F633" s="126"/>
      <c r="G633" s="126"/>
      <c r="H633" s="118"/>
      <c r="I633" s="119"/>
      <c r="J633" s="120"/>
      <c r="K633" s="121"/>
      <c r="L633" s="121"/>
      <c r="M633" s="121"/>
      <c r="N633" s="121"/>
      <c r="O633" s="121"/>
      <c r="P633" s="122"/>
      <c r="Q633" s="121"/>
    </row>
    <row r="634" spans="1:17" ht="12.75" customHeight="1" x14ac:dyDescent="0.2">
      <c r="A634" s="124"/>
      <c r="B634" s="126"/>
      <c r="C634" s="126"/>
      <c r="D634" s="1"/>
      <c r="E634" s="1"/>
      <c r="F634" s="126"/>
      <c r="G634" s="126"/>
      <c r="H634" s="118"/>
      <c r="I634" s="119"/>
      <c r="J634" s="120"/>
      <c r="K634" s="121"/>
      <c r="L634" s="121"/>
      <c r="M634" s="121"/>
      <c r="N634" s="121"/>
      <c r="O634" s="121"/>
      <c r="P634" s="122"/>
      <c r="Q634" s="121"/>
    </row>
    <row r="635" spans="1:17" ht="12.75" customHeight="1" x14ac:dyDescent="0.2">
      <c r="A635" s="124"/>
      <c r="B635" s="126"/>
      <c r="C635" s="126"/>
      <c r="D635" s="1"/>
      <c r="E635" s="1"/>
      <c r="F635" s="126"/>
      <c r="G635" s="126"/>
      <c r="H635" s="118"/>
      <c r="I635" s="119"/>
      <c r="J635" s="120"/>
      <c r="K635" s="121"/>
      <c r="L635" s="121"/>
      <c r="M635" s="121"/>
      <c r="N635" s="121"/>
      <c r="O635" s="121"/>
      <c r="P635" s="122"/>
      <c r="Q635" s="121"/>
    </row>
    <row r="636" spans="1:17" ht="12.75" customHeight="1" x14ac:dyDescent="0.2">
      <c r="A636" s="124"/>
      <c r="B636" s="126"/>
      <c r="C636" s="126"/>
      <c r="D636" s="1"/>
      <c r="E636" s="1"/>
      <c r="F636" s="126"/>
      <c r="G636" s="126"/>
      <c r="H636" s="118"/>
      <c r="I636" s="119"/>
      <c r="J636" s="120"/>
      <c r="K636" s="121"/>
      <c r="L636" s="121"/>
      <c r="M636" s="121"/>
      <c r="N636" s="121"/>
      <c r="O636" s="121"/>
      <c r="P636" s="122"/>
      <c r="Q636" s="121"/>
    </row>
    <row r="637" spans="1:17" ht="12.75" customHeight="1" x14ac:dyDescent="0.2">
      <c r="A637" s="124"/>
      <c r="B637" s="126"/>
      <c r="C637" s="126"/>
      <c r="D637" s="1"/>
      <c r="E637" s="1"/>
      <c r="F637" s="126"/>
      <c r="G637" s="126"/>
      <c r="H637" s="118"/>
      <c r="I637" s="119"/>
      <c r="J637" s="120"/>
      <c r="K637" s="121"/>
      <c r="L637" s="121"/>
      <c r="M637" s="121"/>
      <c r="N637" s="121"/>
      <c r="O637" s="121"/>
      <c r="P637" s="122"/>
      <c r="Q637" s="121"/>
    </row>
    <row r="638" spans="1:17" ht="12.75" customHeight="1" x14ac:dyDescent="0.2">
      <c r="A638" s="124"/>
      <c r="B638" s="126"/>
      <c r="C638" s="126"/>
      <c r="D638" s="1"/>
      <c r="E638" s="1"/>
      <c r="F638" s="126"/>
      <c r="G638" s="126"/>
      <c r="H638" s="118"/>
      <c r="I638" s="119"/>
      <c r="J638" s="120"/>
      <c r="K638" s="121"/>
      <c r="L638" s="121"/>
      <c r="M638" s="121"/>
      <c r="N638" s="121"/>
      <c r="O638" s="121"/>
      <c r="P638" s="122"/>
      <c r="Q638" s="121"/>
    </row>
    <row r="639" spans="1:17" ht="12.75" customHeight="1" x14ac:dyDescent="0.2">
      <c r="A639" s="124"/>
      <c r="B639" s="126"/>
      <c r="C639" s="126"/>
      <c r="D639" s="1"/>
      <c r="E639" s="1"/>
      <c r="F639" s="126"/>
      <c r="G639" s="126"/>
      <c r="H639" s="118"/>
      <c r="I639" s="119"/>
      <c r="J639" s="120"/>
      <c r="K639" s="121"/>
      <c r="L639" s="121"/>
      <c r="M639" s="121"/>
      <c r="N639" s="121"/>
      <c r="O639" s="121"/>
      <c r="P639" s="122"/>
      <c r="Q639" s="121"/>
    </row>
    <row r="640" spans="1:17" ht="12.75" customHeight="1" x14ac:dyDescent="0.2">
      <c r="A640" s="124"/>
      <c r="B640" s="126"/>
      <c r="C640" s="126"/>
      <c r="D640" s="1"/>
      <c r="E640" s="1"/>
      <c r="F640" s="126"/>
      <c r="G640" s="126"/>
      <c r="H640" s="118"/>
      <c r="I640" s="119"/>
      <c r="J640" s="120"/>
      <c r="K640" s="121"/>
      <c r="L640" s="121"/>
      <c r="M640" s="121"/>
      <c r="N640" s="121"/>
      <c r="O640" s="121"/>
      <c r="P640" s="122"/>
      <c r="Q640" s="121"/>
    </row>
    <row r="641" spans="1:17" ht="12.75" customHeight="1" x14ac:dyDescent="0.2">
      <c r="A641" s="124"/>
      <c r="B641" s="126"/>
      <c r="C641" s="126"/>
      <c r="D641" s="1"/>
      <c r="E641" s="1"/>
      <c r="F641" s="126"/>
      <c r="G641" s="126"/>
      <c r="H641" s="118"/>
      <c r="I641" s="119"/>
      <c r="J641" s="120"/>
      <c r="K641" s="121"/>
      <c r="L641" s="121"/>
      <c r="M641" s="121"/>
      <c r="N641" s="121"/>
      <c r="O641" s="121"/>
      <c r="P641" s="122"/>
      <c r="Q641" s="121"/>
    </row>
    <row r="642" spans="1:17" ht="12.75" customHeight="1" x14ac:dyDescent="0.2">
      <c r="A642" s="124"/>
      <c r="B642" s="126"/>
      <c r="C642" s="126"/>
      <c r="D642" s="1"/>
      <c r="E642" s="1"/>
      <c r="F642" s="126"/>
      <c r="G642" s="126"/>
      <c r="H642" s="118"/>
      <c r="I642" s="119"/>
      <c r="J642" s="120"/>
      <c r="K642" s="121"/>
      <c r="L642" s="121"/>
      <c r="M642" s="121"/>
      <c r="N642" s="121"/>
      <c r="O642" s="121"/>
      <c r="P642" s="122"/>
      <c r="Q642" s="121"/>
    </row>
    <row r="643" spans="1:17" ht="12.75" customHeight="1" x14ac:dyDescent="0.2">
      <c r="A643" s="124"/>
      <c r="B643" s="126"/>
      <c r="C643" s="126"/>
      <c r="D643" s="1"/>
      <c r="E643" s="1"/>
      <c r="F643" s="126"/>
      <c r="G643" s="126"/>
      <c r="H643" s="118"/>
      <c r="I643" s="119"/>
      <c r="J643" s="120"/>
      <c r="K643" s="121"/>
      <c r="L643" s="121"/>
      <c r="M643" s="121"/>
      <c r="N643" s="121"/>
      <c r="O643" s="121"/>
      <c r="P643" s="122"/>
      <c r="Q643" s="121"/>
    </row>
    <row r="644" spans="1:17" ht="12.75" customHeight="1" x14ac:dyDescent="0.2">
      <c r="A644" s="124"/>
      <c r="B644" s="126"/>
      <c r="C644" s="126"/>
      <c r="D644" s="1"/>
      <c r="E644" s="1"/>
      <c r="F644" s="126"/>
      <c r="G644" s="126"/>
      <c r="H644" s="118"/>
      <c r="I644" s="119"/>
      <c r="J644" s="120"/>
      <c r="K644" s="121"/>
      <c r="L644" s="121"/>
      <c r="M644" s="121"/>
      <c r="N644" s="121"/>
      <c r="O644" s="121"/>
      <c r="P644" s="122"/>
      <c r="Q644" s="121"/>
    </row>
    <row r="645" spans="1:17" ht="12.75" customHeight="1" x14ac:dyDescent="0.2">
      <c r="A645" s="124"/>
      <c r="B645" s="126"/>
      <c r="C645" s="126"/>
      <c r="D645" s="1"/>
      <c r="E645" s="1"/>
      <c r="F645" s="126"/>
      <c r="G645" s="126"/>
      <c r="H645" s="118"/>
      <c r="I645" s="119"/>
      <c r="J645" s="120"/>
      <c r="K645" s="121"/>
      <c r="L645" s="121"/>
      <c r="M645" s="121"/>
      <c r="N645" s="121"/>
      <c r="O645" s="121"/>
      <c r="P645" s="122"/>
      <c r="Q645" s="121"/>
    </row>
    <row r="646" spans="1:17" ht="12.75" customHeight="1" x14ac:dyDescent="0.2">
      <c r="A646" s="124"/>
      <c r="B646" s="126"/>
      <c r="C646" s="126"/>
      <c r="D646" s="1"/>
      <c r="E646" s="1"/>
      <c r="F646" s="126"/>
      <c r="G646" s="126"/>
      <c r="H646" s="118"/>
      <c r="I646" s="119"/>
      <c r="J646" s="120"/>
      <c r="K646" s="121"/>
      <c r="L646" s="121"/>
      <c r="M646" s="121"/>
      <c r="N646" s="121"/>
      <c r="O646" s="121"/>
      <c r="P646" s="122"/>
      <c r="Q646" s="121"/>
    </row>
    <row r="647" spans="1:17" ht="12.75" customHeight="1" x14ac:dyDescent="0.2">
      <c r="A647" s="124"/>
      <c r="B647" s="126"/>
      <c r="C647" s="126"/>
      <c r="D647" s="1"/>
      <c r="E647" s="1"/>
      <c r="F647" s="126"/>
      <c r="G647" s="126"/>
      <c r="H647" s="118"/>
      <c r="I647" s="119"/>
      <c r="J647" s="120"/>
      <c r="K647" s="121"/>
      <c r="L647" s="121"/>
      <c r="M647" s="121"/>
      <c r="N647" s="121"/>
      <c r="O647" s="121"/>
      <c r="P647" s="122"/>
      <c r="Q647" s="121"/>
    </row>
    <row r="648" spans="1:17" ht="12.75" customHeight="1" x14ac:dyDescent="0.2">
      <c r="A648" s="124"/>
      <c r="B648" s="126"/>
      <c r="C648" s="126"/>
      <c r="D648" s="1"/>
      <c r="E648" s="1"/>
      <c r="F648" s="126"/>
      <c r="G648" s="126"/>
      <c r="H648" s="118"/>
      <c r="I648" s="119"/>
      <c r="J648" s="120"/>
      <c r="K648" s="121"/>
      <c r="L648" s="121"/>
      <c r="M648" s="121"/>
      <c r="N648" s="121"/>
      <c r="O648" s="121"/>
      <c r="P648" s="122"/>
      <c r="Q648" s="121"/>
    </row>
    <row r="649" spans="1:17" ht="12.75" customHeight="1" x14ac:dyDescent="0.2">
      <c r="A649" s="124"/>
      <c r="B649" s="126"/>
      <c r="C649" s="126"/>
      <c r="D649" s="1"/>
      <c r="E649" s="1"/>
      <c r="F649" s="126"/>
      <c r="G649" s="126"/>
      <c r="H649" s="118"/>
      <c r="I649" s="119"/>
      <c r="J649" s="120"/>
      <c r="K649" s="121"/>
      <c r="L649" s="121"/>
      <c r="M649" s="121"/>
      <c r="N649" s="121"/>
      <c r="O649" s="121"/>
      <c r="P649" s="122"/>
      <c r="Q649" s="121"/>
    </row>
    <row r="650" spans="1:17" ht="12.75" customHeight="1" x14ac:dyDescent="0.2">
      <c r="A650" s="124"/>
      <c r="B650" s="126"/>
      <c r="C650" s="126"/>
      <c r="D650" s="1"/>
      <c r="E650" s="1"/>
      <c r="F650" s="126"/>
      <c r="G650" s="126"/>
      <c r="H650" s="118"/>
      <c r="I650" s="119"/>
      <c r="J650" s="120"/>
      <c r="K650" s="121"/>
      <c r="L650" s="121"/>
      <c r="M650" s="121"/>
      <c r="N650" s="121"/>
      <c r="O650" s="121"/>
      <c r="P650" s="122"/>
      <c r="Q650" s="121"/>
    </row>
    <row r="651" spans="1:17" ht="12.75" customHeight="1" x14ac:dyDescent="0.2">
      <c r="A651" s="124"/>
      <c r="B651" s="126"/>
      <c r="C651" s="126"/>
      <c r="D651" s="1"/>
      <c r="E651" s="1"/>
      <c r="F651" s="126"/>
      <c r="G651" s="126"/>
      <c r="H651" s="118"/>
      <c r="I651" s="119"/>
      <c r="J651" s="120"/>
      <c r="K651" s="121"/>
      <c r="L651" s="121"/>
      <c r="M651" s="121"/>
      <c r="N651" s="121"/>
      <c r="O651" s="121"/>
      <c r="P651" s="122"/>
      <c r="Q651" s="121"/>
    </row>
    <row r="652" spans="1:17" ht="12.75" customHeight="1" x14ac:dyDescent="0.2">
      <c r="A652" s="124"/>
      <c r="B652" s="126"/>
      <c r="C652" s="126"/>
      <c r="D652" s="1"/>
      <c r="E652" s="1"/>
      <c r="F652" s="126"/>
      <c r="G652" s="126"/>
      <c r="H652" s="118"/>
      <c r="I652" s="119"/>
      <c r="J652" s="120"/>
      <c r="K652" s="121"/>
      <c r="L652" s="121"/>
      <c r="M652" s="121"/>
      <c r="N652" s="121"/>
      <c r="O652" s="121"/>
      <c r="P652" s="122"/>
      <c r="Q652" s="121"/>
    </row>
    <row r="653" spans="1:17" ht="12.75" customHeight="1" x14ac:dyDescent="0.2">
      <c r="A653" s="124"/>
      <c r="B653" s="126"/>
      <c r="C653" s="126"/>
      <c r="D653" s="1"/>
      <c r="E653" s="1"/>
      <c r="F653" s="126"/>
      <c r="G653" s="126"/>
      <c r="H653" s="118"/>
      <c r="I653" s="119"/>
      <c r="J653" s="120"/>
      <c r="K653" s="121"/>
      <c r="L653" s="121"/>
      <c r="M653" s="121"/>
      <c r="N653" s="121"/>
      <c r="O653" s="121"/>
      <c r="P653" s="122"/>
      <c r="Q653" s="121"/>
    </row>
    <row r="654" spans="1:17" ht="12.75" customHeight="1" x14ac:dyDescent="0.2">
      <c r="A654" s="124"/>
      <c r="B654" s="126"/>
      <c r="C654" s="126"/>
      <c r="D654" s="1"/>
      <c r="E654" s="1"/>
      <c r="F654" s="126"/>
      <c r="G654" s="126"/>
      <c r="H654" s="118"/>
      <c r="I654" s="119"/>
      <c r="J654" s="120"/>
      <c r="K654" s="121"/>
      <c r="L654" s="121"/>
      <c r="M654" s="121"/>
      <c r="N654" s="121"/>
      <c r="O654" s="121"/>
      <c r="P654" s="122"/>
      <c r="Q654" s="121"/>
    </row>
    <row r="655" spans="1:17" ht="12.75" customHeight="1" x14ac:dyDescent="0.2">
      <c r="A655" s="124"/>
      <c r="B655" s="126"/>
      <c r="C655" s="126"/>
      <c r="D655" s="1"/>
      <c r="E655" s="1"/>
      <c r="F655" s="126"/>
      <c r="G655" s="126"/>
      <c r="H655" s="118"/>
      <c r="I655" s="119"/>
      <c r="J655" s="120"/>
      <c r="K655" s="121"/>
      <c r="L655" s="121"/>
      <c r="M655" s="121"/>
      <c r="N655" s="121"/>
      <c r="O655" s="121"/>
      <c r="P655" s="122"/>
      <c r="Q655" s="121"/>
    </row>
    <row r="656" spans="1:17" ht="12.75" customHeight="1" x14ac:dyDescent="0.2">
      <c r="A656" s="124"/>
      <c r="B656" s="126"/>
      <c r="C656" s="126"/>
      <c r="D656" s="1"/>
      <c r="E656" s="1"/>
      <c r="F656" s="126"/>
      <c r="G656" s="126"/>
      <c r="H656" s="118"/>
      <c r="I656" s="119"/>
      <c r="J656" s="120"/>
      <c r="K656" s="121"/>
      <c r="L656" s="121"/>
      <c r="M656" s="121"/>
      <c r="N656" s="121"/>
      <c r="O656" s="121"/>
      <c r="P656" s="122"/>
      <c r="Q656" s="121"/>
    </row>
    <row r="657" spans="1:17" ht="12.75" customHeight="1" x14ac:dyDescent="0.2">
      <c r="A657" s="124"/>
      <c r="B657" s="126"/>
      <c r="C657" s="126"/>
      <c r="D657" s="1"/>
      <c r="E657" s="1"/>
      <c r="F657" s="126"/>
      <c r="G657" s="126"/>
      <c r="H657" s="118"/>
      <c r="I657" s="119"/>
      <c r="J657" s="120"/>
      <c r="K657" s="121"/>
      <c r="L657" s="121"/>
      <c r="M657" s="121"/>
      <c r="N657" s="121"/>
      <c r="O657" s="121"/>
      <c r="P657" s="122"/>
      <c r="Q657" s="121"/>
    </row>
    <row r="658" spans="1:17" ht="12.75" customHeight="1" x14ac:dyDescent="0.2">
      <c r="A658" s="124"/>
      <c r="B658" s="126"/>
      <c r="C658" s="126"/>
      <c r="D658" s="1"/>
      <c r="E658" s="1"/>
      <c r="F658" s="126"/>
      <c r="G658" s="126"/>
      <c r="H658" s="118"/>
      <c r="I658" s="119"/>
      <c r="J658" s="120"/>
      <c r="K658" s="121"/>
      <c r="L658" s="121"/>
      <c r="M658" s="121"/>
      <c r="N658" s="121"/>
      <c r="O658" s="121"/>
      <c r="P658" s="122"/>
      <c r="Q658" s="121"/>
    </row>
    <row r="659" spans="1:17" ht="12.75" customHeight="1" x14ac:dyDescent="0.2">
      <c r="A659" s="124"/>
      <c r="B659" s="126"/>
      <c r="C659" s="126"/>
      <c r="D659" s="1"/>
      <c r="E659" s="1"/>
      <c r="F659" s="126"/>
      <c r="G659" s="126"/>
      <c r="H659" s="118"/>
      <c r="I659" s="119"/>
      <c r="J659" s="120"/>
      <c r="K659" s="121"/>
      <c r="L659" s="121"/>
      <c r="M659" s="121"/>
      <c r="N659" s="121"/>
      <c r="O659" s="121"/>
      <c r="P659" s="122"/>
      <c r="Q659" s="121"/>
    </row>
    <row r="660" spans="1:17" ht="12.75" customHeight="1" x14ac:dyDescent="0.2">
      <c r="A660" s="124"/>
      <c r="B660" s="126"/>
      <c r="C660" s="126"/>
      <c r="D660" s="1"/>
      <c r="E660" s="1"/>
      <c r="F660" s="126"/>
      <c r="G660" s="126"/>
      <c r="H660" s="118"/>
      <c r="I660" s="119"/>
      <c r="J660" s="120"/>
      <c r="K660" s="121"/>
      <c r="L660" s="121"/>
      <c r="M660" s="121"/>
      <c r="N660" s="121"/>
      <c r="O660" s="121"/>
      <c r="P660" s="122"/>
      <c r="Q660" s="121"/>
    </row>
    <row r="661" spans="1:17" ht="12.75" customHeight="1" x14ac:dyDescent="0.2">
      <c r="A661" s="124"/>
      <c r="B661" s="126"/>
      <c r="C661" s="126"/>
      <c r="D661" s="1"/>
      <c r="E661" s="1"/>
      <c r="F661" s="126"/>
      <c r="G661" s="126"/>
      <c r="H661" s="118"/>
      <c r="I661" s="119"/>
      <c r="J661" s="120"/>
      <c r="K661" s="121"/>
      <c r="L661" s="121"/>
      <c r="M661" s="121"/>
      <c r="N661" s="121"/>
      <c r="O661" s="121"/>
      <c r="P661" s="122"/>
      <c r="Q661" s="121"/>
    </row>
    <row r="662" spans="1:17" ht="12.75" customHeight="1" x14ac:dyDescent="0.2">
      <c r="A662" s="124"/>
      <c r="B662" s="126"/>
      <c r="C662" s="126"/>
      <c r="D662" s="1"/>
      <c r="E662" s="1"/>
      <c r="F662" s="126"/>
      <c r="G662" s="126"/>
      <c r="H662" s="118"/>
      <c r="I662" s="119"/>
      <c r="J662" s="120"/>
      <c r="K662" s="121"/>
      <c r="L662" s="121"/>
      <c r="M662" s="121"/>
      <c r="N662" s="121"/>
      <c r="O662" s="121"/>
      <c r="P662" s="122"/>
      <c r="Q662" s="121"/>
    </row>
    <row r="663" spans="1:17" ht="12.75" customHeight="1" x14ac:dyDescent="0.2">
      <c r="A663" s="124"/>
      <c r="B663" s="126"/>
      <c r="C663" s="126"/>
      <c r="D663" s="1"/>
      <c r="E663" s="1"/>
      <c r="F663" s="126"/>
      <c r="G663" s="126"/>
      <c r="H663" s="118"/>
      <c r="I663" s="119"/>
      <c r="J663" s="120"/>
      <c r="K663" s="121"/>
      <c r="L663" s="121"/>
      <c r="M663" s="121"/>
      <c r="N663" s="121"/>
      <c r="O663" s="121"/>
      <c r="P663" s="122"/>
      <c r="Q663" s="121"/>
    </row>
    <row r="664" spans="1:17" ht="12.75" customHeight="1" x14ac:dyDescent="0.2">
      <c r="A664" s="124"/>
      <c r="B664" s="126"/>
      <c r="C664" s="126"/>
      <c r="D664" s="1"/>
      <c r="E664" s="1"/>
      <c r="F664" s="126"/>
      <c r="G664" s="126"/>
      <c r="H664" s="118"/>
      <c r="I664" s="119"/>
      <c r="J664" s="120"/>
      <c r="K664" s="121"/>
      <c r="L664" s="121"/>
      <c r="M664" s="121"/>
      <c r="N664" s="121"/>
      <c r="O664" s="121"/>
      <c r="P664" s="122"/>
      <c r="Q664" s="121"/>
    </row>
    <row r="665" spans="1:17" ht="12.75" customHeight="1" x14ac:dyDescent="0.2">
      <c r="A665" s="124"/>
      <c r="B665" s="126"/>
      <c r="C665" s="126"/>
      <c r="D665" s="1"/>
      <c r="E665" s="1"/>
      <c r="F665" s="126"/>
      <c r="G665" s="126"/>
      <c r="H665" s="118"/>
      <c r="I665" s="119"/>
      <c r="J665" s="120"/>
      <c r="K665" s="121"/>
      <c r="L665" s="121"/>
      <c r="M665" s="121"/>
      <c r="N665" s="121"/>
      <c r="O665" s="121"/>
      <c r="P665" s="122"/>
      <c r="Q665" s="121"/>
    </row>
    <row r="666" spans="1:17" ht="12.75" customHeight="1" x14ac:dyDescent="0.2">
      <c r="A666" s="124"/>
      <c r="B666" s="126"/>
      <c r="C666" s="126"/>
      <c r="D666" s="1"/>
      <c r="E666" s="1"/>
      <c r="F666" s="126"/>
      <c r="G666" s="126"/>
      <c r="H666" s="118"/>
      <c r="I666" s="119"/>
      <c r="J666" s="120"/>
      <c r="K666" s="121"/>
      <c r="L666" s="121"/>
      <c r="M666" s="121"/>
      <c r="N666" s="121"/>
      <c r="O666" s="121"/>
      <c r="P666" s="122"/>
      <c r="Q666" s="121"/>
    </row>
    <row r="667" spans="1:17" ht="12.75" customHeight="1" x14ac:dyDescent="0.2">
      <c r="A667" s="124"/>
      <c r="B667" s="126"/>
      <c r="C667" s="126"/>
      <c r="D667" s="1"/>
      <c r="E667" s="1"/>
      <c r="F667" s="126"/>
      <c r="G667" s="126"/>
      <c r="H667" s="118"/>
      <c r="I667" s="119"/>
      <c r="J667" s="120"/>
      <c r="K667" s="121"/>
      <c r="L667" s="121"/>
      <c r="M667" s="121"/>
      <c r="N667" s="121"/>
      <c r="O667" s="121"/>
      <c r="P667" s="122"/>
      <c r="Q667" s="121"/>
    </row>
    <row r="668" spans="1:17" ht="12.75" customHeight="1" x14ac:dyDescent="0.2">
      <c r="A668" s="124"/>
      <c r="B668" s="126"/>
      <c r="C668" s="126"/>
      <c r="D668" s="1"/>
      <c r="E668" s="1"/>
      <c r="F668" s="126"/>
      <c r="G668" s="126"/>
      <c r="H668" s="118"/>
      <c r="I668" s="119"/>
      <c r="J668" s="120"/>
      <c r="K668" s="121"/>
      <c r="L668" s="121"/>
      <c r="M668" s="121"/>
      <c r="N668" s="121"/>
      <c r="O668" s="121"/>
      <c r="P668" s="122"/>
      <c r="Q668" s="121"/>
    </row>
    <row r="669" spans="1:17" ht="12.75" customHeight="1" x14ac:dyDescent="0.2">
      <c r="A669" s="124"/>
      <c r="B669" s="126"/>
      <c r="C669" s="126"/>
      <c r="D669" s="1"/>
      <c r="E669" s="1"/>
      <c r="F669" s="126"/>
      <c r="G669" s="126"/>
      <c r="H669" s="118"/>
      <c r="I669" s="119"/>
      <c r="J669" s="120"/>
      <c r="K669" s="121"/>
      <c r="L669" s="121"/>
      <c r="M669" s="121"/>
      <c r="N669" s="121"/>
      <c r="O669" s="121"/>
      <c r="P669" s="122"/>
      <c r="Q669" s="121"/>
    </row>
    <row r="670" spans="1:17" ht="12.75" customHeight="1" x14ac:dyDescent="0.2">
      <c r="A670" s="124"/>
      <c r="B670" s="126"/>
      <c r="C670" s="126"/>
      <c r="D670" s="1"/>
      <c r="E670" s="1"/>
      <c r="F670" s="126"/>
      <c r="G670" s="126"/>
      <c r="H670" s="118"/>
      <c r="I670" s="119"/>
      <c r="J670" s="120"/>
      <c r="K670" s="121"/>
      <c r="L670" s="121"/>
      <c r="M670" s="121"/>
      <c r="N670" s="121"/>
      <c r="O670" s="121"/>
      <c r="P670" s="122"/>
      <c r="Q670" s="121"/>
    </row>
    <row r="671" spans="1:17" ht="12.75" customHeight="1" x14ac:dyDescent="0.2">
      <c r="A671" s="124"/>
      <c r="B671" s="126"/>
      <c r="C671" s="126"/>
      <c r="D671" s="1"/>
      <c r="E671" s="1"/>
      <c r="F671" s="126"/>
      <c r="G671" s="126"/>
      <c r="H671" s="118"/>
      <c r="I671" s="119"/>
      <c r="J671" s="120"/>
      <c r="K671" s="121"/>
      <c r="L671" s="121"/>
      <c r="M671" s="121"/>
      <c r="N671" s="121"/>
      <c r="O671" s="121"/>
      <c r="P671" s="122"/>
      <c r="Q671" s="121"/>
    </row>
    <row r="672" spans="1:17" ht="12.75" customHeight="1" x14ac:dyDescent="0.2">
      <c r="A672" s="124"/>
      <c r="B672" s="126"/>
      <c r="C672" s="126"/>
      <c r="D672" s="1"/>
      <c r="E672" s="1"/>
      <c r="F672" s="126"/>
      <c r="G672" s="126"/>
      <c r="H672" s="118"/>
      <c r="I672" s="119"/>
      <c r="J672" s="120"/>
      <c r="K672" s="121"/>
      <c r="L672" s="121"/>
      <c r="M672" s="121"/>
      <c r="N672" s="121"/>
      <c r="O672" s="121"/>
      <c r="P672" s="122"/>
      <c r="Q672" s="121"/>
    </row>
    <row r="673" spans="1:17" ht="12.75" customHeight="1" x14ac:dyDescent="0.2">
      <c r="A673" s="124"/>
      <c r="B673" s="126"/>
      <c r="C673" s="126"/>
      <c r="D673" s="1"/>
      <c r="E673" s="1"/>
      <c r="F673" s="126"/>
      <c r="G673" s="126"/>
      <c r="H673" s="118"/>
      <c r="I673" s="119"/>
      <c r="J673" s="120"/>
      <c r="K673" s="121"/>
      <c r="L673" s="121"/>
      <c r="M673" s="121"/>
      <c r="N673" s="121"/>
      <c r="O673" s="121"/>
      <c r="P673" s="122"/>
      <c r="Q673" s="121"/>
    </row>
    <row r="674" spans="1:17" ht="12.75" customHeight="1" x14ac:dyDescent="0.2">
      <c r="A674" s="124"/>
      <c r="B674" s="126"/>
      <c r="C674" s="126"/>
      <c r="D674" s="1"/>
      <c r="E674" s="1"/>
      <c r="F674" s="126"/>
      <c r="G674" s="126"/>
      <c r="H674" s="118"/>
      <c r="I674" s="119"/>
      <c r="J674" s="120"/>
      <c r="K674" s="121"/>
      <c r="L674" s="121"/>
      <c r="M674" s="121"/>
      <c r="N674" s="121"/>
      <c r="O674" s="121"/>
      <c r="P674" s="122"/>
      <c r="Q674" s="121"/>
    </row>
    <row r="675" spans="1:17" ht="12.75" customHeight="1" x14ac:dyDescent="0.2">
      <c r="A675" s="124"/>
      <c r="B675" s="126"/>
      <c r="C675" s="126"/>
      <c r="D675" s="1"/>
      <c r="E675" s="1"/>
      <c r="F675" s="126"/>
      <c r="G675" s="126"/>
      <c r="H675" s="118"/>
      <c r="I675" s="119"/>
      <c r="J675" s="120"/>
      <c r="K675" s="121"/>
      <c r="L675" s="121"/>
      <c r="M675" s="121"/>
      <c r="N675" s="121"/>
      <c r="O675" s="121"/>
      <c r="P675" s="122"/>
      <c r="Q675" s="121"/>
    </row>
    <row r="676" spans="1:17" ht="12.75" customHeight="1" x14ac:dyDescent="0.2">
      <c r="A676" s="124"/>
      <c r="B676" s="126"/>
      <c r="C676" s="126"/>
      <c r="D676" s="1"/>
      <c r="E676" s="1"/>
      <c r="F676" s="126"/>
      <c r="G676" s="126"/>
      <c r="H676" s="118"/>
      <c r="I676" s="119"/>
      <c r="J676" s="120"/>
      <c r="K676" s="121"/>
      <c r="L676" s="121"/>
      <c r="M676" s="121"/>
      <c r="N676" s="121"/>
      <c r="O676" s="121"/>
      <c r="P676" s="122"/>
      <c r="Q676" s="121"/>
    </row>
    <row r="677" spans="1:17" ht="12.75" customHeight="1" x14ac:dyDescent="0.2">
      <c r="A677" s="124"/>
      <c r="B677" s="126"/>
      <c r="C677" s="126"/>
      <c r="D677" s="1"/>
      <c r="E677" s="1"/>
      <c r="F677" s="126"/>
      <c r="G677" s="126"/>
      <c r="H677" s="118"/>
      <c r="I677" s="119"/>
      <c r="J677" s="120"/>
      <c r="K677" s="121"/>
      <c r="L677" s="121"/>
      <c r="M677" s="121"/>
      <c r="N677" s="121"/>
      <c r="O677" s="121"/>
      <c r="P677" s="122"/>
      <c r="Q677" s="121"/>
    </row>
    <row r="678" spans="1:17" ht="12.75" customHeight="1" x14ac:dyDescent="0.2">
      <c r="A678" s="124"/>
      <c r="B678" s="126"/>
      <c r="C678" s="126"/>
      <c r="D678" s="1"/>
      <c r="E678" s="1"/>
      <c r="F678" s="126"/>
      <c r="G678" s="126"/>
      <c r="H678" s="118"/>
      <c r="I678" s="119"/>
      <c r="J678" s="120"/>
      <c r="K678" s="121"/>
      <c r="L678" s="121"/>
      <c r="M678" s="121"/>
      <c r="N678" s="121"/>
      <c r="O678" s="121"/>
      <c r="P678" s="122"/>
      <c r="Q678" s="121"/>
    </row>
    <row r="679" spans="1:17" ht="12.75" customHeight="1" x14ac:dyDescent="0.2">
      <c r="A679" s="124"/>
      <c r="B679" s="126"/>
      <c r="C679" s="126"/>
      <c r="D679" s="1"/>
      <c r="E679" s="1"/>
      <c r="F679" s="126"/>
      <c r="G679" s="126"/>
      <c r="H679" s="118"/>
      <c r="I679" s="119"/>
      <c r="J679" s="120"/>
      <c r="K679" s="121"/>
      <c r="L679" s="121"/>
      <c r="M679" s="121"/>
      <c r="N679" s="121"/>
      <c r="O679" s="121"/>
      <c r="P679" s="122"/>
      <c r="Q679" s="121"/>
    </row>
    <row r="680" spans="1:17" ht="12.75" customHeight="1" x14ac:dyDescent="0.2">
      <c r="A680" s="124"/>
      <c r="B680" s="126"/>
      <c r="C680" s="126"/>
      <c r="D680" s="1"/>
      <c r="E680" s="1"/>
      <c r="F680" s="126"/>
      <c r="G680" s="126"/>
      <c r="H680" s="118"/>
      <c r="I680" s="119"/>
      <c r="J680" s="120"/>
      <c r="K680" s="121"/>
      <c r="L680" s="121"/>
      <c r="M680" s="121"/>
      <c r="N680" s="121"/>
      <c r="O680" s="121"/>
      <c r="P680" s="122"/>
      <c r="Q680" s="121"/>
    </row>
    <row r="681" spans="1:17" ht="12.75" customHeight="1" x14ac:dyDescent="0.2">
      <c r="A681" s="124"/>
      <c r="B681" s="126"/>
      <c r="C681" s="126"/>
      <c r="D681" s="1"/>
      <c r="E681" s="1"/>
      <c r="F681" s="126"/>
      <c r="G681" s="126"/>
      <c r="H681" s="118"/>
      <c r="I681" s="119"/>
      <c r="J681" s="120"/>
      <c r="K681" s="121"/>
      <c r="L681" s="121"/>
      <c r="M681" s="121"/>
      <c r="N681" s="121"/>
      <c r="O681" s="121"/>
      <c r="P681" s="122"/>
      <c r="Q681" s="121"/>
    </row>
    <row r="682" spans="1:17" ht="12.75" customHeight="1" x14ac:dyDescent="0.2">
      <c r="A682" s="124"/>
      <c r="B682" s="126"/>
      <c r="C682" s="126"/>
      <c r="D682" s="1"/>
      <c r="E682" s="1"/>
      <c r="F682" s="126"/>
      <c r="G682" s="126"/>
      <c r="H682" s="118"/>
      <c r="I682" s="119"/>
      <c r="J682" s="120"/>
      <c r="K682" s="121"/>
      <c r="L682" s="121"/>
      <c r="M682" s="121"/>
      <c r="N682" s="121"/>
      <c r="O682" s="121"/>
      <c r="P682" s="122"/>
      <c r="Q682" s="121"/>
    </row>
    <row r="683" spans="1:17" ht="12.75" customHeight="1" x14ac:dyDescent="0.2">
      <c r="A683" s="124"/>
      <c r="B683" s="126"/>
      <c r="C683" s="126"/>
      <c r="D683" s="1"/>
      <c r="E683" s="1"/>
      <c r="F683" s="126"/>
      <c r="G683" s="126"/>
      <c r="H683" s="118"/>
      <c r="I683" s="119"/>
      <c r="J683" s="120"/>
      <c r="K683" s="121"/>
      <c r="L683" s="121"/>
      <c r="M683" s="121"/>
      <c r="N683" s="121"/>
      <c r="O683" s="121"/>
      <c r="P683" s="122"/>
      <c r="Q683" s="121"/>
    </row>
    <row r="684" spans="1:17" ht="12.75" customHeight="1" x14ac:dyDescent="0.2">
      <c r="A684" s="124"/>
      <c r="B684" s="126"/>
      <c r="C684" s="126"/>
      <c r="D684" s="1"/>
      <c r="E684" s="1"/>
      <c r="F684" s="126"/>
      <c r="G684" s="126"/>
      <c r="H684" s="118"/>
      <c r="I684" s="119"/>
      <c r="J684" s="120"/>
      <c r="K684" s="121"/>
      <c r="L684" s="121"/>
      <c r="M684" s="121"/>
      <c r="N684" s="121"/>
      <c r="O684" s="121"/>
      <c r="P684" s="122"/>
      <c r="Q684" s="121"/>
    </row>
    <row r="685" spans="1:17" ht="12.75" customHeight="1" x14ac:dyDescent="0.2">
      <c r="A685" s="124"/>
      <c r="B685" s="126"/>
      <c r="C685" s="126"/>
      <c r="D685" s="1"/>
      <c r="E685" s="1"/>
      <c r="F685" s="126"/>
      <c r="G685" s="126"/>
      <c r="H685" s="118"/>
      <c r="I685" s="119"/>
      <c r="J685" s="120"/>
      <c r="K685" s="121"/>
      <c r="L685" s="121"/>
      <c r="M685" s="121"/>
      <c r="N685" s="121"/>
      <c r="O685" s="121"/>
      <c r="P685" s="122"/>
      <c r="Q685" s="121"/>
    </row>
    <row r="686" spans="1:17" ht="12.75" customHeight="1" x14ac:dyDescent="0.2">
      <c r="A686" s="124"/>
      <c r="B686" s="126"/>
      <c r="C686" s="126"/>
      <c r="D686" s="1"/>
      <c r="E686" s="1"/>
      <c r="F686" s="126"/>
      <c r="G686" s="126"/>
      <c r="H686" s="118"/>
      <c r="I686" s="119"/>
      <c r="J686" s="120"/>
      <c r="K686" s="121"/>
      <c r="L686" s="121"/>
      <c r="M686" s="121"/>
      <c r="N686" s="121"/>
      <c r="O686" s="121"/>
      <c r="P686" s="122"/>
      <c r="Q686" s="121"/>
    </row>
    <row r="687" spans="1:17" ht="12.75" customHeight="1" x14ac:dyDescent="0.2">
      <c r="A687" s="124"/>
      <c r="B687" s="126"/>
      <c r="C687" s="126"/>
      <c r="D687" s="1"/>
      <c r="E687" s="1"/>
      <c r="F687" s="126"/>
      <c r="G687" s="126"/>
      <c r="H687" s="118"/>
      <c r="I687" s="119"/>
      <c r="J687" s="120"/>
      <c r="K687" s="121"/>
      <c r="L687" s="121"/>
      <c r="M687" s="121"/>
      <c r="N687" s="121"/>
      <c r="O687" s="121"/>
      <c r="P687" s="122"/>
      <c r="Q687" s="121"/>
    </row>
    <row r="688" spans="1:17" ht="12.75" customHeight="1" x14ac:dyDescent="0.2">
      <c r="A688" s="124"/>
      <c r="B688" s="126"/>
      <c r="C688" s="126"/>
      <c r="D688" s="1"/>
      <c r="E688" s="1"/>
      <c r="F688" s="126"/>
      <c r="G688" s="126"/>
      <c r="H688" s="118"/>
      <c r="I688" s="119"/>
      <c r="J688" s="120"/>
      <c r="K688" s="121"/>
      <c r="L688" s="121"/>
      <c r="M688" s="121"/>
      <c r="N688" s="121"/>
      <c r="O688" s="121"/>
      <c r="P688" s="122"/>
      <c r="Q688" s="121"/>
    </row>
    <row r="689" spans="1:17" ht="12.75" customHeight="1" x14ac:dyDescent="0.2">
      <c r="A689" s="124"/>
      <c r="B689" s="126"/>
      <c r="C689" s="126"/>
      <c r="D689" s="1"/>
      <c r="E689" s="1"/>
      <c r="F689" s="126"/>
      <c r="G689" s="126"/>
      <c r="H689" s="118"/>
      <c r="I689" s="119"/>
      <c r="J689" s="120"/>
      <c r="K689" s="121"/>
      <c r="L689" s="121"/>
      <c r="M689" s="121"/>
      <c r="N689" s="121"/>
      <c r="O689" s="121"/>
      <c r="P689" s="122"/>
      <c r="Q689" s="121"/>
    </row>
    <row r="690" spans="1:17" ht="12.75" customHeight="1" x14ac:dyDescent="0.2">
      <c r="A690" s="124"/>
      <c r="B690" s="126"/>
      <c r="C690" s="126"/>
      <c r="D690" s="1"/>
      <c r="E690" s="1"/>
      <c r="F690" s="126"/>
      <c r="G690" s="126"/>
      <c r="H690" s="118"/>
      <c r="I690" s="119"/>
      <c r="J690" s="120"/>
      <c r="K690" s="121"/>
      <c r="L690" s="121"/>
      <c r="M690" s="121"/>
      <c r="N690" s="121"/>
      <c r="O690" s="121"/>
      <c r="P690" s="122"/>
      <c r="Q690" s="121"/>
    </row>
    <row r="691" spans="1:17" ht="12.75" customHeight="1" x14ac:dyDescent="0.2">
      <c r="A691" s="124"/>
      <c r="B691" s="126"/>
      <c r="C691" s="126"/>
      <c r="D691" s="1"/>
      <c r="E691" s="1"/>
      <c r="F691" s="126"/>
      <c r="G691" s="126"/>
      <c r="H691" s="118"/>
      <c r="I691" s="119"/>
      <c r="J691" s="120"/>
      <c r="K691" s="121"/>
      <c r="L691" s="121"/>
      <c r="M691" s="121"/>
      <c r="N691" s="121"/>
      <c r="O691" s="121"/>
      <c r="P691" s="122"/>
      <c r="Q691" s="121"/>
    </row>
    <row r="692" spans="1:17" ht="12.75" customHeight="1" x14ac:dyDescent="0.2">
      <c r="A692" s="124"/>
      <c r="B692" s="126"/>
      <c r="C692" s="126"/>
      <c r="D692" s="1"/>
      <c r="E692" s="1"/>
      <c r="F692" s="126"/>
      <c r="G692" s="126"/>
      <c r="H692" s="118"/>
      <c r="I692" s="119"/>
      <c r="J692" s="120"/>
      <c r="K692" s="121"/>
      <c r="L692" s="121"/>
      <c r="M692" s="121"/>
      <c r="N692" s="121"/>
      <c r="O692" s="121"/>
      <c r="P692" s="122"/>
      <c r="Q692" s="121"/>
    </row>
    <row r="693" spans="1:17" ht="12.75" customHeight="1" x14ac:dyDescent="0.2">
      <c r="A693" s="124"/>
      <c r="B693" s="126"/>
      <c r="C693" s="126"/>
      <c r="D693" s="1"/>
      <c r="E693" s="1"/>
      <c r="F693" s="126"/>
      <c r="G693" s="126"/>
      <c r="H693" s="118"/>
      <c r="I693" s="119"/>
      <c r="J693" s="120"/>
      <c r="K693" s="121"/>
      <c r="L693" s="121"/>
      <c r="M693" s="121"/>
      <c r="N693" s="121"/>
      <c r="O693" s="121"/>
      <c r="P693" s="122"/>
      <c r="Q693" s="121"/>
    </row>
    <row r="694" spans="1:17" ht="12.75" customHeight="1" x14ac:dyDescent="0.2">
      <c r="A694" s="124"/>
      <c r="B694" s="126"/>
      <c r="C694" s="126"/>
      <c r="D694" s="1"/>
      <c r="E694" s="1"/>
      <c r="F694" s="126"/>
      <c r="G694" s="126"/>
      <c r="H694" s="118"/>
      <c r="I694" s="119"/>
      <c r="J694" s="120"/>
      <c r="K694" s="121"/>
      <c r="L694" s="121"/>
      <c r="M694" s="121"/>
      <c r="N694" s="121"/>
      <c r="O694" s="121"/>
      <c r="P694" s="122"/>
      <c r="Q694" s="121"/>
    </row>
    <row r="695" spans="1:17" ht="12.75" customHeight="1" x14ac:dyDescent="0.2">
      <c r="A695" s="124"/>
      <c r="B695" s="126"/>
      <c r="C695" s="126"/>
      <c r="D695" s="1"/>
      <c r="E695" s="1"/>
      <c r="F695" s="126"/>
      <c r="G695" s="126"/>
      <c r="H695" s="118"/>
      <c r="I695" s="119"/>
      <c r="J695" s="120"/>
      <c r="K695" s="121"/>
      <c r="L695" s="121"/>
      <c r="M695" s="121"/>
      <c r="N695" s="121"/>
      <c r="O695" s="121"/>
      <c r="P695" s="122"/>
      <c r="Q695" s="121"/>
    </row>
    <row r="696" spans="1:17" ht="12.75" customHeight="1" x14ac:dyDescent="0.2">
      <c r="A696" s="124"/>
      <c r="B696" s="126"/>
      <c r="C696" s="126"/>
      <c r="D696" s="1"/>
      <c r="E696" s="1"/>
      <c r="F696" s="126"/>
      <c r="G696" s="126"/>
      <c r="H696" s="118"/>
      <c r="I696" s="119"/>
      <c r="J696" s="120"/>
      <c r="K696" s="121"/>
      <c r="L696" s="121"/>
      <c r="M696" s="121"/>
      <c r="N696" s="121"/>
      <c r="O696" s="121"/>
      <c r="P696" s="122"/>
      <c r="Q696" s="121"/>
    </row>
    <row r="697" spans="1:17" ht="12.75" customHeight="1" x14ac:dyDescent="0.2">
      <c r="A697" s="124"/>
      <c r="B697" s="126"/>
      <c r="C697" s="126"/>
      <c r="D697" s="1"/>
      <c r="E697" s="1"/>
      <c r="F697" s="126"/>
      <c r="G697" s="126"/>
      <c r="H697" s="118"/>
      <c r="I697" s="119"/>
      <c r="J697" s="120"/>
      <c r="K697" s="121"/>
      <c r="L697" s="121"/>
      <c r="M697" s="121"/>
      <c r="N697" s="121"/>
      <c r="O697" s="121"/>
      <c r="P697" s="122"/>
      <c r="Q697" s="121"/>
    </row>
    <row r="698" spans="1:17" ht="12.75" customHeight="1" x14ac:dyDescent="0.2">
      <c r="A698" s="124"/>
      <c r="B698" s="126"/>
      <c r="C698" s="126"/>
      <c r="D698" s="1"/>
      <c r="E698" s="1"/>
      <c r="F698" s="126"/>
      <c r="G698" s="126"/>
      <c r="H698" s="118"/>
      <c r="I698" s="119"/>
      <c r="J698" s="120"/>
      <c r="K698" s="121"/>
      <c r="L698" s="121"/>
      <c r="M698" s="121"/>
      <c r="N698" s="121"/>
      <c r="O698" s="121"/>
      <c r="P698" s="122"/>
      <c r="Q698" s="121"/>
    </row>
    <row r="699" spans="1:17" ht="12.75" customHeight="1" x14ac:dyDescent="0.2">
      <c r="A699" s="124"/>
      <c r="B699" s="126"/>
      <c r="C699" s="126"/>
      <c r="D699" s="1"/>
      <c r="E699" s="1"/>
      <c r="F699" s="126"/>
      <c r="G699" s="126"/>
      <c r="H699" s="118"/>
      <c r="I699" s="119"/>
      <c r="J699" s="120"/>
      <c r="K699" s="121"/>
      <c r="L699" s="121"/>
      <c r="M699" s="121"/>
      <c r="N699" s="121"/>
      <c r="O699" s="121"/>
      <c r="P699" s="122"/>
      <c r="Q699" s="121"/>
    </row>
    <row r="700" spans="1:17" ht="12.75" customHeight="1" x14ac:dyDescent="0.2">
      <c r="A700" s="124"/>
      <c r="B700" s="126"/>
      <c r="C700" s="126"/>
      <c r="D700" s="1"/>
      <c r="E700" s="1"/>
      <c r="F700" s="126"/>
      <c r="G700" s="126"/>
      <c r="H700" s="118"/>
      <c r="I700" s="119"/>
      <c r="J700" s="120"/>
      <c r="K700" s="121"/>
      <c r="L700" s="121"/>
      <c r="M700" s="121"/>
      <c r="N700" s="121"/>
      <c r="O700" s="121"/>
      <c r="P700" s="122"/>
      <c r="Q700" s="121"/>
    </row>
    <row r="701" spans="1:17" ht="12.75" customHeight="1" x14ac:dyDescent="0.2">
      <c r="A701" s="124"/>
      <c r="B701" s="126"/>
      <c r="C701" s="126"/>
      <c r="D701" s="1"/>
      <c r="E701" s="1"/>
      <c r="F701" s="126"/>
      <c r="G701" s="126"/>
      <c r="H701" s="118"/>
      <c r="I701" s="119"/>
      <c r="J701" s="120"/>
      <c r="K701" s="121"/>
      <c r="L701" s="121"/>
      <c r="M701" s="121"/>
      <c r="N701" s="121"/>
      <c r="O701" s="121"/>
      <c r="P701" s="122"/>
      <c r="Q701" s="121"/>
    </row>
    <row r="702" spans="1:17" ht="12.75" customHeight="1" x14ac:dyDescent="0.2">
      <c r="A702" s="124"/>
      <c r="B702" s="126"/>
      <c r="C702" s="126"/>
      <c r="D702" s="1"/>
      <c r="E702" s="1"/>
      <c r="F702" s="126"/>
      <c r="G702" s="126"/>
      <c r="H702" s="118"/>
      <c r="I702" s="119"/>
      <c r="J702" s="120"/>
      <c r="K702" s="121"/>
      <c r="L702" s="121"/>
      <c r="M702" s="121"/>
      <c r="N702" s="121"/>
      <c r="O702" s="121"/>
      <c r="P702" s="122"/>
      <c r="Q702" s="121"/>
    </row>
    <row r="703" spans="1:17" ht="12.75" customHeight="1" x14ac:dyDescent="0.2">
      <c r="A703" s="124"/>
      <c r="B703" s="126"/>
      <c r="C703" s="126"/>
      <c r="D703" s="1"/>
      <c r="E703" s="1"/>
      <c r="F703" s="126"/>
      <c r="G703" s="126"/>
      <c r="H703" s="118"/>
      <c r="I703" s="119"/>
      <c r="J703" s="120"/>
      <c r="K703" s="121"/>
      <c r="L703" s="121"/>
      <c r="M703" s="121"/>
      <c r="N703" s="121"/>
      <c r="O703" s="121"/>
      <c r="P703" s="122"/>
      <c r="Q703" s="121"/>
    </row>
    <row r="704" spans="1:17" ht="12.75" customHeight="1" x14ac:dyDescent="0.2">
      <c r="A704" s="124"/>
      <c r="B704" s="126"/>
      <c r="C704" s="126"/>
      <c r="D704" s="1"/>
      <c r="E704" s="1"/>
      <c r="F704" s="126"/>
      <c r="G704" s="126"/>
      <c r="H704" s="118"/>
      <c r="I704" s="119"/>
      <c r="J704" s="120"/>
      <c r="K704" s="121"/>
      <c r="L704" s="121"/>
      <c r="M704" s="121"/>
      <c r="N704" s="121"/>
      <c r="O704" s="121"/>
      <c r="P704" s="122"/>
      <c r="Q704" s="121"/>
    </row>
    <row r="705" spans="1:17" ht="12.75" customHeight="1" x14ac:dyDescent="0.2">
      <c r="A705" s="124"/>
      <c r="B705" s="126"/>
      <c r="C705" s="126"/>
      <c r="D705" s="1"/>
      <c r="E705" s="1"/>
      <c r="F705" s="126"/>
      <c r="G705" s="126"/>
      <c r="H705" s="118"/>
      <c r="I705" s="119"/>
      <c r="J705" s="120"/>
      <c r="K705" s="121"/>
      <c r="L705" s="121"/>
      <c r="M705" s="121"/>
      <c r="N705" s="121"/>
      <c r="O705" s="121"/>
      <c r="P705" s="122"/>
      <c r="Q705" s="121"/>
    </row>
    <row r="706" spans="1:17" ht="12.75" customHeight="1" x14ac:dyDescent="0.2">
      <c r="A706" s="124"/>
      <c r="B706" s="126"/>
      <c r="C706" s="126"/>
      <c r="D706" s="1"/>
      <c r="E706" s="1"/>
      <c r="F706" s="126"/>
      <c r="G706" s="126"/>
      <c r="H706" s="118"/>
      <c r="I706" s="119"/>
      <c r="J706" s="120"/>
      <c r="K706" s="121"/>
      <c r="L706" s="121"/>
      <c r="M706" s="121"/>
      <c r="N706" s="121"/>
      <c r="O706" s="121"/>
      <c r="P706" s="122"/>
      <c r="Q706" s="121"/>
    </row>
    <row r="707" spans="1:17" ht="12.75" customHeight="1" x14ac:dyDescent="0.2">
      <c r="A707" s="124"/>
      <c r="B707" s="126"/>
      <c r="C707" s="126"/>
      <c r="D707" s="1"/>
      <c r="E707" s="1"/>
      <c r="F707" s="126"/>
      <c r="G707" s="126"/>
      <c r="H707" s="118"/>
      <c r="I707" s="119"/>
      <c r="J707" s="120"/>
      <c r="K707" s="121"/>
      <c r="L707" s="121"/>
      <c r="M707" s="121"/>
      <c r="N707" s="121"/>
      <c r="O707" s="121"/>
      <c r="P707" s="122"/>
      <c r="Q707" s="121"/>
    </row>
    <row r="708" spans="1:17" ht="12.75" customHeight="1" x14ac:dyDescent="0.2">
      <c r="A708" s="124"/>
      <c r="B708" s="126"/>
      <c r="C708" s="126"/>
      <c r="D708" s="1"/>
      <c r="E708" s="1"/>
      <c r="F708" s="126"/>
      <c r="G708" s="126"/>
      <c r="H708" s="118"/>
      <c r="I708" s="119"/>
      <c r="J708" s="120"/>
      <c r="K708" s="121"/>
      <c r="L708" s="121"/>
      <c r="M708" s="121"/>
      <c r="N708" s="121"/>
      <c r="O708" s="121"/>
      <c r="P708" s="122"/>
      <c r="Q708" s="121"/>
    </row>
    <row r="709" spans="1:17" ht="12.75" customHeight="1" x14ac:dyDescent="0.2">
      <c r="A709" s="124"/>
      <c r="B709" s="126"/>
      <c r="C709" s="126"/>
      <c r="D709" s="1"/>
      <c r="E709" s="1"/>
      <c r="F709" s="126"/>
      <c r="G709" s="126"/>
      <c r="H709" s="118"/>
      <c r="I709" s="119"/>
      <c r="J709" s="120"/>
      <c r="K709" s="121"/>
      <c r="L709" s="121"/>
      <c r="M709" s="121"/>
      <c r="N709" s="121"/>
      <c r="O709" s="121"/>
      <c r="P709" s="122"/>
      <c r="Q709" s="121"/>
    </row>
    <row r="710" spans="1:17" ht="12.75" customHeight="1" x14ac:dyDescent="0.2">
      <c r="A710" s="124"/>
      <c r="B710" s="126"/>
      <c r="C710" s="126"/>
      <c r="D710" s="1"/>
      <c r="E710" s="1"/>
      <c r="F710" s="126"/>
      <c r="G710" s="126"/>
      <c r="H710" s="118"/>
      <c r="I710" s="119"/>
      <c r="J710" s="120"/>
      <c r="K710" s="121"/>
      <c r="L710" s="121"/>
      <c r="M710" s="121"/>
      <c r="N710" s="121"/>
      <c r="O710" s="121"/>
      <c r="P710" s="122"/>
      <c r="Q710" s="121"/>
    </row>
    <row r="711" spans="1:17" ht="12.75" customHeight="1" x14ac:dyDescent="0.2">
      <c r="A711" s="124"/>
      <c r="B711" s="126"/>
      <c r="C711" s="126"/>
      <c r="D711" s="1"/>
      <c r="E711" s="1"/>
      <c r="F711" s="126"/>
      <c r="G711" s="126"/>
      <c r="H711" s="118"/>
      <c r="I711" s="119"/>
      <c r="J711" s="120"/>
      <c r="K711" s="121"/>
      <c r="L711" s="121"/>
      <c r="M711" s="121"/>
      <c r="N711" s="121"/>
      <c r="O711" s="121"/>
      <c r="P711" s="122"/>
      <c r="Q711" s="121"/>
    </row>
    <row r="712" spans="1:17" ht="12.75" customHeight="1" x14ac:dyDescent="0.2">
      <c r="A712" s="124"/>
      <c r="B712" s="126"/>
      <c r="C712" s="126"/>
      <c r="D712" s="1"/>
      <c r="E712" s="1"/>
      <c r="F712" s="126"/>
      <c r="G712" s="126"/>
      <c r="H712" s="118"/>
      <c r="I712" s="119"/>
      <c r="J712" s="120"/>
      <c r="K712" s="121"/>
      <c r="L712" s="121"/>
      <c r="M712" s="121"/>
      <c r="N712" s="121"/>
      <c r="O712" s="121"/>
      <c r="P712" s="122"/>
      <c r="Q712" s="121"/>
    </row>
    <row r="713" spans="1:17" ht="12.75" customHeight="1" x14ac:dyDescent="0.2">
      <c r="A713" s="124"/>
      <c r="B713" s="126"/>
      <c r="C713" s="126"/>
      <c r="D713" s="1"/>
      <c r="E713" s="1"/>
      <c r="F713" s="126"/>
      <c r="G713" s="126"/>
      <c r="H713" s="118"/>
      <c r="I713" s="119"/>
      <c r="J713" s="120"/>
      <c r="K713" s="121"/>
      <c r="L713" s="121"/>
      <c r="M713" s="121"/>
      <c r="N713" s="121"/>
      <c r="O713" s="121"/>
      <c r="P713" s="122"/>
      <c r="Q713" s="121"/>
    </row>
    <row r="714" spans="1:17" ht="12.75" customHeight="1" x14ac:dyDescent="0.2">
      <c r="A714" s="124"/>
      <c r="B714" s="126"/>
      <c r="C714" s="126"/>
      <c r="D714" s="1"/>
      <c r="E714" s="1"/>
      <c r="F714" s="126"/>
      <c r="G714" s="126"/>
      <c r="H714" s="118"/>
      <c r="I714" s="119"/>
      <c r="J714" s="120"/>
      <c r="K714" s="121"/>
      <c r="L714" s="121"/>
      <c r="M714" s="121"/>
      <c r="N714" s="121"/>
      <c r="O714" s="121"/>
      <c r="P714" s="122"/>
      <c r="Q714" s="121"/>
    </row>
    <row r="715" spans="1:17" ht="12.75" customHeight="1" x14ac:dyDescent="0.2">
      <c r="A715" s="124"/>
      <c r="B715" s="126"/>
      <c r="C715" s="126"/>
      <c r="D715" s="1"/>
      <c r="E715" s="1"/>
      <c r="F715" s="126"/>
      <c r="G715" s="126"/>
      <c r="H715" s="118"/>
      <c r="I715" s="119"/>
      <c r="J715" s="120"/>
      <c r="K715" s="121"/>
      <c r="L715" s="121"/>
      <c r="M715" s="121"/>
      <c r="N715" s="121"/>
      <c r="O715" s="121"/>
      <c r="P715" s="122"/>
      <c r="Q715" s="121"/>
    </row>
    <row r="716" spans="1:17" ht="12.75" customHeight="1" x14ac:dyDescent="0.2">
      <c r="A716" s="124"/>
      <c r="B716" s="126"/>
      <c r="C716" s="126"/>
      <c r="D716" s="1"/>
      <c r="E716" s="1"/>
      <c r="F716" s="126"/>
      <c r="G716" s="126"/>
      <c r="H716" s="118"/>
      <c r="I716" s="119"/>
      <c r="J716" s="120"/>
      <c r="K716" s="121"/>
      <c r="L716" s="121"/>
      <c r="M716" s="121"/>
      <c r="N716" s="121"/>
      <c r="O716" s="121"/>
      <c r="P716" s="122"/>
      <c r="Q716" s="121"/>
    </row>
    <row r="717" spans="1:17" ht="12.75" customHeight="1" x14ac:dyDescent="0.2">
      <c r="A717" s="124"/>
      <c r="B717" s="126"/>
      <c r="C717" s="126"/>
      <c r="D717" s="1"/>
      <c r="E717" s="1"/>
      <c r="F717" s="126"/>
      <c r="G717" s="126"/>
      <c r="H717" s="118"/>
      <c r="I717" s="119"/>
      <c r="J717" s="120"/>
      <c r="K717" s="121"/>
      <c r="L717" s="121"/>
      <c r="M717" s="121"/>
      <c r="N717" s="121"/>
      <c r="O717" s="121"/>
      <c r="P717" s="122"/>
      <c r="Q717" s="121"/>
    </row>
    <row r="718" spans="1:17" ht="12.75" customHeight="1" x14ac:dyDescent="0.2">
      <c r="A718" s="124"/>
      <c r="B718" s="126"/>
      <c r="C718" s="126"/>
      <c r="D718" s="1"/>
      <c r="E718" s="1"/>
      <c r="F718" s="126"/>
      <c r="G718" s="126"/>
      <c r="H718" s="118"/>
      <c r="I718" s="119"/>
      <c r="J718" s="120"/>
      <c r="K718" s="121"/>
      <c r="L718" s="121"/>
      <c r="M718" s="121"/>
      <c r="N718" s="121"/>
      <c r="O718" s="121"/>
      <c r="P718" s="122"/>
      <c r="Q718" s="121"/>
    </row>
    <row r="719" spans="1:17" ht="12.75" customHeight="1" x14ac:dyDescent="0.2">
      <c r="A719" s="124"/>
      <c r="B719" s="126"/>
      <c r="C719" s="126"/>
      <c r="D719" s="1"/>
      <c r="E719" s="1"/>
      <c r="F719" s="126"/>
      <c r="G719" s="126"/>
      <c r="H719" s="118"/>
      <c r="I719" s="119"/>
      <c r="J719" s="120"/>
      <c r="K719" s="121"/>
      <c r="L719" s="121"/>
      <c r="M719" s="121"/>
      <c r="N719" s="121"/>
      <c r="O719" s="121"/>
      <c r="P719" s="122"/>
      <c r="Q719" s="121"/>
    </row>
    <row r="720" spans="1:17" ht="12.75" customHeight="1" x14ac:dyDescent="0.2">
      <c r="A720" s="124"/>
      <c r="B720" s="126"/>
      <c r="C720" s="126"/>
      <c r="D720" s="1"/>
      <c r="E720" s="1"/>
      <c r="F720" s="126"/>
      <c r="G720" s="126"/>
      <c r="H720" s="118"/>
      <c r="I720" s="119"/>
      <c r="J720" s="120"/>
      <c r="K720" s="121"/>
      <c r="L720" s="121"/>
      <c r="M720" s="121"/>
      <c r="N720" s="121"/>
      <c r="O720" s="121"/>
      <c r="P720" s="122"/>
      <c r="Q720" s="121"/>
    </row>
    <row r="721" spans="1:17" ht="12.75" customHeight="1" x14ac:dyDescent="0.2">
      <c r="A721" s="124"/>
      <c r="B721" s="126"/>
      <c r="C721" s="126"/>
      <c r="D721" s="1"/>
      <c r="E721" s="1"/>
      <c r="F721" s="126"/>
      <c r="G721" s="126"/>
      <c r="H721" s="118"/>
      <c r="I721" s="119"/>
      <c r="J721" s="120"/>
      <c r="K721" s="121"/>
      <c r="L721" s="121"/>
      <c r="M721" s="121"/>
      <c r="N721" s="121"/>
      <c r="O721" s="121"/>
      <c r="P721" s="122"/>
      <c r="Q721" s="121"/>
    </row>
    <row r="722" spans="1:17" ht="12.75" customHeight="1" x14ac:dyDescent="0.2">
      <c r="A722" s="124"/>
      <c r="B722" s="126"/>
      <c r="C722" s="126"/>
      <c r="D722" s="1"/>
      <c r="E722" s="1"/>
      <c r="F722" s="126"/>
      <c r="G722" s="126"/>
      <c r="H722" s="118"/>
      <c r="I722" s="119"/>
      <c r="J722" s="120"/>
      <c r="K722" s="121"/>
      <c r="L722" s="121"/>
      <c r="M722" s="121"/>
      <c r="N722" s="121"/>
      <c r="O722" s="121"/>
      <c r="P722" s="122"/>
      <c r="Q722" s="121"/>
    </row>
    <row r="723" spans="1:17" ht="12.75" customHeight="1" x14ac:dyDescent="0.2">
      <c r="A723" s="124"/>
      <c r="B723" s="126"/>
      <c r="C723" s="126"/>
      <c r="D723" s="1"/>
      <c r="E723" s="1"/>
      <c r="F723" s="126"/>
      <c r="G723" s="126"/>
      <c r="H723" s="118"/>
      <c r="I723" s="119"/>
      <c r="J723" s="120"/>
      <c r="K723" s="121"/>
      <c r="L723" s="121"/>
      <c r="M723" s="121"/>
      <c r="N723" s="121"/>
      <c r="O723" s="121"/>
      <c r="P723" s="122"/>
      <c r="Q723" s="121"/>
    </row>
    <row r="724" spans="1:17" ht="12.75" customHeight="1" x14ac:dyDescent="0.2">
      <c r="A724" s="124"/>
      <c r="B724" s="126"/>
      <c r="C724" s="126"/>
      <c r="D724" s="1"/>
      <c r="E724" s="1"/>
      <c r="F724" s="126"/>
      <c r="G724" s="126"/>
      <c r="H724" s="118"/>
      <c r="I724" s="119"/>
      <c r="J724" s="120"/>
      <c r="K724" s="121"/>
      <c r="L724" s="121"/>
      <c r="M724" s="121"/>
      <c r="N724" s="121"/>
      <c r="O724" s="121"/>
      <c r="P724" s="122"/>
      <c r="Q724" s="121"/>
    </row>
    <row r="725" spans="1:17" ht="12.75" customHeight="1" x14ac:dyDescent="0.2">
      <c r="A725" s="124"/>
      <c r="B725" s="126"/>
      <c r="C725" s="126"/>
      <c r="D725" s="1"/>
      <c r="E725" s="1"/>
      <c r="F725" s="126"/>
      <c r="G725" s="126"/>
      <c r="H725" s="118"/>
      <c r="I725" s="119"/>
      <c r="J725" s="120"/>
      <c r="K725" s="121"/>
      <c r="L725" s="121"/>
      <c r="M725" s="121"/>
      <c r="N725" s="121"/>
      <c r="O725" s="121"/>
      <c r="P725" s="122"/>
      <c r="Q725" s="121"/>
    </row>
    <row r="726" spans="1:17" ht="12.75" customHeight="1" x14ac:dyDescent="0.2">
      <c r="A726" s="124"/>
      <c r="B726" s="126"/>
      <c r="C726" s="126"/>
      <c r="D726" s="1"/>
      <c r="E726" s="1"/>
      <c r="F726" s="126"/>
      <c r="G726" s="126"/>
      <c r="H726" s="118"/>
      <c r="I726" s="119"/>
      <c r="J726" s="120"/>
      <c r="K726" s="121"/>
      <c r="L726" s="121"/>
      <c r="M726" s="121"/>
      <c r="N726" s="121"/>
      <c r="O726" s="121"/>
      <c r="P726" s="122"/>
      <c r="Q726" s="121"/>
    </row>
    <row r="727" spans="1:17" ht="12.75" customHeight="1" x14ac:dyDescent="0.2">
      <c r="A727" s="124"/>
      <c r="B727" s="126"/>
      <c r="C727" s="126"/>
      <c r="D727" s="1"/>
      <c r="E727" s="1"/>
      <c r="F727" s="126"/>
      <c r="G727" s="126"/>
      <c r="H727" s="118"/>
      <c r="I727" s="119"/>
      <c r="J727" s="120"/>
      <c r="K727" s="121"/>
      <c r="L727" s="121"/>
      <c r="M727" s="121"/>
      <c r="N727" s="121"/>
      <c r="O727" s="121"/>
      <c r="P727" s="122"/>
      <c r="Q727" s="121"/>
    </row>
    <row r="728" spans="1:17" ht="12.75" customHeight="1" x14ac:dyDescent="0.2">
      <c r="A728" s="124"/>
      <c r="B728" s="126"/>
      <c r="C728" s="126"/>
      <c r="D728" s="1"/>
      <c r="E728" s="1"/>
      <c r="F728" s="126"/>
      <c r="G728" s="126"/>
      <c r="H728" s="118"/>
      <c r="I728" s="119"/>
      <c r="J728" s="120"/>
      <c r="K728" s="121"/>
      <c r="L728" s="121"/>
      <c r="M728" s="121"/>
      <c r="N728" s="121"/>
      <c r="O728" s="121"/>
      <c r="P728" s="122"/>
      <c r="Q728" s="121"/>
    </row>
    <row r="729" spans="1:17" ht="12.75" customHeight="1" x14ac:dyDescent="0.2">
      <c r="A729" s="124"/>
      <c r="B729" s="126"/>
      <c r="C729" s="126"/>
      <c r="D729" s="1"/>
      <c r="E729" s="1"/>
      <c r="F729" s="126"/>
      <c r="G729" s="126"/>
      <c r="H729" s="118"/>
      <c r="I729" s="119"/>
      <c r="J729" s="120"/>
      <c r="K729" s="121"/>
      <c r="L729" s="121"/>
      <c r="M729" s="121"/>
      <c r="N729" s="121"/>
      <c r="O729" s="121"/>
      <c r="P729" s="122"/>
      <c r="Q729" s="121"/>
    </row>
    <row r="730" spans="1:17" ht="12.75" customHeight="1" x14ac:dyDescent="0.2">
      <c r="A730" s="124"/>
      <c r="B730" s="126"/>
      <c r="C730" s="126"/>
      <c r="D730" s="1"/>
      <c r="E730" s="1"/>
      <c r="F730" s="126"/>
      <c r="G730" s="126"/>
      <c r="H730" s="118"/>
      <c r="I730" s="119"/>
      <c r="J730" s="120"/>
      <c r="K730" s="121"/>
      <c r="L730" s="121"/>
      <c r="M730" s="121"/>
      <c r="N730" s="121"/>
      <c r="O730" s="121"/>
      <c r="P730" s="122"/>
      <c r="Q730" s="121"/>
    </row>
    <row r="731" spans="1:17" ht="12.75" customHeight="1" x14ac:dyDescent="0.2">
      <c r="A731" s="124"/>
      <c r="B731" s="126"/>
      <c r="C731" s="126"/>
      <c r="D731" s="1"/>
      <c r="E731" s="1"/>
      <c r="F731" s="126"/>
      <c r="G731" s="126"/>
      <c r="H731" s="118"/>
      <c r="I731" s="119"/>
      <c r="J731" s="120"/>
      <c r="K731" s="121"/>
      <c r="L731" s="121"/>
      <c r="M731" s="121"/>
      <c r="N731" s="121"/>
      <c r="O731" s="121"/>
      <c r="P731" s="122"/>
      <c r="Q731" s="121"/>
    </row>
    <row r="732" spans="1:17" ht="12.75" customHeight="1" x14ac:dyDescent="0.2">
      <c r="A732" s="124"/>
      <c r="B732" s="126"/>
      <c r="C732" s="126"/>
      <c r="D732" s="1"/>
      <c r="E732" s="1"/>
      <c r="F732" s="126"/>
      <c r="G732" s="126"/>
      <c r="H732" s="118"/>
      <c r="I732" s="119"/>
      <c r="J732" s="120"/>
      <c r="K732" s="121"/>
      <c r="L732" s="121"/>
      <c r="M732" s="121"/>
      <c r="N732" s="121"/>
      <c r="O732" s="121"/>
      <c r="P732" s="122"/>
      <c r="Q732" s="121"/>
    </row>
    <row r="733" spans="1:17" ht="12.75" customHeight="1" x14ac:dyDescent="0.2">
      <c r="A733" s="124"/>
      <c r="B733" s="126"/>
      <c r="C733" s="126"/>
      <c r="D733" s="1"/>
      <c r="E733" s="1"/>
      <c r="F733" s="126"/>
      <c r="G733" s="126"/>
      <c r="H733" s="118"/>
      <c r="I733" s="119"/>
      <c r="J733" s="120"/>
      <c r="K733" s="121"/>
      <c r="L733" s="121"/>
      <c r="M733" s="121"/>
      <c r="N733" s="121"/>
      <c r="O733" s="121"/>
      <c r="P733" s="122"/>
      <c r="Q733" s="121"/>
    </row>
    <row r="734" spans="1:17" ht="12.75" customHeight="1" x14ac:dyDescent="0.2">
      <c r="A734" s="124"/>
      <c r="B734" s="126"/>
      <c r="C734" s="126"/>
      <c r="D734" s="1"/>
      <c r="E734" s="1"/>
      <c r="F734" s="126"/>
      <c r="G734" s="126"/>
      <c r="H734" s="118"/>
      <c r="I734" s="119"/>
      <c r="J734" s="120"/>
      <c r="K734" s="121"/>
      <c r="L734" s="121"/>
      <c r="M734" s="121"/>
      <c r="N734" s="121"/>
      <c r="O734" s="121"/>
      <c r="P734" s="122"/>
      <c r="Q734" s="121"/>
    </row>
    <row r="735" spans="1:17" ht="12.75" customHeight="1" x14ac:dyDescent="0.2">
      <c r="A735" s="124"/>
      <c r="B735" s="126"/>
      <c r="C735" s="126"/>
      <c r="D735" s="1"/>
      <c r="E735" s="1"/>
      <c r="F735" s="126"/>
      <c r="G735" s="126"/>
      <c r="H735" s="118"/>
      <c r="I735" s="119"/>
      <c r="J735" s="120"/>
      <c r="K735" s="121"/>
      <c r="L735" s="121"/>
      <c r="M735" s="121"/>
      <c r="N735" s="121"/>
      <c r="O735" s="121"/>
      <c r="P735" s="122"/>
      <c r="Q735" s="121"/>
    </row>
    <row r="736" spans="1:17" ht="12.75" customHeight="1" x14ac:dyDescent="0.2">
      <c r="A736" s="124"/>
      <c r="B736" s="126"/>
      <c r="C736" s="126"/>
      <c r="D736" s="1"/>
      <c r="E736" s="1"/>
      <c r="F736" s="126"/>
      <c r="G736" s="126"/>
      <c r="H736" s="118"/>
      <c r="I736" s="119"/>
      <c r="J736" s="120"/>
      <c r="K736" s="121"/>
      <c r="L736" s="121"/>
      <c r="M736" s="121"/>
      <c r="N736" s="121"/>
      <c r="O736" s="121"/>
      <c r="P736" s="122"/>
      <c r="Q736" s="121"/>
    </row>
    <row r="737" spans="1:17" ht="12.75" customHeight="1" x14ac:dyDescent="0.2">
      <c r="A737" s="124"/>
      <c r="B737" s="126"/>
      <c r="C737" s="126"/>
      <c r="D737" s="1"/>
      <c r="E737" s="1"/>
      <c r="F737" s="126"/>
      <c r="G737" s="126"/>
      <c r="H737" s="118"/>
      <c r="I737" s="119"/>
      <c r="J737" s="120"/>
      <c r="K737" s="121"/>
      <c r="L737" s="121"/>
      <c r="M737" s="121"/>
      <c r="N737" s="121"/>
      <c r="O737" s="121"/>
      <c r="P737" s="122"/>
      <c r="Q737" s="121"/>
    </row>
    <row r="738" spans="1:17" ht="12.75" customHeight="1" x14ac:dyDescent="0.2">
      <c r="A738" s="124"/>
      <c r="B738" s="126"/>
      <c r="C738" s="126"/>
      <c r="D738" s="1"/>
      <c r="E738" s="1"/>
      <c r="F738" s="126"/>
      <c r="G738" s="126"/>
      <c r="H738" s="118"/>
      <c r="I738" s="119"/>
      <c r="J738" s="120"/>
      <c r="K738" s="121"/>
      <c r="L738" s="121"/>
      <c r="M738" s="121"/>
      <c r="N738" s="121"/>
      <c r="O738" s="121"/>
      <c r="P738" s="122"/>
      <c r="Q738" s="121"/>
    </row>
    <row r="739" spans="1:17" ht="12.75" customHeight="1" x14ac:dyDescent="0.2">
      <c r="A739" s="124"/>
      <c r="B739" s="126"/>
      <c r="C739" s="126"/>
      <c r="D739" s="1"/>
      <c r="E739" s="1"/>
      <c r="F739" s="126"/>
      <c r="G739" s="126"/>
      <c r="H739" s="118"/>
      <c r="I739" s="119"/>
      <c r="J739" s="120"/>
      <c r="K739" s="121"/>
      <c r="L739" s="121"/>
      <c r="M739" s="121"/>
      <c r="N739" s="121"/>
      <c r="O739" s="121"/>
      <c r="P739" s="122"/>
      <c r="Q739" s="121"/>
    </row>
    <row r="740" spans="1:17" ht="12.75" customHeight="1" x14ac:dyDescent="0.2">
      <c r="A740" s="124"/>
      <c r="B740" s="126"/>
      <c r="C740" s="126"/>
      <c r="D740" s="1"/>
      <c r="E740" s="1"/>
      <c r="F740" s="126"/>
      <c r="G740" s="126"/>
      <c r="H740" s="118"/>
      <c r="I740" s="119"/>
      <c r="J740" s="120"/>
      <c r="K740" s="121"/>
      <c r="L740" s="121"/>
      <c r="M740" s="121"/>
      <c r="N740" s="121"/>
      <c r="O740" s="121"/>
      <c r="P740" s="122"/>
      <c r="Q740" s="121"/>
    </row>
    <row r="741" spans="1:17" ht="12.75" customHeight="1" x14ac:dyDescent="0.2">
      <c r="A741" s="124"/>
      <c r="B741" s="126"/>
      <c r="C741" s="126"/>
      <c r="D741" s="1"/>
      <c r="E741" s="1"/>
      <c r="F741" s="126"/>
      <c r="G741" s="126"/>
      <c r="H741" s="118"/>
      <c r="I741" s="119"/>
      <c r="J741" s="120"/>
      <c r="K741" s="121"/>
      <c r="L741" s="121"/>
      <c r="M741" s="121"/>
      <c r="N741" s="121"/>
      <c r="O741" s="121"/>
      <c r="P741" s="122"/>
      <c r="Q741" s="121"/>
    </row>
    <row r="742" spans="1:17" ht="12.75" customHeight="1" x14ac:dyDescent="0.2">
      <c r="A742" s="124"/>
      <c r="B742" s="126"/>
      <c r="C742" s="126"/>
      <c r="D742" s="1"/>
      <c r="E742" s="1"/>
      <c r="F742" s="126"/>
      <c r="G742" s="126"/>
      <c r="H742" s="118"/>
      <c r="I742" s="119"/>
      <c r="J742" s="120"/>
      <c r="K742" s="121"/>
      <c r="L742" s="121"/>
      <c r="M742" s="121"/>
      <c r="N742" s="121"/>
      <c r="O742" s="121"/>
      <c r="P742" s="122"/>
      <c r="Q742" s="121"/>
    </row>
    <row r="743" spans="1:17" ht="12.75" customHeight="1" x14ac:dyDescent="0.2">
      <c r="A743" s="124"/>
      <c r="B743" s="126"/>
      <c r="C743" s="126"/>
      <c r="D743" s="1"/>
      <c r="E743" s="1"/>
      <c r="F743" s="126"/>
      <c r="G743" s="126"/>
      <c r="H743" s="118"/>
      <c r="I743" s="119"/>
      <c r="J743" s="120"/>
      <c r="K743" s="121"/>
      <c r="L743" s="121"/>
      <c r="M743" s="121"/>
      <c r="N743" s="121"/>
      <c r="O743" s="121"/>
      <c r="P743" s="122"/>
      <c r="Q743" s="121"/>
    </row>
    <row r="744" spans="1:17" ht="12.75" customHeight="1" x14ac:dyDescent="0.2">
      <c r="A744" s="124"/>
      <c r="B744" s="126"/>
      <c r="C744" s="126"/>
      <c r="D744" s="1"/>
      <c r="E744" s="1"/>
      <c r="F744" s="126"/>
      <c r="G744" s="126"/>
      <c r="H744" s="118"/>
      <c r="I744" s="119"/>
      <c r="J744" s="120"/>
      <c r="K744" s="121"/>
      <c r="L744" s="121"/>
      <c r="M744" s="121"/>
      <c r="N744" s="121"/>
      <c r="O744" s="121"/>
      <c r="P744" s="122"/>
      <c r="Q744" s="121"/>
    </row>
    <row r="745" spans="1:17" ht="12.75" customHeight="1" x14ac:dyDescent="0.2">
      <c r="A745" s="124"/>
      <c r="B745" s="126"/>
      <c r="C745" s="126"/>
      <c r="D745" s="1"/>
      <c r="E745" s="1"/>
      <c r="F745" s="126"/>
      <c r="G745" s="126"/>
      <c r="H745" s="118"/>
      <c r="I745" s="119"/>
      <c r="J745" s="120"/>
      <c r="K745" s="121"/>
      <c r="L745" s="121"/>
      <c r="M745" s="121"/>
      <c r="N745" s="121"/>
      <c r="O745" s="121"/>
      <c r="P745" s="122"/>
      <c r="Q745" s="121"/>
    </row>
    <row r="746" spans="1:17" ht="12.75" customHeight="1" x14ac:dyDescent="0.2">
      <c r="A746" s="124"/>
      <c r="B746" s="126"/>
      <c r="C746" s="126"/>
      <c r="D746" s="1"/>
      <c r="E746" s="1"/>
      <c r="F746" s="126"/>
      <c r="G746" s="126"/>
      <c r="H746" s="118"/>
      <c r="I746" s="119"/>
      <c r="J746" s="120"/>
      <c r="K746" s="121"/>
      <c r="L746" s="121"/>
      <c r="M746" s="121"/>
      <c r="N746" s="121"/>
      <c r="O746" s="121"/>
      <c r="P746" s="122"/>
      <c r="Q746" s="121"/>
    </row>
    <row r="747" spans="1:17" ht="12.75" customHeight="1" x14ac:dyDescent="0.2">
      <c r="A747" s="124"/>
      <c r="B747" s="126"/>
      <c r="C747" s="126"/>
      <c r="D747" s="1"/>
      <c r="E747" s="1"/>
      <c r="F747" s="126"/>
      <c r="G747" s="126"/>
      <c r="H747" s="118"/>
      <c r="I747" s="119"/>
      <c r="J747" s="120"/>
      <c r="K747" s="121"/>
      <c r="L747" s="121"/>
      <c r="M747" s="121"/>
      <c r="N747" s="121"/>
      <c r="O747" s="121"/>
      <c r="P747" s="122"/>
      <c r="Q747" s="121"/>
    </row>
    <row r="748" spans="1:17" ht="12.75" customHeight="1" x14ac:dyDescent="0.2">
      <c r="A748" s="124"/>
      <c r="B748" s="126"/>
      <c r="C748" s="126"/>
      <c r="D748" s="1"/>
      <c r="E748" s="1"/>
      <c r="F748" s="126"/>
      <c r="G748" s="126"/>
      <c r="H748" s="118"/>
      <c r="I748" s="119"/>
      <c r="J748" s="120"/>
      <c r="K748" s="121"/>
      <c r="L748" s="121"/>
      <c r="M748" s="121"/>
      <c r="N748" s="121"/>
      <c r="O748" s="121"/>
      <c r="P748" s="122"/>
      <c r="Q748" s="121"/>
    </row>
    <row r="749" spans="1:17" ht="12.75" customHeight="1" x14ac:dyDescent="0.2">
      <c r="A749" s="124"/>
      <c r="B749" s="126"/>
      <c r="C749" s="126"/>
      <c r="D749" s="1"/>
      <c r="E749" s="1"/>
      <c r="F749" s="126"/>
      <c r="G749" s="126"/>
      <c r="H749" s="118"/>
      <c r="I749" s="119"/>
      <c r="J749" s="120"/>
      <c r="K749" s="121"/>
      <c r="L749" s="121"/>
      <c r="M749" s="121"/>
      <c r="N749" s="121"/>
      <c r="O749" s="121"/>
      <c r="P749" s="122"/>
      <c r="Q749" s="121"/>
    </row>
    <row r="750" spans="1:17" ht="12.75" customHeight="1" x14ac:dyDescent="0.2">
      <c r="A750" s="124"/>
      <c r="B750" s="126"/>
      <c r="C750" s="126"/>
      <c r="D750" s="1"/>
      <c r="E750" s="1"/>
      <c r="F750" s="126"/>
      <c r="G750" s="126"/>
      <c r="H750" s="118"/>
      <c r="I750" s="119"/>
      <c r="J750" s="120"/>
      <c r="K750" s="121"/>
      <c r="L750" s="121"/>
      <c r="M750" s="121"/>
      <c r="N750" s="121"/>
      <c r="O750" s="121"/>
      <c r="P750" s="122"/>
      <c r="Q750" s="121"/>
    </row>
    <row r="751" spans="1:17" ht="12.75" customHeight="1" x14ac:dyDescent="0.2">
      <c r="A751" s="124"/>
      <c r="B751" s="126"/>
      <c r="C751" s="126"/>
      <c r="D751" s="1"/>
      <c r="E751" s="1"/>
      <c r="F751" s="126"/>
      <c r="G751" s="126"/>
      <c r="H751" s="118"/>
      <c r="I751" s="119"/>
      <c r="J751" s="120"/>
      <c r="K751" s="121"/>
      <c r="L751" s="121"/>
      <c r="M751" s="121"/>
      <c r="N751" s="121"/>
      <c r="O751" s="121"/>
      <c r="P751" s="122"/>
      <c r="Q751" s="121"/>
    </row>
    <row r="752" spans="1:17" ht="12.75" customHeight="1" x14ac:dyDescent="0.2">
      <c r="A752" s="124"/>
      <c r="B752" s="126"/>
      <c r="C752" s="126"/>
      <c r="D752" s="1"/>
      <c r="E752" s="1"/>
      <c r="F752" s="126"/>
      <c r="G752" s="126"/>
      <c r="H752" s="118"/>
      <c r="I752" s="119"/>
      <c r="J752" s="120"/>
      <c r="K752" s="121"/>
      <c r="L752" s="121"/>
      <c r="M752" s="121"/>
      <c r="N752" s="121"/>
      <c r="O752" s="121"/>
      <c r="P752" s="122"/>
      <c r="Q752" s="121"/>
    </row>
    <row r="753" spans="1:17" ht="12.75" customHeight="1" x14ac:dyDescent="0.2">
      <c r="A753" s="124"/>
      <c r="B753" s="126"/>
      <c r="C753" s="126"/>
      <c r="D753" s="1"/>
      <c r="E753" s="1"/>
      <c r="F753" s="126"/>
      <c r="G753" s="126"/>
      <c r="H753" s="118"/>
      <c r="I753" s="119"/>
      <c r="J753" s="120"/>
      <c r="K753" s="121"/>
      <c r="L753" s="121"/>
      <c r="M753" s="121"/>
      <c r="N753" s="121"/>
      <c r="O753" s="121"/>
      <c r="P753" s="122"/>
      <c r="Q753" s="121"/>
    </row>
    <row r="754" spans="1:17" ht="12.75" customHeight="1" x14ac:dyDescent="0.2">
      <c r="A754" s="124"/>
      <c r="B754" s="126"/>
      <c r="C754" s="126"/>
      <c r="D754" s="1"/>
      <c r="E754" s="1"/>
      <c r="F754" s="126"/>
      <c r="G754" s="126"/>
      <c r="H754" s="118"/>
      <c r="I754" s="119"/>
      <c r="J754" s="120"/>
      <c r="K754" s="121"/>
      <c r="L754" s="121"/>
      <c r="M754" s="121"/>
      <c r="N754" s="121"/>
      <c r="O754" s="121"/>
      <c r="P754" s="122"/>
      <c r="Q754" s="121"/>
    </row>
    <row r="755" spans="1:17" ht="12.75" customHeight="1" x14ac:dyDescent="0.2">
      <c r="A755" s="124"/>
      <c r="B755" s="126"/>
      <c r="C755" s="126"/>
      <c r="D755" s="1"/>
      <c r="E755" s="1"/>
      <c r="F755" s="126"/>
      <c r="G755" s="126"/>
      <c r="H755" s="118"/>
      <c r="I755" s="119"/>
      <c r="J755" s="120"/>
      <c r="K755" s="121"/>
      <c r="L755" s="121"/>
      <c r="M755" s="121"/>
      <c r="N755" s="121"/>
      <c r="O755" s="121"/>
      <c r="P755" s="122"/>
      <c r="Q755" s="121"/>
    </row>
    <row r="756" spans="1:17" ht="12.75" customHeight="1" x14ac:dyDescent="0.2">
      <c r="A756" s="124"/>
      <c r="B756" s="126"/>
      <c r="C756" s="126"/>
      <c r="D756" s="1"/>
      <c r="E756" s="1"/>
      <c r="F756" s="126"/>
      <c r="G756" s="126"/>
      <c r="H756" s="118"/>
      <c r="I756" s="119"/>
      <c r="J756" s="120"/>
      <c r="K756" s="121"/>
      <c r="L756" s="121"/>
      <c r="M756" s="121"/>
      <c r="N756" s="121"/>
      <c r="O756" s="121"/>
      <c r="P756" s="122"/>
      <c r="Q756" s="121"/>
    </row>
    <row r="757" spans="1:17" ht="12.75" customHeight="1" x14ac:dyDescent="0.2">
      <c r="A757" s="124"/>
      <c r="B757" s="126"/>
      <c r="C757" s="126"/>
      <c r="D757" s="1"/>
      <c r="E757" s="1"/>
      <c r="F757" s="126"/>
      <c r="G757" s="126"/>
      <c r="H757" s="118"/>
      <c r="I757" s="119"/>
      <c r="J757" s="120"/>
      <c r="K757" s="121"/>
      <c r="L757" s="121"/>
      <c r="M757" s="121"/>
      <c r="N757" s="121"/>
      <c r="O757" s="121"/>
      <c r="P757" s="122"/>
      <c r="Q757" s="121"/>
    </row>
    <row r="758" spans="1:17" ht="12.75" customHeight="1" x14ac:dyDescent="0.2">
      <c r="A758" s="124"/>
      <c r="B758" s="126"/>
      <c r="C758" s="126"/>
      <c r="D758" s="1"/>
      <c r="E758" s="1"/>
      <c r="F758" s="126"/>
      <c r="G758" s="126"/>
      <c r="H758" s="118"/>
      <c r="I758" s="119"/>
      <c r="J758" s="120"/>
      <c r="K758" s="121"/>
      <c r="L758" s="121"/>
      <c r="M758" s="121"/>
      <c r="N758" s="121"/>
      <c r="O758" s="121"/>
      <c r="P758" s="122"/>
      <c r="Q758" s="121"/>
    </row>
    <row r="759" spans="1:17" ht="12.75" customHeight="1" x14ac:dyDescent="0.2">
      <c r="A759" s="124"/>
      <c r="B759" s="126"/>
      <c r="C759" s="126"/>
      <c r="D759" s="1"/>
      <c r="E759" s="1"/>
      <c r="F759" s="126"/>
      <c r="G759" s="126"/>
      <c r="H759" s="118"/>
      <c r="I759" s="119"/>
      <c r="J759" s="120"/>
      <c r="K759" s="121"/>
      <c r="L759" s="121"/>
      <c r="M759" s="121"/>
      <c r="N759" s="121"/>
      <c r="O759" s="121"/>
      <c r="P759" s="122"/>
      <c r="Q759" s="121"/>
    </row>
    <row r="760" spans="1:17" ht="12.75" customHeight="1" x14ac:dyDescent="0.2">
      <c r="A760" s="124"/>
      <c r="B760" s="126"/>
      <c r="C760" s="126"/>
      <c r="D760" s="1"/>
      <c r="E760" s="1"/>
      <c r="F760" s="126"/>
      <c r="G760" s="126"/>
      <c r="H760" s="118"/>
      <c r="I760" s="119"/>
      <c r="J760" s="120"/>
      <c r="K760" s="121"/>
      <c r="L760" s="121"/>
      <c r="M760" s="121"/>
      <c r="N760" s="121"/>
      <c r="O760" s="121"/>
      <c r="P760" s="122"/>
      <c r="Q760" s="121"/>
    </row>
    <row r="761" spans="1:17" ht="12.75" customHeight="1" x14ac:dyDescent="0.2">
      <c r="A761" s="124"/>
      <c r="B761" s="126"/>
      <c r="C761" s="126"/>
      <c r="D761" s="1"/>
      <c r="E761" s="1"/>
      <c r="F761" s="126"/>
      <c r="G761" s="126"/>
      <c r="H761" s="118"/>
      <c r="I761" s="119"/>
      <c r="J761" s="120"/>
      <c r="K761" s="121"/>
      <c r="L761" s="121"/>
      <c r="M761" s="121"/>
      <c r="N761" s="121"/>
      <c r="O761" s="121"/>
      <c r="P761" s="122"/>
      <c r="Q761" s="121"/>
    </row>
    <row r="762" spans="1:17" ht="12.75" customHeight="1" x14ac:dyDescent="0.2">
      <c r="A762" s="124"/>
      <c r="B762" s="126"/>
      <c r="C762" s="126"/>
      <c r="D762" s="1"/>
      <c r="E762" s="1"/>
      <c r="F762" s="126"/>
      <c r="G762" s="126"/>
      <c r="H762" s="118"/>
      <c r="I762" s="119"/>
      <c r="J762" s="120"/>
      <c r="K762" s="121"/>
      <c r="L762" s="121"/>
      <c r="M762" s="121"/>
      <c r="N762" s="121"/>
      <c r="O762" s="121"/>
      <c r="P762" s="122"/>
      <c r="Q762" s="121"/>
    </row>
    <row r="763" spans="1:17" ht="12.75" customHeight="1" x14ac:dyDescent="0.2">
      <c r="A763" s="124"/>
      <c r="B763" s="126"/>
      <c r="C763" s="126"/>
      <c r="D763" s="1"/>
      <c r="E763" s="1"/>
      <c r="F763" s="126"/>
      <c r="G763" s="126"/>
      <c r="H763" s="118"/>
      <c r="I763" s="119"/>
      <c r="J763" s="120"/>
      <c r="K763" s="121"/>
      <c r="L763" s="121"/>
      <c r="M763" s="121"/>
      <c r="N763" s="121"/>
      <c r="O763" s="121"/>
      <c r="P763" s="122"/>
      <c r="Q763" s="121"/>
    </row>
    <row r="764" spans="1:17" ht="12.75" customHeight="1" x14ac:dyDescent="0.2">
      <c r="A764" s="124"/>
      <c r="B764" s="126"/>
      <c r="C764" s="126"/>
      <c r="D764" s="1"/>
      <c r="E764" s="1"/>
      <c r="F764" s="126"/>
      <c r="G764" s="126"/>
      <c r="H764" s="118"/>
      <c r="I764" s="119"/>
      <c r="J764" s="120"/>
      <c r="K764" s="121"/>
      <c r="L764" s="121"/>
      <c r="M764" s="121"/>
      <c r="N764" s="121"/>
      <c r="O764" s="121"/>
      <c r="P764" s="122"/>
      <c r="Q764" s="121"/>
    </row>
    <row r="765" spans="1:17" ht="12.75" customHeight="1" x14ac:dyDescent="0.2">
      <c r="A765" s="124"/>
      <c r="B765" s="126"/>
      <c r="C765" s="126"/>
      <c r="D765" s="1"/>
      <c r="E765" s="1"/>
      <c r="F765" s="126"/>
      <c r="G765" s="126"/>
      <c r="H765" s="118"/>
      <c r="I765" s="119"/>
      <c r="J765" s="120"/>
      <c r="K765" s="121"/>
      <c r="L765" s="121"/>
      <c r="M765" s="121"/>
      <c r="N765" s="121"/>
      <c r="O765" s="121"/>
      <c r="P765" s="122"/>
      <c r="Q765" s="121"/>
    </row>
    <row r="766" spans="1:17" ht="12.75" customHeight="1" x14ac:dyDescent="0.2">
      <c r="A766" s="124"/>
      <c r="B766" s="126"/>
      <c r="C766" s="126"/>
      <c r="D766" s="1"/>
      <c r="E766" s="1"/>
      <c r="F766" s="126"/>
      <c r="G766" s="126"/>
      <c r="H766" s="118"/>
      <c r="I766" s="119"/>
      <c r="J766" s="120"/>
      <c r="K766" s="121"/>
      <c r="L766" s="121"/>
      <c r="M766" s="121"/>
      <c r="N766" s="121"/>
      <c r="O766" s="121"/>
      <c r="P766" s="122"/>
      <c r="Q766" s="121"/>
    </row>
    <row r="767" spans="1:17" ht="12.75" customHeight="1" x14ac:dyDescent="0.2">
      <c r="A767" s="124"/>
      <c r="B767" s="126"/>
      <c r="C767" s="126"/>
      <c r="D767" s="1"/>
      <c r="E767" s="1"/>
      <c r="F767" s="126"/>
      <c r="G767" s="126"/>
      <c r="H767" s="118"/>
      <c r="I767" s="119"/>
      <c r="J767" s="120"/>
      <c r="K767" s="121"/>
      <c r="L767" s="121"/>
      <c r="M767" s="121"/>
      <c r="N767" s="121"/>
      <c r="O767" s="121"/>
      <c r="P767" s="122"/>
      <c r="Q767" s="121"/>
    </row>
    <row r="768" spans="1:17" ht="12.75" customHeight="1" x14ac:dyDescent="0.2">
      <c r="A768" s="124"/>
      <c r="B768" s="126"/>
      <c r="C768" s="126"/>
      <c r="D768" s="1"/>
      <c r="E768" s="1"/>
      <c r="F768" s="126"/>
      <c r="G768" s="126"/>
      <c r="H768" s="118"/>
      <c r="I768" s="119"/>
      <c r="J768" s="120"/>
      <c r="K768" s="121"/>
      <c r="L768" s="121"/>
      <c r="M768" s="121"/>
      <c r="N768" s="121"/>
      <c r="O768" s="121"/>
      <c r="P768" s="122"/>
      <c r="Q768" s="121"/>
    </row>
    <row r="769" spans="1:17" ht="12.75" customHeight="1" x14ac:dyDescent="0.2">
      <c r="A769" s="124"/>
      <c r="B769" s="126"/>
      <c r="C769" s="126"/>
      <c r="D769" s="1"/>
      <c r="E769" s="1"/>
      <c r="F769" s="126"/>
      <c r="G769" s="126"/>
      <c r="H769" s="118"/>
      <c r="I769" s="119"/>
      <c r="J769" s="120"/>
      <c r="K769" s="121"/>
      <c r="L769" s="121"/>
      <c r="M769" s="121"/>
      <c r="N769" s="121"/>
      <c r="O769" s="121"/>
      <c r="P769" s="122"/>
      <c r="Q769" s="121"/>
    </row>
    <row r="770" spans="1:17" ht="12.75" customHeight="1" x14ac:dyDescent="0.2">
      <c r="A770" s="124"/>
      <c r="B770" s="126"/>
      <c r="C770" s="126"/>
      <c r="D770" s="1"/>
      <c r="E770" s="1"/>
      <c r="F770" s="126"/>
      <c r="G770" s="126"/>
      <c r="H770" s="118"/>
      <c r="I770" s="119"/>
      <c r="J770" s="120"/>
      <c r="K770" s="121"/>
      <c r="L770" s="121"/>
      <c r="M770" s="121"/>
      <c r="N770" s="121"/>
      <c r="O770" s="121"/>
      <c r="P770" s="122"/>
      <c r="Q770" s="121"/>
    </row>
    <row r="771" spans="1:17" ht="12.75" customHeight="1" x14ac:dyDescent="0.2">
      <c r="A771" s="124"/>
      <c r="B771" s="126"/>
      <c r="C771" s="126"/>
      <c r="D771" s="1"/>
      <c r="E771" s="1"/>
      <c r="F771" s="126"/>
      <c r="G771" s="126"/>
      <c r="H771" s="118"/>
      <c r="I771" s="119"/>
      <c r="J771" s="120"/>
      <c r="K771" s="121"/>
      <c r="L771" s="121"/>
      <c r="M771" s="121"/>
      <c r="N771" s="121"/>
      <c r="O771" s="121"/>
      <c r="P771" s="122"/>
      <c r="Q771" s="121"/>
    </row>
    <row r="772" spans="1:17" ht="12.75" customHeight="1" x14ac:dyDescent="0.2">
      <c r="A772" s="124"/>
      <c r="B772" s="126"/>
      <c r="C772" s="126"/>
      <c r="D772" s="1"/>
      <c r="E772" s="1"/>
      <c r="F772" s="126"/>
      <c r="G772" s="126"/>
      <c r="H772" s="118"/>
      <c r="I772" s="119"/>
      <c r="J772" s="120"/>
      <c r="K772" s="121"/>
      <c r="L772" s="121"/>
      <c r="M772" s="121"/>
      <c r="N772" s="121"/>
      <c r="O772" s="121"/>
      <c r="P772" s="122"/>
      <c r="Q772" s="121"/>
    </row>
    <row r="773" spans="1:17" ht="12.75" customHeight="1" x14ac:dyDescent="0.2">
      <c r="A773" s="124"/>
      <c r="B773" s="126"/>
      <c r="C773" s="126"/>
      <c r="D773" s="1"/>
      <c r="E773" s="1"/>
      <c r="F773" s="126"/>
      <c r="G773" s="126"/>
      <c r="H773" s="118"/>
      <c r="I773" s="119"/>
      <c r="J773" s="120"/>
      <c r="K773" s="121"/>
      <c r="L773" s="121"/>
      <c r="M773" s="121"/>
      <c r="N773" s="121"/>
      <c r="O773" s="121"/>
      <c r="P773" s="122"/>
      <c r="Q773" s="121"/>
    </row>
    <row r="774" spans="1:17" ht="12.75" customHeight="1" x14ac:dyDescent="0.2">
      <c r="A774" s="124"/>
      <c r="B774" s="126"/>
      <c r="C774" s="126"/>
      <c r="D774" s="1"/>
      <c r="E774" s="1"/>
      <c r="F774" s="126"/>
      <c r="G774" s="126"/>
      <c r="H774" s="118"/>
      <c r="I774" s="119"/>
      <c r="J774" s="120"/>
      <c r="K774" s="121"/>
      <c r="L774" s="121"/>
      <c r="M774" s="121"/>
      <c r="N774" s="121"/>
      <c r="O774" s="121"/>
      <c r="P774" s="122"/>
      <c r="Q774" s="121"/>
    </row>
    <row r="775" spans="1:17" ht="12.75" customHeight="1" x14ac:dyDescent="0.2">
      <c r="A775" s="124"/>
      <c r="B775" s="126"/>
      <c r="C775" s="126"/>
      <c r="D775" s="1"/>
      <c r="E775" s="1"/>
      <c r="F775" s="126"/>
      <c r="G775" s="126"/>
      <c r="H775" s="118"/>
      <c r="I775" s="119"/>
      <c r="J775" s="120"/>
      <c r="K775" s="121"/>
      <c r="L775" s="121"/>
      <c r="M775" s="121"/>
      <c r="N775" s="121"/>
      <c r="O775" s="121"/>
      <c r="P775" s="122"/>
      <c r="Q775" s="121"/>
    </row>
    <row r="776" spans="1:17" ht="12.75" customHeight="1" x14ac:dyDescent="0.2">
      <c r="A776" s="124"/>
      <c r="B776" s="126"/>
      <c r="C776" s="126"/>
      <c r="D776" s="1"/>
      <c r="E776" s="1"/>
      <c r="F776" s="126"/>
      <c r="G776" s="126"/>
      <c r="H776" s="118"/>
      <c r="I776" s="119"/>
      <c r="J776" s="120"/>
      <c r="K776" s="121"/>
      <c r="L776" s="121"/>
      <c r="M776" s="121"/>
      <c r="N776" s="121"/>
      <c r="O776" s="121"/>
      <c r="P776" s="122"/>
      <c r="Q776" s="121"/>
    </row>
    <row r="777" spans="1:17" ht="12.75" customHeight="1" x14ac:dyDescent="0.2">
      <c r="A777" s="124"/>
      <c r="B777" s="126"/>
      <c r="C777" s="126"/>
      <c r="D777" s="1"/>
      <c r="E777" s="1"/>
      <c r="F777" s="126"/>
      <c r="G777" s="126"/>
      <c r="H777" s="118"/>
      <c r="I777" s="119"/>
      <c r="J777" s="120"/>
      <c r="K777" s="121"/>
      <c r="L777" s="121"/>
      <c r="M777" s="121"/>
      <c r="N777" s="121"/>
      <c r="O777" s="121"/>
      <c r="P777" s="122"/>
      <c r="Q777" s="121"/>
    </row>
    <row r="778" spans="1:17" ht="12.75" customHeight="1" x14ac:dyDescent="0.2">
      <c r="A778" s="124"/>
      <c r="B778" s="126"/>
      <c r="C778" s="126"/>
      <c r="D778" s="1"/>
      <c r="E778" s="1"/>
      <c r="F778" s="126"/>
      <c r="G778" s="126"/>
      <c r="H778" s="118"/>
      <c r="I778" s="119"/>
      <c r="J778" s="120"/>
      <c r="K778" s="121"/>
      <c r="L778" s="121"/>
      <c r="M778" s="121"/>
      <c r="N778" s="121"/>
      <c r="O778" s="121"/>
      <c r="P778" s="122"/>
      <c r="Q778" s="121"/>
    </row>
    <row r="779" spans="1:17" ht="12.75" customHeight="1" x14ac:dyDescent="0.2">
      <c r="A779" s="124"/>
      <c r="B779" s="126"/>
      <c r="C779" s="126"/>
      <c r="D779" s="1"/>
      <c r="E779" s="1"/>
      <c r="F779" s="126"/>
      <c r="G779" s="126"/>
      <c r="H779" s="118"/>
      <c r="I779" s="119"/>
      <c r="J779" s="120"/>
      <c r="K779" s="121"/>
      <c r="L779" s="121"/>
      <c r="M779" s="121"/>
      <c r="N779" s="121"/>
      <c r="O779" s="121"/>
      <c r="P779" s="122"/>
      <c r="Q779" s="121"/>
    </row>
    <row r="780" spans="1:17" ht="12.75" customHeight="1" x14ac:dyDescent="0.2">
      <c r="A780" s="124"/>
      <c r="B780" s="126"/>
      <c r="C780" s="126"/>
      <c r="D780" s="1"/>
      <c r="E780" s="1"/>
      <c r="F780" s="126"/>
      <c r="G780" s="126"/>
      <c r="H780" s="118"/>
      <c r="I780" s="119"/>
      <c r="J780" s="120"/>
      <c r="K780" s="121"/>
      <c r="L780" s="121"/>
      <c r="M780" s="121"/>
      <c r="N780" s="121"/>
      <c r="O780" s="121"/>
      <c r="P780" s="122"/>
      <c r="Q780" s="121"/>
    </row>
    <row r="781" spans="1:17" ht="12.75" customHeight="1" x14ac:dyDescent="0.2">
      <c r="A781" s="124"/>
      <c r="B781" s="126"/>
      <c r="C781" s="126"/>
      <c r="D781" s="1"/>
      <c r="E781" s="1"/>
      <c r="F781" s="126"/>
      <c r="G781" s="126"/>
      <c r="H781" s="118"/>
      <c r="I781" s="119"/>
      <c r="J781" s="120"/>
      <c r="K781" s="121"/>
      <c r="L781" s="121"/>
      <c r="M781" s="121"/>
      <c r="N781" s="121"/>
      <c r="O781" s="121"/>
      <c r="P781" s="122"/>
      <c r="Q781" s="121"/>
    </row>
    <row r="782" spans="1:17" ht="12.75" customHeight="1" x14ac:dyDescent="0.2">
      <c r="A782" s="124"/>
      <c r="B782" s="126"/>
      <c r="C782" s="126"/>
      <c r="D782" s="1"/>
      <c r="E782" s="1"/>
      <c r="F782" s="126"/>
      <c r="G782" s="126"/>
      <c r="H782" s="118"/>
      <c r="I782" s="119"/>
      <c r="J782" s="120"/>
      <c r="K782" s="121"/>
      <c r="L782" s="121"/>
      <c r="M782" s="121"/>
      <c r="N782" s="121"/>
      <c r="O782" s="121"/>
      <c r="P782" s="122"/>
      <c r="Q782" s="121"/>
    </row>
    <row r="783" spans="1:17" ht="12.75" customHeight="1" x14ac:dyDescent="0.2">
      <c r="A783" s="124"/>
      <c r="B783" s="126"/>
      <c r="C783" s="126"/>
      <c r="D783" s="1"/>
      <c r="E783" s="1"/>
      <c r="F783" s="126"/>
      <c r="G783" s="126"/>
      <c r="H783" s="118"/>
      <c r="I783" s="119"/>
      <c r="J783" s="120"/>
      <c r="K783" s="121"/>
      <c r="L783" s="121"/>
      <c r="M783" s="121"/>
      <c r="N783" s="121"/>
      <c r="O783" s="121"/>
      <c r="P783" s="122"/>
      <c r="Q783" s="121"/>
    </row>
    <row r="784" spans="1:17" ht="12.75" customHeight="1" x14ac:dyDescent="0.2">
      <c r="A784" s="124"/>
      <c r="B784" s="126"/>
      <c r="C784" s="126"/>
      <c r="D784" s="1"/>
      <c r="E784" s="1"/>
      <c r="F784" s="126"/>
      <c r="G784" s="126"/>
      <c r="H784" s="118"/>
      <c r="I784" s="119"/>
      <c r="J784" s="120"/>
      <c r="K784" s="121"/>
      <c r="L784" s="121"/>
      <c r="M784" s="121"/>
      <c r="N784" s="121"/>
      <c r="O784" s="121"/>
      <c r="P784" s="122"/>
      <c r="Q784" s="121"/>
    </row>
    <row r="785" spans="1:17" ht="12.75" customHeight="1" x14ac:dyDescent="0.2">
      <c r="A785" s="124"/>
      <c r="B785" s="126"/>
      <c r="C785" s="126"/>
      <c r="D785" s="1"/>
      <c r="E785" s="1"/>
      <c r="F785" s="126"/>
      <c r="G785" s="126"/>
      <c r="H785" s="118"/>
      <c r="I785" s="119"/>
      <c r="J785" s="120"/>
      <c r="K785" s="121"/>
      <c r="L785" s="121"/>
      <c r="M785" s="121"/>
      <c r="N785" s="121"/>
      <c r="O785" s="121"/>
      <c r="P785" s="122"/>
      <c r="Q785" s="121"/>
    </row>
    <row r="786" spans="1:17" ht="12.75" customHeight="1" x14ac:dyDescent="0.2">
      <c r="A786" s="124"/>
      <c r="B786" s="126"/>
      <c r="C786" s="126"/>
      <c r="D786" s="1"/>
      <c r="E786" s="1"/>
      <c r="F786" s="126"/>
      <c r="G786" s="126"/>
      <c r="H786" s="118"/>
      <c r="I786" s="119"/>
      <c r="J786" s="120"/>
      <c r="K786" s="121"/>
      <c r="L786" s="121"/>
      <c r="M786" s="121"/>
      <c r="N786" s="121"/>
      <c r="O786" s="121"/>
      <c r="P786" s="122"/>
      <c r="Q786" s="121"/>
    </row>
    <row r="787" spans="1:17" ht="12.75" customHeight="1" x14ac:dyDescent="0.2">
      <c r="A787" s="124"/>
      <c r="B787" s="126"/>
      <c r="C787" s="126"/>
      <c r="D787" s="1"/>
      <c r="E787" s="1"/>
      <c r="F787" s="126"/>
      <c r="G787" s="126"/>
      <c r="H787" s="118"/>
      <c r="I787" s="119"/>
      <c r="J787" s="120"/>
      <c r="K787" s="121"/>
      <c r="L787" s="121"/>
      <c r="M787" s="121"/>
      <c r="N787" s="121"/>
      <c r="O787" s="121"/>
      <c r="P787" s="122"/>
      <c r="Q787" s="121"/>
    </row>
    <row r="788" spans="1:17" ht="12.75" customHeight="1" x14ac:dyDescent="0.2">
      <c r="A788" s="124"/>
      <c r="B788" s="126"/>
      <c r="C788" s="126"/>
      <c r="D788" s="1"/>
      <c r="E788" s="1"/>
      <c r="F788" s="126"/>
      <c r="G788" s="126"/>
      <c r="H788" s="118"/>
      <c r="I788" s="119"/>
      <c r="J788" s="120"/>
      <c r="K788" s="121"/>
      <c r="L788" s="121"/>
      <c r="M788" s="121"/>
      <c r="N788" s="121"/>
      <c r="O788" s="121"/>
      <c r="P788" s="122"/>
      <c r="Q788" s="121"/>
    </row>
    <row r="789" spans="1:17" ht="12.75" customHeight="1" x14ac:dyDescent="0.2">
      <c r="A789" s="124"/>
      <c r="B789" s="126"/>
      <c r="C789" s="126"/>
      <c r="D789" s="1"/>
      <c r="E789" s="1"/>
      <c r="F789" s="126"/>
      <c r="G789" s="126"/>
      <c r="H789" s="118"/>
      <c r="I789" s="119"/>
      <c r="J789" s="120"/>
      <c r="K789" s="121"/>
      <c r="L789" s="121"/>
      <c r="M789" s="121"/>
      <c r="N789" s="121"/>
      <c r="O789" s="121"/>
      <c r="P789" s="122"/>
      <c r="Q789" s="121"/>
    </row>
    <row r="790" spans="1:17" ht="12.75" customHeight="1" x14ac:dyDescent="0.2">
      <c r="A790" s="124"/>
      <c r="B790" s="126"/>
      <c r="C790" s="126"/>
      <c r="D790" s="1"/>
      <c r="E790" s="1"/>
      <c r="F790" s="126"/>
      <c r="G790" s="126"/>
      <c r="H790" s="118"/>
      <c r="I790" s="119"/>
      <c r="J790" s="120"/>
      <c r="K790" s="121"/>
      <c r="L790" s="121"/>
      <c r="M790" s="121"/>
      <c r="N790" s="121"/>
      <c r="O790" s="121"/>
      <c r="P790" s="122"/>
      <c r="Q790" s="121"/>
    </row>
    <row r="791" spans="1:17" ht="12.75" customHeight="1" x14ac:dyDescent="0.2">
      <c r="A791" s="124"/>
      <c r="B791" s="126"/>
      <c r="C791" s="126"/>
      <c r="D791" s="1"/>
      <c r="E791" s="1"/>
      <c r="F791" s="126"/>
      <c r="G791" s="126"/>
      <c r="H791" s="118"/>
      <c r="I791" s="119"/>
      <c r="J791" s="120"/>
      <c r="K791" s="121"/>
      <c r="L791" s="121"/>
      <c r="M791" s="121"/>
      <c r="N791" s="121"/>
      <c r="O791" s="121"/>
      <c r="P791" s="122"/>
      <c r="Q791" s="121"/>
    </row>
    <row r="792" spans="1:17" ht="12.75" customHeight="1" x14ac:dyDescent="0.2">
      <c r="A792" s="124"/>
      <c r="B792" s="126"/>
      <c r="C792" s="126"/>
      <c r="D792" s="1"/>
      <c r="E792" s="1"/>
      <c r="F792" s="126"/>
      <c r="G792" s="126"/>
      <c r="H792" s="118"/>
      <c r="I792" s="119"/>
      <c r="J792" s="120"/>
      <c r="K792" s="121"/>
      <c r="L792" s="121"/>
      <c r="M792" s="121"/>
      <c r="N792" s="121"/>
      <c r="O792" s="121"/>
      <c r="P792" s="122"/>
      <c r="Q792" s="121"/>
    </row>
    <row r="793" spans="1:17" ht="12.75" customHeight="1" x14ac:dyDescent="0.2">
      <c r="A793" s="124"/>
      <c r="B793" s="126"/>
      <c r="C793" s="126"/>
      <c r="D793" s="1"/>
      <c r="E793" s="1"/>
      <c r="F793" s="126"/>
      <c r="G793" s="126"/>
      <c r="H793" s="118"/>
      <c r="I793" s="119"/>
      <c r="J793" s="120"/>
      <c r="K793" s="121"/>
      <c r="L793" s="121"/>
      <c r="M793" s="121"/>
      <c r="N793" s="121"/>
      <c r="O793" s="121"/>
      <c r="P793" s="122"/>
      <c r="Q793" s="121"/>
    </row>
    <row r="794" spans="1:17" ht="12.75" customHeight="1" x14ac:dyDescent="0.2">
      <c r="A794" s="124"/>
      <c r="B794" s="126"/>
      <c r="C794" s="126"/>
      <c r="D794" s="1"/>
      <c r="E794" s="1"/>
      <c r="F794" s="126"/>
      <c r="G794" s="126"/>
      <c r="H794" s="118"/>
      <c r="I794" s="119"/>
      <c r="J794" s="120"/>
      <c r="K794" s="121"/>
      <c r="L794" s="121"/>
      <c r="M794" s="121"/>
      <c r="N794" s="121"/>
      <c r="O794" s="121"/>
      <c r="P794" s="122"/>
      <c r="Q794" s="121"/>
    </row>
    <row r="795" spans="1:17" ht="12.75" customHeight="1" x14ac:dyDescent="0.2">
      <c r="A795" s="124"/>
      <c r="B795" s="126"/>
      <c r="C795" s="126"/>
      <c r="D795" s="1"/>
      <c r="E795" s="1"/>
      <c r="F795" s="126"/>
      <c r="G795" s="126"/>
      <c r="H795" s="118"/>
      <c r="I795" s="119"/>
      <c r="J795" s="120"/>
      <c r="K795" s="121"/>
      <c r="L795" s="121"/>
      <c r="M795" s="121"/>
      <c r="N795" s="121"/>
      <c r="O795" s="121"/>
      <c r="P795" s="122"/>
      <c r="Q795" s="121"/>
    </row>
    <row r="796" spans="1:17" ht="12.75" customHeight="1" x14ac:dyDescent="0.2">
      <c r="A796" s="124"/>
      <c r="B796" s="126"/>
      <c r="C796" s="126"/>
      <c r="D796" s="1"/>
      <c r="E796" s="1"/>
      <c r="F796" s="126"/>
      <c r="G796" s="126"/>
      <c r="H796" s="118"/>
      <c r="I796" s="119"/>
      <c r="J796" s="120"/>
      <c r="K796" s="121"/>
      <c r="L796" s="121"/>
      <c r="M796" s="121"/>
      <c r="N796" s="121"/>
      <c r="O796" s="121"/>
      <c r="P796" s="122"/>
      <c r="Q796" s="121"/>
    </row>
    <row r="797" spans="1:17" ht="12.75" customHeight="1" x14ac:dyDescent="0.2">
      <c r="A797" s="124"/>
      <c r="B797" s="126"/>
      <c r="C797" s="126"/>
      <c r="D797" s="1"/>
      <c r="E797" s="1"/>
      <c r="F797" s="126"/>
      <c r="G797" s="126"/>
      <c r="H797" s="118"/>
      <c r="I797" s="119"/>
      <c r="J797" s="120"/>
      <c r="K797" s="121"/>
      <c r="L797" s="121"/>
      <c r="M797" s="121"/>
      <c r="N797" s="121"/>
      <c r="O797" s="121"/>
      <c r="P797" s="122"/>
      <c r="Q797" s="121"/>
    </row>
    <row r="798" spans="1:17" ht="12.75" customHeight="1" x14ac:dyDescent="0.2">
      <c r="A798" s="124"/>
      <c r="B798" s="126"/>
      <c r="C798" s="126"/>
      <c r="D798" s="1"/>
      <c r="E798" s="1"/>
      <c r="F798" s="126"/>
      <c r="G798" s="126"/>
      <c r="H798" s="118"/>
      <c r="I798" s="119"/>
      <c r="J798" s="120"/>
      <c r="K798" s="121"/>
      <c r="L798" s="121"/>
      <c r="M798" s="121"/>
      <c r="N798" s="121"/>
      <c r="O798" s="121"/>
      <c r="P798" s="122"/>
      <c r="Q798" s="121"/>
    </row>
    <row r="799" spans="1:17" ht="12.75" customHeight="1" x14ac:dyDescent="0.2">
      <c r="A799" s="124"/>
      <c r="B799" s="126"/>
      <c r="C799" s="126"/>
      <c r="D799" s="1"/>
      <c r="E799" s="1"/>
      <c r="F799" s="126"/>
      <c r="G799" s="126"/>
      <c r="H799" s="118"/>
      <c r="I799" s="119"/>
      <c r="J799" s="120"/>
      <c r="K799" s="121"/>
      <c r="L799" s="121"/>
      <c r="M799" s="121"/>
      <c r="N799" s="121"/>
      <c r="O799" s="121"/>
      <c r="P799" s="122"/>
      <c r="Q799" s="121"/>
    </row>
    <row r="800" spans="1:17" ht="12.75" customHeight="1" x14ac:dyDescent="0.2">
      <c r="A800" s="124"/>
      <c r="B800" s="126"/>
      <c r="C800" s="126"/>
      <c r="D800" s="1"/>
      <c r="E800" s="1"/>
      <c r="F800" s="126"/>
      <c r="G800" s="126"/>
      <c r="H800" s="118"/>
      <c r="I800" s="119"/>
      <c r="J800" s="120"/>
      <c r="K800" s="121"/>
      <c r="L800" s="121"/>
      <c r="M800" s="121"/>
      <c r="N800" s="121"/>
      <c r="O800" s="121"/>
      <c r="P800" s="122"/>
      <c r="Q800" s="121"/>
    </row>
    <row r="801" spans="1:17" ht="12.75" customHeight="1" x14ac:dyDescent="0.2">
      <c r="A801" s="124"/>
      <c r="B801" s="126"/>
      <c r="C801" s="126"/>
      <c r="D801" s="1"/>
      <c r="E801" s="1"/>
      <c r="F801" s="126"/>
      <c r="G801" s="126"/>
      <c r="H801" s="118"/>
      <c r="I801" s="119"/>
      <c r="J801" s="120"/>
      <c r="K801" s="121"/>
      <c r="L801" s="121"/>
      <c r="M801" s="121"/>
      <c r="N801" s="121"/>
      <c r="O801" s="121"/>
      <c r="P801" s="122"/>
      <c r="Q801" s="121"/>
    </row>
    <row r="802" spans="1:17" ht="12.75" customHeight="1" x14ac:dyDescent="0.2">
      <c r="A802" s="124"/>
      <c r="B802" s="126"/>
      <c r="C802" s="126"/>
      <c r="D802" s="1"/>
      <c r="E802" s="1"/>
      <c r="F802" s="126"/>
      <c r="G802" s="126"/>
      <c r="H802" s="118"/>
      <c r="I802" s="119"/>
      <c r="J802" s="120"/>
      <c r="K802" s="121"/>
      <c r="L802" s="121"/>
      <c r="M802" s="121"/>
      <c r="N802" s="121"/>
      <c r="O802" s="121"/>
      <c r="P802" s="122"/>
      <c r="Q802" s="121"/>
    </row>
    <row r="803" spans="1:17" ht="12.75" customHeight="1" x14ac:dyDescent="0.2">
      <c r="A803" s="124"/>
      <c r="B803" s="126"/>
      <c r="C803" s="126"/>
      <c r="D803" s="1"/>
      <c r="E803" s="1"/>
      <c r="F803" s="126"/>
      <c r="G803" s="126"/>
      <c r="H803" s="118"/>
      <c r="I803" s="119"/>
      <c r="J803" s="120"/>
      <c r="K803" s="121"/>
      <c r="L803" s="121"/>
      <c r="M803" s="121"/>
      <c r="N803" s="121"/>
      <c r="O803" s="121"/>
      <c r="P803" s="122"/>
      <c r="Q803" s="121"/>
    </row>
    <row r="804" spans="1:17" ht="12.75" customHeight="1" x14ac:dyDescent="0.2">
      <c r="A804" s="124"/>
      <c r="B804" s="126"/>
      <c r="C804" s="126"/>
      <c r="D804" s="1"/>
      <c r="E804" s="1"/>
      <c r="F804" s="126"/>
      <c r="G804" s="126"/>
      <c r="H804" s="118"/>
      <c r="I804" s="119"/>
      <c r="J804" s="120"/>
      <c r="K804" s="121"/>
      <c r="L804" s="121"/>
      <c r="M804" s="121"/>
      <c r="N804" s="121"/>
      <c r="O804" s="121"/>
      <c r="P804" s="122"/>
      <c r="Q804" s="121"/>
    </row>
    <row r="805" spans="1:17" ht="12.75" customHeight="1" x14ac:dyDescent="0.2">
      <c r="A805" s="124"/>
      <c r="B805" s="126"/>
      <c r="C805" s="126"/>
      <c r="D805" s="1"/>
      <c r="E805" s="1"/>
      <c r="F805" s="126"/>
      <c r="G805" s="126"/>
      <c r="H805" s="118"/>
      <c r="I805" s="119"/>
      <c r="J805" s="120"/>
      <c r="K805" s="121"/>
      <c r="L805" s="121"/>
      <c r="M805" s="121"/>
      <c r="N805" s="121"/>
      <c r="O805" s="121"/>
      <c r="P805" s="122"/>
      <c r="Q805" s="121"/>
    </row>
    <row r="806" spans="1:17" ht="12.75" customHeight="1" x14ac:dyDescent="0.2">
      <c r="A806" s="124"/>
      <c r="B806" s="126"/>
      <c r="C806" s="126"/>
      <c r="D806" s="1"/>
      <c r="E806" s="1"/>
      <c r="F806" s="126"/>
      <c r="G806" s="126"/>
      <c r="H806" s="118"/>
      <c r="I806" s="119"/>
      <c r="J806" s="120"/>
      <c r="K806" s="121"/>
      <c r="L806" s="121"/>
      <c r="M806" s="121"/>
      <c r="N806" s="121"/>
      <c r="O806" s="121"/>
      <c r="P806" s="122"/>
      <c r="Q806" s="121"/>
    </row>
    <row r="807" spans="1:17" ht="12.75" customHeight="1" x14ac:dyDescent="0.2">
      <c r="A807" s="124"/>
      <c r="B807" s="126"/>
      <c r="C807" s="126"/>
      <c r="D807" s="1"/>
      <c r="E807" s="1"/>
      <c r="F807" s="126"/>
      <c r="G807" s="126"/>
      <c r="H807" s="118"/>
      <c r="I807" s="119"/>
      <c r="J807" s="120"/>
      <c r="K807" s="121"/>
      <c r="L807" s="121"/>
      <c r="M807" s="121"/>
      <c r="N807" s="121"/>
      <c r="O807" s="121"/>
      <c r="P807" s="122"/>
      <c r="Q807" s="121"/>
    </row>
    <row r="808" spans="1:17" ht="12.75" customHeight="1" x14ac:dyDescent="0.2">
      <c r="A808" s="124"/>
      <c r="B808" s="126"/>
      <c r="C808" s="126"/>
      <c r="D808" s="1"/>
      <c r="E808" s="1"/>
      <c r="F808" s="126"/>
      <c r="G808" s="126"/>
      <c r="H808" s="118"/>
      <c r="I808" s="119"/>
      <c r="J808" s="120"/>
      <c r="K808" s="121"/>
      <c r="L808" s="121"/>
      <c r="M808" s="121"/>
      <c r="N808" s="121"/>
      <c r="O808" s="121"/>
      <c r="P808" s="122"/>
      <c r="Q808" s="121"/>
    </row>
    <row r="809" spans="1:17" ht="12.75" customHeight="1" x14ac:dyDescent="0.2">
      <c r="A809" s="124"/>
      <c r="B809" s="126"/>
      <c r="C809" s="126"/>
      <c r="D809" s="1"/>
      <c r="E809" s="1"/>
      <c r="F809" s="126"/>
      <c r="G809" s="126"/>
      <c r="H809" s="118"/>
      <c r="I809" s="119"/>
      <c r="J809" s="120"/>
      <c r="K809" s="121"/>
      <c r="L809" s="121"/>
      <c r="M809" s="121"/>
      <c r="N809" s="121"/>
      <c r="O809" s="121"/>
      <c r="P809" s="122"/>
      <c r="Q809" s="121"/>
    </row>
    <row r="810" spans="1:17" ht="12.75" customHeight="1" x14ac:dyDescent="0.2">
      <c r="A810" s="124"/>
      <c r="B810" s="126"/>
      <c r="C810" s="126"/>
      <c r="D810" s="1"/>
      <c r="E810" s="1"/>
      <c r="F810" s="126"/>
      <c r="G810" s="126"/>
      <c r="H810" s="118"/>
      <c r="I810" s="119"/>
      <c r="J810" s="120"/>
      <c r="K810" s="121"/>
      <c r="L810" s="121"/>
      <c r="M810" s="121"/>
      <c r="N810" s="121"/>
      <c r="O810" s="121"/>
      <c r="P810" s="122"/>
      <c r="Q810" s="121"/>
    </row>
    <row r="811" spans="1:17" ht="12.75" customHeight="1" x14ac:dyDescent="0.2">
      <c r="A811" s="124"/>
      <c r="B811" s="126"/>
      <c r="C811" s="126"/>
      <c r="D811" s="1"/>
      <c r="E811" s="1"/>
      <c r="F811" s="126"/>
      <c r="G811" s="126"/>
      <c r="H811" s="118"/>
      <c r="I811" s="119"/>
      <c r="J811" s="120"/>
      <c r="K811" s="121"/>
      <c r="L811" s="121"/>
      <c r="M811" s="121"/>
      <c r="N811" s="121"/>
      <c r="O811" s="121"/>
      <c r="P811" s="122"/>
      <c r="Q811" s="121"/>
    </row>
    <row r="812" spans="1:17" ht="12.75" customHeight="1" x14ac:dyDescent="0.2">
      <c r="A812" s="124"/>
      <c r="B812" s="126"/>
      <c r="C812" s="126"/>
      <c r="D812" s="1"/>
      <c r="E812" s="1"/>
      <c r="F812" s="126"/>
      <c r="G812" s="126"/>
      <c r="H812" s="118"/>
      <c r="I812" s="119"/>
      <c r="J812" s="120"/>
      <c r="K812" s="121"/>
      <c r="L812" s="121"/>
      <c r="M812" s="121"/>
      <c r="N812" s="121"/>
      <c r="O812" s="121"/>
      <c r="P812" s="122"/>
      <c r="Q812" s="121"/>
    </row>
    <row r="813" spans="1:17" ht="12.75" customHeight="1" x14ac:dyDescent="0.2">
      <c r="A813" s="124"/>
      <c r="B813" s="126"/>
      <c r="C813" s="126"/>
      <c r="D813" s="1"/>
      <c r="E813" s="1"/>
      <c r="F813" s="126"/>
      <c r="G813" s="126"/>
      <c r="H813" s="118"/>
      <c r="I813" s="119"/>
      <c r="J813" s="120"/>
      <c r="K813" s="121"/>
      <c r="L813" s="121"/>
      <c r="M813" s="121"/>
      <c r="N813" s="121"/>
      <c r="O813" s="121"/>
      <c r="P813" s="122"/>
      <c r="Q813" s="121"/>
    </row>
    <row r="814" spans="1:17" ht="12.75" customHeight="1" x14ac:dyDescent="0.2">
      <c r="A814" s="124"/>
      <c r="B814" s="126"/>
      <c r="C814" s="126"/>
      <c r="D814" s="1"/>
      <c r="E814" s="1"/>
      <c r="F814" s="126"/>
      <c r="G814" s="126"/>
      <c r="H814" s="118"/>
      <c r="I814" s="119"/>
      <c r="J814" s="120"/>
      <c r="K814" s="121"/>
      <c r="L814" s="121"/>
      <c r="M814" s="121"/>
      <c r="N814" s="121"/>
      <c r="O814" s="121"/>
      <c r="P814" s="122"/>
      <c r="Q814" s="121"/>
    </row>
    <row r="815" spans="1:17" ht="12.75" customHeight="1" x14ac:dyDescent="0.2">
      <c r="A815" s="124"/>
      <c r="B815" s="126"/>
      <c r="C815" s="126"/>
      <c r="D815" s="1"/>
      <c r="E815" s="1"/>
      <c r="F815" s="126"/>
      <c r="G815" s="126"/>
      <c r="H815" s="118"/>
      <c r="I815" s="119"/>
      <c r="J815" s="120"/>
      <c r="K815" s="121"/>
      <c r="L815" s="121"/>
      <c r="M815" s="121"/>
      <c r="N815" s="121"/>
      <c r="O815" s="121"/>
      <c r="P815" s="122"/>
      <c r="Q815" s="121"/>
    </row>
    <row r="816" spans="1:17" ht="12.75" customHeight="1" x14ac:dyDescent="0.2">
      <c r="A816" s="124"/>
      <c r="B816" s="126"/>
      <c r="C816" s="126"/>
      <c r="D816" s="1"/>
      <c r="E816" s="1"/>
      <c r="F816" s="126"/>
      <c r="G816" s="126"/>
      <c r="H816" s="118"/>
      <c r="I816" s="119"/>
      <c r="J816" s="120"/>
      <c r="K816" s="121"/>
      <c r="L816" s="121"/>
      <c r="M816" s="121"/>
      <c r="N816" s="121"/>
      <c r="O816" s="121"/>
      <c r="P816" s="122"/>
      <c r="Q816" s="121"/>
    </row>
    <row r="817" spans="1:17" ht="12.75" customHeight="1" x14ac:dyDescent="0.2">
      <c r="A817" s="124"/>
      <c r="B817" s="126"/>
      <c r="C817" s="126"/>
      <c r="D817" s="1"/>
      <c r="E817" s="1"/>
      <c r="F817" s="126"/>
      <c r="G817" s="126"/>
      <c r="H817" s="118"/>
      <c r="I817" s="119"/>
      <c r="J817" s="120"/>
      <c r="K817" s="121"/>
      <c r="L817" s="121"/>
      <c r="M817" s="121"/>
      <c r="N817" s="121"/>
      <c r="O817" s="121"/>
      <c r="P817" s="122"/>
      <c r="Q817" s="121"/>
    </row>
    <row r="818" spans="1:17" ht="12.75" customHeight="1" x14ac:dyDescent="0.2">
      <c r="A818" s="124"/>
      <c r="B818" s="126"/>
      <c r="C818" s="126"/>
      <c r="D818" s="1"/>
      <c r="E818" s="1"/>
      <c r="F818" s="126"/>
      <c r="G818" s="126"/>
      <c r="H818" s="118"/>
      <c r="I818" s="119"/>
      <c r="J818" s="120"/>
      <c r="K818" s="121"/>
      <c r="L818" s="121"/>
      <c r="M818" s="121"/>
      <c r="N818" s="121"/>
      <c r="O818" s="121"/>
      <c r="P818" s="122"/>
      <c r="Q818" s="121"/>
    </row>
    <row r="819" spans="1:17" ht="12.75" customHeight="1" x14ac:dyDescent="0.2">
      <c r="A819" s="124"/>
      <c r="B819" s="126"/>
      <c r="C819" s="126"/>
      <c r="D819" s="1"/>
      <c r="E819" s="1"/>
      <c r="F819" s="126"/>
      <c r="G819" s="126"/>
      <c r="H819" s="118"/>
      <c r="I819" s="119"/>
      <c r="J819" s="120"/>
      <c r="K819" s="121"/>
      <c r="L819" s="121"/>
      <c r="M819" s="121"/>
      <c r="N819" s="121"/>
      <c r="O819" s="121"/>
      <c r="P819" s="122"/>
      <c r="Q819" s="121"/>
    </row>
    <row r="820" spans="1:17" ht="12.75" customHeight="1" x14ac:dyDescent="0.2">
      <c r="A820" s="124"/>
      <c r="B820" s="126"/>
      <c r="C820" s="126"/>
      <c r="D820" s="1"/>
      <c r="E820" s="1"/>
      <c r="F820" s="126"/>
      <c r="G820" s="126"/>
      <c r="H820" s="118"/>
      <c r="I820" s="119"/>
      <c r="J820" s="120"/>
      <c r="K820" s="121"/>
      <c r="L820" s="121"/>
      <c r="M820" s="121"/>
      <c r="N820" s="121"/>
      <c r="O820" s="121"/>
      <c r="P820" s="122"/>
      <c r="Q820" s="121"/>
    </row>
    <row r="821" spans="1:17" ht="12.75" customHeight="1" x14ac:dyDescent="0.2">
      <c r="A821" s="124"/>
      <c r="B821" s="126"/>
      <c r="C821" s="126"/>
      <c r="D821" s="1"/>
      <c r="E821" s="1"/>
      <c r="F821" s="126"/>
      <c r="G821" s="126"/>
      <c r="H821" s="118"/>
      <c r="I821" s="119"/>
      <c r="J821" s="120"/>
      <c r="K821" s="121"/>
      <c r="L821" s="121"/>
      <c r="M821" s="121"/>
      <c r="N821" s="121"/>
      <c r="O821" s="121"/>
      <c r="P821" s="122"/>
      <c r="Q821" s="121"/>
    </row>
    <row r="822" spans="1:17" ht="12.75" customHeight="1" x14ac:dyDescent="0.2">
      <c r="A822" s="124"/>
      <c r="B822" s="126"/>
      <c r="C822" s="126"/>
      <c r="D822" s="1"/>
      <c r="E822" s="1"/>
      <c r="F822" s="126"/>
      <c r="G822" s="126"/>
      <c r="H822" s="118"/>
      <c r="I822" s="119"/>
      <c r="J822" s="120"/>
      <c r="K822" s="121"/>
      <c r="L822" s="121"/>
      <c r="M822" s="121"/>
      <c r="N822" s="121"/>
      <c r="O822" s="121"/>
      <c r="P822" s="122"/>
      <c r="Q822" s="121"/>
    </row>
    <row r="823" spans="1:17" ht="12.75" customHeight="1" x14ac:dyDescent="0.2">
      <c r="A823" s="124"/>
      <c r="B823" s="126"/>
      <c r="C823" s="126"/>
      <c r="D823" s="1"/>
      <c r="E823" s="1"/>
      <c r="F823" s="126"/>
      <c r="G823" s="126"/>
      <c r="H823" s="118"/>
      <c r="I823" s="119"/>
      <c r="J823" s="120"/>
      <c r="K823" s="121"/>
      <c r="L823" s="121"/>
      <c r="M823" s="121"/>
      <c r="N823" s="121"/>
      <c r="O823" s="121"/>
      <c r="P823" s="122"/>
      <c r="Q823" s="121"/>
    </row>
    <row r="824" spans="1:17" ht="12.75" customHeight="1" x14ac:dyDescent="0.2">
      <c r="A824" s="124"/>
      <c r="B824" s="126"/>
      <c r="C824" s="126"/>
      <c r="D824" s="1"/>
      <c r="E824" s="1"/>
      <c r="F824" s="126"/>
      <c r="G824" s="126"/>
      <c r="H824" s="118"/>
      <c r="I824" s="119"/>
      <c r="J824" s="120"/>
      <c r="K824" s="121"/>
      <c r="L824" s="121"/>
      <c r="M824" s="121"/>
      <c r="N824" s="121"/>
      <c r="O824" s="121"/>
      <c r="P824" s="122"/>
      <c r="Q824" s="121"/>
    </row>
    <row r="825" spans="1:17" ht="12.75" customHeight="1" x14ac:dyDescent="0.2">
      <c r="A825" s="124"/>
      <c r="B825" s="126"/>
      <c r="C825" s="126"/>
      <c r="D825" s="1"/>
      <c r="E825" s="1"/>
      <c r="F825" s="126"/>
      <c r="G825" s="126"/>
      <c r="H825" s="118"/>
      <c r="I825" s="119"/>
      <c r="J825" s="120"/>
      <c r="K825" s="121"/>
      <c r="L825" s="121"/>
      <c r="M825" s="121"/>
      <c r="N825" s="121"/>
      <c r="O825" s="121"/>
      <c r="P825" s="122"/>
      <c r="Q825" s="121"/>
    </row>
    <row r="826" spans="1:17" ht="12.75" customHeight="1" x14ac:dyDescent="0.2">
      <c r="A826" s="124"/>
      <c r="B826" s="126"/>
      <c r="C826" s="126"/>
      <c r="D826" s="1"/>
      <c r="E826" s="1"/>
      <c r="F826" s="126"/>
      <c r="G826" s="126"/>
      <c r="H826" s="118"/>
      <c r="I826" s="119"/>
      <c r="J826" s="120"/>
      <c r="K826" s="121"/>
      <c r="L826" s="121"/>
      <c r="M826" s="121"/>
      <c r="N826" s="121"/>
      <c r="O826" s="121"/>
      <c r="P826" s="122"/>
      <c r="Q826" s="121"/>
    </row>
    <row r="827" spans="1:17" ht="12.75" customHeight="1" x14ac:dyDescent="0.2">
      <c r="A827" s="124"/>
      <c r="B827" s="126"/>
      <c r="C827" s="126"/>
      <c r="D827" s="1"/>
      <c r="E827" s="1"/>
      <c r="F827" s="126"/>
      <c r="G827" s="126"/>
      <c r="H827" s="118"/>
      <c r="I827" s="119"/>
      <c r="J827" s="120"/>
      <c r="K827" s="121"/>
      <c r="L827" s="121"/>
      <c r="M827" s="121"/>
      <c r="N827" s="121"/>
      <c r="O827" s="121"/>
      <c r="P827" s="122"/>
      <c r="Q827" s="121"/>
    </row>
    <row r="828" spans="1:17" ht="12.75" customHeight="1" x14ac:dyDescent="0.2">
      <c r="A828" s="124"/>
      <c r="B828" s="126"/>
      <c r="C828" s="126"/>
      <c r="D828" s="1"/>
      <c r="E828" s="1"/>
      <c r="F828" s="126"/>
      <c r="G828" s="126"/>
      <c r="H828" s="118"/>
      <c r="I828" s="119"/>
      <c r="J828" s="120"/>
      <c r="K828" s="121"/>
      <c r="L828" s="121"/>
      <c r="M828" s="121"/>
      <c r="N828" s="121"/>
      <c r="O828" s="121"/>
      <c r="P828" s="122"/>
      <c r="Q828" s="121"/>
    </row>
    <row r="829" spans="1:17" ht="12.75" customHeight="1" x14ac:dyDescent="0.2">
      <c r="A829" s="124"/>
      <c r="B829" s="126"/>
      <c r="C829" s="126"/>
      <c r="D829" s="1"/>
      <c r="E829" s="1"/>
      <c r="F829" s="126"/>
      <c r="G829" s="126"/>
      <c r="H829" s="118"/>
      <c r="I829" s="119"/>
      <c r="J829" s="120"/>
      <c r="K829" s="121"/>
      <c r="L829" s="121"/>
      <c r="M829" s="121"/>
      <c r="N829" s="121"/>
      <c r="O829" s="121"/>
      <c r="P829" s="122"/>
      <c r="Q829" s="121"/>
    </row>
    <row r="830" spans="1:17" ht="12.75" customHeight="1" x14ac:dyDescent="0.2">
      <c r="A830" s="124"/>
      <c r="B830" s="126"/>
      <c r="C830" s="126"/>
      <c r="D830" s="1"/>
      <c r="E830" s="1"/>
      <c r="F830" s="126"/>
      <c r="G830" s="126"/>
      <c r="H830" s="118"/>
      <c r="I830" s="119"/>
      <c r="J830" s="120"/>
      <c r="K830" s="121"/>
      <c r="L830" s="121"/>
      <c r="M830" s="121"/>
      <c r="N830" s="121"/>
      <c r="O830" s="121"/>
      <c r="P830" s="122"/>
      <c r="Q830" s="121"/>
    </row>
    <row r="831" spans="1:17" ht="12.75" customHeight="1" x14ac:dyDescent="0.2">
      <c r="A831" s="124"/>
      <c r="B831" s="126"/>
      <c r="C831" s="126"/>
      <c r="D831" s="1"/>
      <c r="E831" s="1"/>
      <c r="F831" s="126"/>
      <c r="G831" s="126"/>
      <c r="H831" s="118"/>
      <c r="I831" s="119"/>
      <c r="J831" s="120"/>
      <c r="K831" s="121"/>
      <c r="L831" s="121"/>
      <c r="M831" s="121"/>
      <c r="N831" s="121"/>
      <c r="O831" s="121"/>
      <c r="P831" s="122"/>
      <c r="Q831" s="121"/>
    </row>
    <row r="832" spans="1:17" ht="12.75" customHeight="1" x14ac:dyDescent="0.2">
      <c r="A832" s="124"/>
      <c r="B832" s="126"/>
      <c r="C832" s="126"/>
      <c r="D832" s="1"/>
      <c r="E832" s="1"/>
      <c r="F832" s="126"/>
      <c r="G832" s="126"/>
      <c r="H832" s="118"/>
      <c r="I832" s="119"/>
      <c r="J832" s="120"/>
      <c r="K832" s="121"/>
      <c r="L832" s="121"/>
      <c r="M832" s="121"/>
      <c r="N832" s="121"/>
      <c r="O832" s="121"/>
      <c r="P832" s="122"/>
      <c r="Q832" s="121"/>
    </row>
    <row r="833" spans="1:17" ht="12.75" customHeight="1" x14ac:dyDescent="0.2">
      <c r="A833" s="124"/>
      <c r="B833" s="126"/>
      <c r="C833" s="126"/>
      <c r="D833" s="1"/>
      <c r="E833" s="1"/>
      <c r="F833" s="126"/>
      <c r="G833" s="126"/>
      <c r="H833" s="118"/>
      <c r="I833" s="119"/>
      <c r="J833" s="120"/>
      <c r="K833" s="121"/>
      <c r="L833" s="121"/>
      <c r="M833" s="121"/>
      <c r="N833" s="121"/>
      <c r="O833" s="121"/>
      <c r="P833" s="122"/>
      <c r="Q833" s="121"/>
    </row>
    <row r="834" spans="1:17" ht="12.75" customHeight="1" x14ac:dyDescent="0.2">
      <c r="A834" s="124"/>
      <c r="B834" s="126"/>
      <c r="C834" s="126"/>
      <c r="D834" s="1"/>
      <c r="E834" s="1"/>
      <c r="F834" s="126"/>
      <c r="G834" s="126"/>
      <c r="H834" s="118"/>
      <c r="I834" s="119"/>
      <c r="J834" s="120"/>
      <c r="K834" s="121"/>
      <c r="L834" s="121"/>
      <c r="M834" s="121"/>
      <c r="N834" s="121"/>
      <c r="O834" s="121"/>
      <c r="P834" s="122"/>
      <c r="Q834" s="121"/>
    </row>
    <row r="835" spans="1:17" ht="12.75" customHeight="1" x14ac:dyDescent="0.2">
      <c r="A835" s="124"/>
      <c r="B835" s="126"/>
      <c r="C835" s="126"/>
      <c r="D835" s="1"/>
      <c r="E835" s="1"/>
      <c r="F835" s="126"/>
      <c r="G835" s="126"/>
      <c r="H835" s="118"/>
      <c r="I835" s="119"/>
      <c r="J835" s="120"/>
      <c r="K835" s="121"/>
      <c r="L835" s="121"/>
      <c r="M835" s="121"/>
      <c r="N835" s="121"/>
      <c r="O835" s="121"/>
      <c r="P835" s="122"/>
      <c r="Q835" s="121"/>
    </row>
    <row r="836" spans="1:17" ht="12.75" customHeight="1" x14ac:dyDescent="0.2">
      <c r="A836" s="124"/>
      <c r="B836" s="126"/>
      <c r="C836" s="126"/>
      <c r="D836" s="1"/>
      <c r="E836" s="1"/>
      <c r="F836" s="126"/>
      <c r="G836" s="126"/>
      <c r="H836" s="118"/>
      <c r="I836" s="119"/>
      <c r="J836" s="120"/>
      <c r="K836" s="121"/>
      <c r="L836" s="121"/>
      <c r="M836" s="121"/>
      <c r="N836" s="121"/>
      <c r="O836" s="121"/>
      <c r="P836" s="122"/>
      <c r="Q836" s="121"/>
    </row>
    <row r="837" spans="1:17" ht="12.75" customHeight="1" x14ac:dyDescent="0.2">
      <c r="A837" s="124"/>
      <c r="B837" s="126"/>
      <c r="C837" s="126"/>
      <c r="D837" s="1"/>
      <c r="E837" s="1"/>
      <c r="F837" s="126"/>
      <c r="G837" s="126"/>
      <c r="H837" s="118"/>
      <c r="I837" s="119"/>
      <c r="J837" s="120"/>
      <c r="K837" s="121"/>
      <c r="L837" s="121"/>
      <c r="M837" s="121"/>
      <c r="N837" s="121"/>
      <c r="O837" s="121"/>
      <c r="P837" s="122"/>
      <c r="Q837" s="121"/>
    </row>
    <row r="838" spans="1:17" ht="12.75" customHeight="1" x14ac:dyDescent="0.2">
      <c r="A838" s="124"/>
      <c r="B838" s="126"/>
      <c r="C838" s="126"/>
      <c r="D838" s="1"/>
      <c r="E838" s="1"/>
      <c r="F838" s="126"/>
      <c r="G838" s="126"/>
      <c r="H838" s="118"/>
      <c r="I838" s="119"/>
      <c r="J838" s="120"/>
      <c r="K838" s="121"/>
      <c r="L838" s="121"/>
      <c r="M838" s="121"/>
      <c r="N838" s="121"/>
      <c r="O838" s="121"/>
      <c r="P838" s="122"/>
      <c r="Q838" s="121"/>
    </row>
    <row r="839" spans="1:17" ht="12.75" customHeight="1" x14ac:dyDescent="0.2">
      <c r="A839" s="124"/>
      <c r="B839" s="126"/>
      <c r="C839" s="126"/>
      <c r="D839" s="1"/>
      <c r="E839" s="1"/>
      <c r="F839" s="126"/>
      <c r="G839" s="126"/>
      <c r="H839" s="118"/>
      <c r="I839" s="119"/>
      <c r="J839" s="120"/>
      <c r="K839" s="121"/>
      <c r="L839" s="121"/>
      <c r="M839" s="121"/>
      <c r="N839" s="121"/>
      <c r="O839" s="121"/>
      <c r="P839" s="122"/>
      <c r="Q839" s="121"/>
    </row>
    <row r="840" spans="1:17" ht="12.75" customHeight="1" x14ac:dyDescent="0.2">
      <c r="A840" s="124"/>
      <c r="B840" s="126"/>
      <c r="C840" s="126"/>
      <c r="D840" s="1"/>
      <c r="E840" s="1"/>
      <c r="F840" s="126"/>
      <c r="G840" s="126"/>
      <c r="H840" s="118"/>
      <c r="I840" s="119"/>
      <c r="J840" s="120"/>
      <c r="K840" s="121"/>
      <c r="L840" s="121"/>
      <c r="M840" s="121"/>
      <c r="N840" s="121"/>
      <c r="O840" s="121"/>
      <c r="P840" s="122"/>
      <c r="Q840" s="121"/>
    </row>
    <row r="841" spans="1:17" ht="12.75" customHeight="1" x14ac:dyDescent="0.2">
      <c r="A841" s="124"/>
      <c r="B841" s="126"/>
      <c r="C841" s="126"/>
      <c r="D841" s="1"/>
      <c r="E841" s="1"/>
      <c r="F841" s="126"/>
      <c r="G841" s="126"/>
      <c r="H841" s="118"/>
      <c r="I841" s="119"/>
      <c r="J841" s="120"/>
      <c r="K841" s="121"/>
      <c r="L841" s="121"/>
      <c r="M841" s="121"/>
      <c r="N841" s="121"/>
      <c r="O841" s="121"/>
      <c r="P841" s="122"/>
      <c r="Q841" s="121"/>
    </row>
    <row r="842" spans="1:17" ht="12.75" customHeight="1" x14ac:dyDescent="0.2">
      <c r="A842" s="124"/>
      <c r="B842" s="126"/>
      <c r="C842" s="126"/>
      <c r="D842" s="1"/>
      <c r="E842" s="1"/>
      <c r="F842" s="126"/>
      <c r="G842" s="126"/>
      <c r="H842" s="118"/>
      <c r="I842" s="119"/>
      <c r="J842" s="120"/>
      <c r="K842" s="121"/>
      <c r="L842" s="121"/>
      <c r="M842" s="121"/>
      <c r="N842" s="121"/>
      <c r="O842" s="121"/>
      <c r="P842" s="122"/>
      <c r="Q842" s="121"/>
    </row>
    <row r="843" spans="1:17" ht="12.75" customHeight="1" x14ac:dyDescent="0.2">
      <c r="A843" s="124"/>
      <c r="B843" s="126"/>
      <c r="C843" s="126"/>
      <c r="D843" s="1"/>
      <c r="E843" s="1"/>
      <c r="F843" s="126"/>
      <c r="G843" s="126"/>
      <c r="H843" s="118"/>
      <c r="I843" s="119"/>
      <c r="J843" s="120"/>
      <c r="K843" s="121"/>
      <c r="L843" s="121"/>
      <c r="M843" s="121"/>
      <c r="N843" s="121"/>
      <c r="O843" s="121"/>
      <c r="P843" s="122"/>
      <c r="Q843" s="121"/>
    </row>
    <row r="844" spans="1:17" ht="12.75" customHeight="1" x14ac:dyDescent="0.2">
      <c r="A844" s="124"/>
      <c r="B844" s="126"/>
      <c r="C844" s="126"/>
      <c r="D844" s="1"/>
      <c r="E844" s="1"/>
      <c r="F844" s="126"/>
      <c r="G844" s="126"/>
      <c r="H844" s="118"/>
      <c r="I844" s="119"/>
      <c r="J844" s="120"/>
      <c r="K844" s="121"/>
      <c r="L844" s="121"/>
      <c r="M844" s="121"/>
      <c r="N844" s="121"/>
      <c r="O844" s="121"/>
      <c r="P844" s="122"/>
      <c r="Q844" s="121"/>
    </row>
    <row r="845" spans="1:17" ht="12.75" customHeight="1" x14ac:dyDescent="0.2">
      <c r="A845" s="124"/>
      <c r="B845" s="126"/>
      <c r="C845" s="126"/>
      <c r="D845" s="1"/>
      <c r="E845" s="1"/>
      <c r="F845" s="126"/>
      <c r="G845" s="126"/>
      <c r="H845" s="118"/>
      <c r="I845" s="119"/>
      <c r="J845" s="120"/>
      <c r="K845" s="121"/>
      <c r="L845" s="121"/>
      <c r="M845" s="121"/>
      <c r="N845" s="121"/>
      <c r="O845" s="121"/>
      <c r="P845" s="122"/>
      <c r="Q845" s="121"/>
    </row>
    <row r="846" spans="1:17" ht="12.75" customHeight="1" x14ac:dyDescent="0.2">
      <c r="A846" s="124"/>
      <c r="B846" s="126"/>
      <c r="C846" s="126"/>
      <c r="D846" s="1"/>
      <c r="E846" s="1"/>
      <c r="F846" s="126"/>
      <c r="G846" s="126"/>
      <c r="H846" s="118"/>
      <c r="I846" s="119"/>
      <c r="J846" s="120"/>
      <c r="K846" s="121"/>
      <c r="L846" s="121"/>
      <c r="M846" s="121"/>
      <c r="N846" s="121"/>
      <c r="O846" s="121"/>
      <c r="P846" s="122"/>
      <c r="Q846" s="121"/>
    </row>
    <row r="847" spans="1:17" ht="12.75" customHeight="1" x14ac:dyDescent="0.2">
      <c r="A847" s="124"/>
      <c r="B847" s="126"/>
      <c r="C847" s="126"/>
      <c r="D847" s="1"/>
      <c r="E847" s="1"/>
      <c r="F847" s="126"/>
      <c r="G847" s="126"/>
      <c r="H847" s="118"/>
      <c r="I847" s="119"/>
      <c r="J847" s="120"/>
      <c r="K847" s="121"/>
      <c r="L847" s="121"/>
      <c r="M847" s="121"/>
      <c r="N847" s="121"/>
      <c r="O847" s="121"/>
      <c r="P847" s="122"/>
      <c r="Q847" s="121"/>
    </row>
    <row r="848" spans="1:17" ht="12.75" customHeight="1" x14ac:dyDescent="0.2">
      <c r="A848" s="124"/>
      <c r="B848" s="126"/>
      <c r="C848" s="126"/>
      <c r="D848" s="1"/>
      <c r="E848" s="1"/>
      <c r="F848" s="126"/>
      <c r="G848" s="126"/>
      <c r="H848" s="118"/>
      <c r="I848" s="119"/>
      <c r="J848" s="120"/>
      <c r="K848" s="121"/>
      <c r="L848" s="121"/>
      <c r="M848" s="121"/>
      <c r="N848" s="121"/>
      <c r="O848" s="121"/>
      <c r="P848" s="122"/>
      <c r="Q848" s="121"/>
    </row>
    <row r="849" spans="1:17" ht="12.75" customHeight="1" x14ac:dyDescent="0.2">
      <c r="A849" s="124"/>
      <c r="B849" s="126"/>
      <c r="C849" s="126"/>
      <c r="D849" s="1"/>
      <c r="E849" s="1"/>
      <c r="F849" s="126"/>
      <c r="G849" s="126"/>
      <c r="H849" s="118"/>
      <c r="I849" s="119"/>
      <c r="J849" s="120"/>
      <c r="K849" s="121"/>
      <c r="L849" s="121"/>
      <c r="M849" s="121"/>
      <c r="N849" s="121"/>
      <c r="O849" s="121"/>
      <c r="P849" s="122"/>
      <c r="Q849" s="121"/>
    </row>
    <row r="850" spans="1:17" ht="12.75" customHeight="1" x14ac:dyDescent="0.2">
      <c r="A850" s="124"/>
      <c r="B850" s="126"/>
      <c r="C850" s="126"/>
      <c r="D850" s="1"/>
      <c r="E850" s="1"/>
      <c r="F850" s="126"/>
      <c r="G850" s="126"/>
      <c r="H850" s="118"/>
      <c r="I850" s="119"/>
      <c r="J850" s="120"/>
      <c r="K850" s="121"/>
      <c r="L850" s="121"/>
      <c r="M850" s="121"/>
      <c r="N850" s="121"/>
      <c r="O850" s="121"/>
      <c r="P850" s="122"/>
      <c r="Q850" s="121"/>
    </row>
    <row r="851" spans="1:17" ht="12.75" customHeight="1" x14ac:dyDescent="0.2">
      <c r="A851" s="124"/>
      <c r="B851" s="126"/>
      <c r="C851" s="126"/>
      <c r="D851" s="1"/>
      <c r="E851" s="1"/>
      <c r="F851" s="126"/>
      <c r="G851" s="126"/>
      <c r="H851" s="118"/>
      <c r="I851" s="119"/>
      <c r="J851" s="120"/>
      <c r="K851" s="121"/>
      <c r="L851" s="121"/>
      <c r="M851" s="121"/>
      <c r="N851" s="121"/>
      <c r="O851" s="121"/>
      <c r="P851" s="122"/>
      <c r="Q851" s="121"/>
    </row>
    <row r="852" spans="1:17" ht="12.75" customHeight="1" x14ac:dyDescent="0.2">
      <c r="A852" s="124"/>
      <c r="B852" s="126"/>
      <c r="C852" s="126"/>
      <c r="D852" s="1"/>
      <c r="E852" s="1"/>
      <c r="F852" s="126"/>
      <c r="G852" s="126"/>
      <c r="H852" s="118"/>
      <c r="I852" s="119"/>
      <c r="J852" s="120"/>
      <c r="K852" s="121"/>
      <c r="L852" s="121"/>
      <c r="M852" s="121"/>
      <c r="N852" s="121"/>
      <c r="O852" s="121"/>
      <c r="P852" s="122"/>
      <c r="Q852" s="121"/>
    </row>
    <row r="853" spans="1:17" ht="12.75" customHeight="1" x14ac:dyDescent="0.2">
      <c r="A853" s="124"/>
      <c r="B853" s="126"/>
      <c r="C853" s="126"/>
      <c r="D853" s="1"/>
      <c r="E853" s="1"/>
      <c r="F853" s="126"/>
      <c r="G853" s="126"/>
      <c r="H853" s="118"/>
      <c r="I853" s="119"/>
      <c r="J853" s="120"/>
      <c r="K853" s="121"/>
      <c r="L853" s="121"/>
      <c r="M853" s="121"/>
      <c r="N853" s="121"/>
      <c r="O853" s="121"/>
      <c r="P853" s="122"/>
      <c r="Q853" s="121"/>
    </row>
    <row r="854" spans="1:17" ht="12.75" customHeight="1" x14ac:dyDescent="0.2">
      <c r="A854" s="124"/>
      <c r="B854" s="126"/>
      <c r="C854" s="126"/>
      <c r="D854" s="1"/>
      <c r="E854" s="1"/>
      <c r="F854" s="126"/>
      <c r="G854" s="126"/>
      <c r="H854" s="118"/>
      <c r="I854" s="119"/>
      <c r="J854" s="120"/>
      <c r="K854" s="121"/>
      <c r="L854" s="121"/>
      <c r="M854" s="121"/>
      <c r="N854" s="121"/>
      <c r="O854" s="121"/>
      <c r="P854" s="122"/>
      <c r="Q854" s="121"/>
    </row>
    <row r="855" spans="1:17" ht="12.75" customHeight="1" x14ac:dyDescent="0.2">
      <c r="A855" s="124"/>
      <c r="B855" s="126"/>
      <c r="C855" s="126"/>
      <c r="D855" s="1"/>
      <c r="E855" s="1"/>
      <c r="F855" s="126"/>
      <c r="G855" s="126"/>
      <c r="H855" s="118"/>
      <c r="I855" s="119"/>
      <c r="J855" s="120"/>
      <c r="K855" s="121"/>
      <c r="L855" s="121"/>
      <c r="M855" s="121"/>
      <c r="N855" s="121"/>
      <c r="O855" s="121"/>
      <c r="P855" s="122"/>
      <c r="Q855" s="121"/>
    </row>
    <row r="856" spans="1:17" ht="12.75" customHeight="1" x14ac:dyDescent="0.2">
      <c r="A856" s="124"/>
      <c r="B856" s="126"/>
      <c r="C856" s="126"/>
      <c r="D856" s="1"/>
      <c r="E856" s="1"/>
      <c r="F856" s="126"/>
      <c r="G856" s="126"/>
      <c r="H856" s="118"/>
      <c r="I856" s="119"/>
      <c r="J856" s="120"/>
      <c r="K856" s="121"/>
      <c r="L856" s="121"/>
      <c r="M856" s="121"/>
      <c r="N856" s="121"/>
      <c r="O856" s="121"/>
      <c r="P856" s="122"/>
      <c r="Q856" s="121"/>
    </row>
    <row r="857" spans="1:17" ht="12.75" customHeight="1" x14ac:dyDescent="0.2">
      <c r="A857" s="124"/>
      <c r="B857" s="126"/>
      <c r="C857" s="126"/>
      <c r="D857" s="1"/>
      <c r="E857" s="1"/>
      <c r="F857" s="126"/>
      <c r="G857" s="126"/>
      <c r="H857" s="118"/>
      <c r="I857" s="119"/>
      <c r="J857" s="120"/>
      <c r="K857" s="121"/>
      <c r="L857" s="121"/>
      <c r="M857" s="121"/>
      <c r="N857" s="121"/>
      <c r="O857" s="121"/>
      <c r="P857" s="122"/>
      <c r="Q857" s="121"/>
    </row>
    <row r="858" spans="1:17" ht="12.75" customHeight="1" x14ac:dyDescent="0.2">
      <c r="A858" s="124"/>
      <c r="B858" s="126"/>
      <c r="C858" s="126"/>
      <c r="D858" s="1"/>
      <c r="E858" s="1"/>
      <c r="F858" s="126"/>
      <c r="G858" s="126"/>
      <c r="H858" s="118"/>
      <c r="I858" s="119"/>
      <c r="J858" s="120"/>
      <c r="K858" s="121"/>
      <c r="L858" s="121"/>
      <c r="M858" s="121"/>
      <c r="N858" s="121"/>
      <c r="O858" s="121"/>
      <c r="P858" s="122"/>
      <c r="Q858" s="121"/>
    </row>
    <row r="859" spans="1:17" ht="12.75" customHeight="1" x14ac:dyDescent="0.2">
      <c r="A859" s="124"/>
      <c r="B859" s="126"/>
      <c r="C859" s="126"/>
      <c r="D859" s="1"/>
      <c r="E859" s="1"/>
      <c r="F859" s="126"/>
      <c r="G859" s="126"/>
      <c r="H859" s="118"/>
      <c r="I859" s="119"/>
      <c r="J859" s="120"/>
      <c r="K859" s="121"/>
      <c r="L859" s="121"/>
      <c r="M859" s="121"/>
      <c r="N859" s="121"/>
      <c r="O859" s="121"/>
      <c r="P859" s="122"/>
      <c r="Q859" s="121"/>
    </row>
    <row r="860" spans="1:17" ht="12.75" customHeight="1" x14ac:dyDescent="0.2">
      <c r="A860" s="124"/>
      <c r="B860" s="126"/>
      <c r="C860" s="126"/>
      <c r="D860" s="1"/>
      <c r="E860" s="1"/>
      <c r="F860" s="126"/>
      <c r="G860" s="126"/>
      <c r="H860" s="118"/>
      <c r="I860" s="119"/>
      <c r="J860" s="120"/>
      <c r="K860" s="121"/>
      <c r="L860" s="121"/>
      <c r="M860" s="121"/>
      <c r="N860" s="121"/>
      <c r="O860" s="121"/>
      <c r="P860" s="122"/>
      <c r="Q860" s="121"/>
    </row>
    <row r="861" spans="1:17" ht="12.75" customHeight="1" x14ac:dyDescent="0.2">
      <c r="A861" s="124"/>
      <c r="B861" s="126"/>
      <c r="C861" s="126"/>
      <c r="D861" s="1"/>
      <c r="E861" s="1"/>
      <c r="F861" s="126"/>
      <c r="G861" s="126"/>
      <c r="H861" s="118"/>
      <c r="I861" s="119"/>
      <c r="J861" s="120"/>
      <c r="K861" s="121"/>
      <c r="L861" s="121"/>
      <c r="M861" s="121"/>
      <c r="N861" s="121"/>
      <c r="O861" s="121"/>
      <c r="P861" s="122"/>
      <c r="Q861" s="121"/>
    </row>
    <row r="862" spans="1:17" ht="12.75" customHeight="1" x14ac:dyDescent="0.2">
      <c r="A862" s="124"/>
      <c r="B862" s="126"/>
      <c r="C862" s="126"/>
      <c r="D862" s="1"/>
      <c r="E862" s="1"/>
      <c r="F862" s="126"/>
      <c r="G862" s="126"/>
      <c r="H862" s="118"/>
      <c r="I862" s="119"/>
      <c r="J862" s="120"/>
      <c r="K862" s="121"/>
      <c r="L862" s="121"/>
      <c r="M862" s="121"/>
      <c r="N862" s="121"/>
      <c r="O862" s="121"/>
      <c r="P862" s="122"/>
      <c r="Q862" s="121"/>
    </row>
    <row r="863" spans="1:17" ht="12.75" customHeight="1" x14ac:dyDescent="0.2">
      <c r="A863" s="124"/>
      <c r="B863" s="126"/>
      <c r="C863" s="126"/>
      <c r="D863" s="1"/>
      <c r="E863" s="1"/>
      <c r="F863" s="126"/>
      <c r="G863" s="126"/>
      <c r="H863" s="118"/>
      <c r="I863" s="119"/>
      <c r="J863" s="120"/>
      <c r="K863" s="121"/>
      <c r="L863" s="121"/>
      <c r="M863" s="121"/>
      <c r="N863" s="121"/>
      <c r="O863" s="121"/>
      <c r="P863" s="122"/>
      <c r="Q863" s="121"/>
    </row>
    <row r="864" spans="1:17" ht="12.75" customHeight="1" x14ac:dyDescent="0.2">
      <c r="A864" s="124"/>
      <c r="B864" s="126"/>
      <c r="C864" s="126"/>
      <c r="D864" s="1"/>
      <c r="E864" s="1"/>
      <c r="F864" s="126"/>
      <c r="G864" s="126"/>
      <c r="H864" s="118"/>
      <c r="I864" s="119"/>
      <c r="J864" s="120"/>
      <c r="K864" s="121"/>
      <c r="L864" s="121"/>
      <c r="M864" s="121"/>
      <c r="N864" s="121"/>
      <c r="O864" s="121"/>
      <c r="P864" s="122"/>
      <c r="Q864" s="121"/>
    </row>
    <row r="865" spans="1:17" ht="12.75" customHeight="1" x14ac:dyDescent="0.2">
      <c r="A865" s="124"/>
      <c r="B865" s="126"/>
      <c r="C865" s="126"/>
      <c r="D865" s="1"/>
      <c r="E865" s="1"/>
      <c r="F865" s="126"/>
      <c r="G865" s="126"/>
      <c r="H865" s="118"/>
      <c r="I865" s="119"/>
      <c r="J865" s="120"/>
      <c r="K865" s="121"/>
      <c r="L865" s="121"/>
      <c r="M865" s="121"/>
      <c r="N865" s="121"/>
      <c r="O865" s="121"/>
      <c r="P865" s="122"/>
      <c r="Q865" s="121"/>
    </row>
    <row r="866" spans="1:17" ht="12.75" customHeight="1" x14ac:dyDescent="0.2">
      <c r="A866" s="124"/>
      <c r="B866" s="126"/>
      <c r="C866" s="126"/>
      <c r="D866" s="1"/>
      <c r="E866" s="1"/>
      <c r="F866" s="126"/>
      <c r="G866" s="126"/>
      <c r="H866" s="118"/>
      <c r="I866" s="119"/>
      <c r="J866" s="120"/>
      <c r="K866" s="121"/>
      <c r="L866" s="121"/>
      <c r="M866" s="121"/>
      <c r="N866" s="121"/>
      <c r="O866" s="121"/>
      <c r="P866" s="122"/>
      <c r="Q866" s="121"/>
    </row>
    <row r="867" spans="1:17" ht="12.75" customHeight="1" x14ac:dyDescent="0.2">
      <c r="A867" s="124"/>
      <c r="B867" s="126"/>
      <c r="C867" s="126"/>
      <c r="D867" s="1"/>
      <c r="E867" s="1"/>
      <c r="F867" s="126"/>
      <c r="G867" s="126"/>
      <c r="H867" s="118"/>
      <c r="I867" s="119"/>
      <c r="J867" s="120"/>
      <c r="K867" s="121"/>
      <c r="L867" s="121"/>
      <c r="M867" s="121"/>
      <c r="N867" s="121"/>
      <c r="O867" s="121"/>
      <c r="P867" s="122"/>
      <c r="Q867" s="121"/>
    </row>
    <row r="868" spans="1:17" ht="12.75" customHeight="1" x14ac:dyDescent="0.2">
      <c r="A868" s="124"/>
      <c r="B868" s="126"/>
      <c r="C868" s="126"/>
      <c r="D868" s="1"/>
      <c r="E868" s="1"/>
      <c r="F868" s="126"/>
      <c r="G868" s="126"/>
      <c r="H868" s="118"/>
      <c r="I868" s="119"/>
      <c r="J868" s="120"/>
      <c r="K868" s="121"/>
      <c r="L868" s="121"/>
      <c r="M868" s="121"/>
      <c r="N868" s="121"/>
      <c r="O868" s="121"/>
      <c r="P868" s="122"/>
      <c r="Q868" s="121"/>
    </row>
    <row r="869" spans="1:17" ht="12.75" customHeight="1" x14ac:dyDescent="0.2">
      <c r="A869" s="124"/>
      <c r="B869" s="126"/>
      <c r="C869" s="126"/>
      <c r="D869" s="1"/>
      <c r="E869" s="1"/>
      <c r="F869" s="126"/>
      <c r="G869" s="126"/>
      <c r="H869" s="118"/>
      <c r="I869" s="119"/>
      <c r="J869" s="120"/>
      <c r="K869" s="121"/>
      <c r="L869" s="121"/>
      <c r="M869" s="121"/>
      <c r="N869" s="121"/>
      <c r="O869" s="121"/>
      <c r="P869" s="122"/>
      <c r="Q869" s="121"/>
    </row>
    <row r="870" spans="1:17" ht="12.75" customHeight="1" x14ac:dyDescent="0.2">
      <c r="A870" s="124"/>
      <c r="B870" s="126"/>
      <c r="C870" s="126"/>
      <c r="D870" s="1"/>
      <c r="E870" s="1"/>
      <c r="F870" s="126"/>
      <c r="G870" s="126"/>
      <c r="H870" s="118"/>
      <c r="I870" s="119"/>
      <c r="J870" s="120"/>
      <c r="K870" s="121"/>
      <c r="L870" s="121"/>
      <c r="M870" s="121"/>
      <c r="N870" s="121"/>
      <c r="O870" s="121"/>
      <c r="P870" s="122"/>
      <c r="Q870" s="121"/>
    </row>
    <row r="871" spans="1:17" ht="12.75" customHeight="1" x14ac:dyDescent="0.2">
      <c r="A871" s="124"/>
      <c r="B871" s="126"/>
      <c r="C871" s="126"/>
      <c r="D871" s="1"/>
      <c r="E871" s="1"/>
      <c r="F871" s="126"/>
      <c r="G871" s="126"/>
      <c r="H871" s="118"/>
      <c r="I871" s="119"/>
      <c r="J871" s="120"/>
      <c r="K871" s="121"/>
      <c r="L871" s="121"/>
      <c r="M871" s="121"/>
      <c r="N871" s="121"/>
      <c r="O871" s="121"/>
      <c r="P871" s="122"/>
      <c r="Q871" s="121"/>
    </row>
    <row r="872" spans="1:17" ht="12.75" customHeight="1" x14ac:dyDescent="0.2">
      <c r="A872" s="124"/>
      <c r="B872" s="126"/>
      <c r="C872" s="126"/>
      <c r="D872" s="1"/>
      <c r="E872" s="1"/>
      <c r="F872" s="126"/>
      <c r="G872" s="126"/>
      <c r="H872" s="118"/>
      <c r="I872" s="119"/>
      <c r="J872" s="120"/>
      <c r="K872" s="121"/>
      <c r="L872" s="121"/>
      <c r="M872" s="121"/>
      <c r="N872" s="121"/>
      <c r="O872" s="121"/>
      <c r="P872" s="122"/>
      <c r="Q872" s="121"/>
    </row>
    <row r="873" spans="1:17" ht="12.75" customHeight="1" x14ac:dyDescent="0.2">
      <c r="A873" s="124"/>
      <c r="B873" s="126"/>
      <c r="C873" s="126"/>
      <c r="D873" s="1"/>
      <c r="E873" s="1"/>
      <c r="F873" s="126"/>
      <c r="G873" s="126"/>
      <c r="H873" s="118"/>
      <c r="I873" s="119"/>
      <c r="J873" s="120"/>
      <c r="K873" s="121"/>
      <c r="L873" s="121"/>
      <c r="M873" s="121"/>
      <c r="N873" s="121"/>
      <c r="O873" s="121"/>
      <c r="P873" s="122"/>
      <c r="Q873" s="121"/>
    </row>
    <row r="874" spans="1:17" ht="12.75" customHeight="1" x14ac:dyDescent="0.2">
      <c r="A874" s="124"/>
      <c r="B874" s="126"/>
      <c r="C874" s="126"/>
      <c r="D874" s="1"/>
      <c r="E874" s="1"/>
      <c r="F874" s="126"/>
      <c r="G874" s="126"/>
      <c r="H874" s="118"/>
      <c r="I874" s="119"/>
      <c r="J874" s="120"/>
      <c r="K874" s="121"/>
      <c r="L874" s="121"/>
      <c r="M874" s="121"/>
      <c r="N874" s="121"/>
      <c r="O874" s="121"/>
      <c r="P874" s="122"/>
      <c r="Q874" s="121"/>
    </row>
    <row r="875" spans="1:17" ht="12.75" customHeight="1" x14ac:dyDescent="0.2">
      <c r="A875" s="124"/>
      <c r="B875" s="126"/>
      <c r="C875" s="126"/>
      <c r="D875" s="1"/>
      <c r="E875" s="1"/>
      <c r="F875" s="126"/>
      <c r="G875" s="126"/>
      <c r="H875" s="118"/>
      <c r="I875" s="119"/>
      <c r="J875" s="120"/>
      <c r="K875" s="121"/>
      <c r="L875" s="121"/>
      <c r="M875" s="121"/>
      <c r="N875" s="121"/>
      <c r="O875" s="121"/>
      <c r="P875" s="122"/>
      <c r="Q875" s="121"/>
    </row>
    <row r="876" spans="1:17" ht="12.75" customHeight="1" x14ac:dyDescent="0.2">
      <c r="A876" s="124"/>
      <c r="B876" s="126"/>
      <c r="C876" s="126"/>
      <c r="D876" s="1"/>
      <c r="E876" s="1"/>
      <c r="F876" s="126"/>
      <c r="G876" s="126"/>
      <c r="H876" s="118"/>
      <c r="I876" s="119"/>
      <c r="J876" s="120"/>
      <c r="K876" s="121"/>
      <c r="L876" s="121"/>
      <c r="M876" s="121"/>
      <c r="N876" s="121"/>
      <c r="O876" s="121"/>
      <c r="P876" s="122"/>
      <c r="Q876" s="121"/>
    </row>
    <row r="877" spans="1:17" ht="12.75" customHeight="1" x14ac:dyDescent="0.2">
      <c r="A877" s="124"/>
      <c r="B877" s="126"/>
      <c r="C877" s="126"/>
      <c r="D877" s="1"/>
      <c r="E877" s="1"/>
      <c r="F877" s="126"/>
      <c r="G877" s="126"/>
      <c r="H877" s="118"/>
      <c r="I877" s="119"/>
      <c r="J877" s="120"/>
      <c r="K877" s="121"/>
      <c r="L877" s="121"/>
      <c r="M877" s="121"/>
      <c r="N877" s="121"/>
      <c r="O877" s="121"/>
      <c r="P877" s="122"/>
      <c r="Q877" s="121"/>
    </row>
    <row r="878" spans="1:17" ht="12.75" customHeight="1" x14ac:dyDescent="0.2">
      <c r="A878" s="124"/>
      <c r="B878" s="126"/>
      <c r="C878" s="126"/>
      <c r="D878" s="1"/>
      <c r="E878" s="1"/>
      <c r="F878" s="126"/>
      <c r="G878" s="126"/>
      <c r="H878" s="118"/>
      <c r="I878" s="119"/>
      <c r="J878" s="120"/>
      <c r="K878" s="121"/>
      <c r="L878" s="121"/>
      <c r="M878" s="121"/>
      <c r="N878" s="121"/>
      <c r="O878" s="121"/>
      <c r="P878" s="122"/>
      <c r="Q878" s="121"/>
    </row>
    <row r="879" spans="1:17" ht="12.75" customHeight="1" x14ac:dyDescent="0.2">
      <c r="A879" s="124"/>
      <c r="B879" s="126"/>
      <c r="C879" s="126"/>
      <c r="D879" s="1"/>
      <c r="E879" s="1"/>
      <c r="F879" s="126"/>
      <c r="G879" s="126"/>
      <c r="H879" s="118"/>
      <c r="I879" s="119"/>
      <c r="J879" s="120"/>
      <c r="K879" s="121"/>
      <c r="L879" s="121"/>
      <c r="M879" s="121"/>
      <c r="N879" s="121"/>
      <c r="O879" s="121"/>
      <c r="P879" s="122"/>
      <c r="Q879" s="121"/>
    </row>
    <row r="880" spans="1:17" ht="12.75" customHeight="1" x14ac:dyDescent="0.2">
      <c r="A880" s="124"/>
      <c r="B880" s="126"/>
      <c r="C880" s="126"/>
      <c r="D880" s="1"/>
      <c r="E880" s="1"/>
      <c r="F880" s="126"/>
      <c r="G880" s="126"/>
      <c r="H880" s="118"/>
      <c r="I880" s="119"/>
      <c r="J880" s="120"/>
      <c r="K880" s="121"/>
      <c r="L880" s="121"/>
      <c r="M880" s="121"/>
      <c r="N880" s="121"/>
      <c r="O880" s="121"/>
      <c r="P880" s="122"/>
      <c r="Q880" s="121"/>
    </row>
    <row r="881" spans="1:17" ht="12.75" customHeight="1" x14ac:dyDescent="0.2">
      <c r="A881" s="124"/>
      <c r="B881" s="126"/>
      <c r="C881" s="126"/>
      <c r="D881" s="1"/>
      <c r="E881" s="1"/>
      <c r="F881" s="126"/>
      <c r="G881" s="126"/>
      <c r="H881" s="118"/>
      <c r="I881" s="119"/>
      <c r="J881" s="120"/>
      <c r="K881" s="121"/>
      <c r="L881" s="121"/>
      <c r="M881" s="121"/>
      <c r="N881" s="121"/>
      <c r="O881" s="121"/>
      <c r="P881" s="122"/>
      <c r="Q881" s="121"/>
    </row>
    <row r="882" spans="1:17" ht="12.75" customHeight="1" x14ac:dyDescent="0.2">
      <c r="A882" s="124"/>
      <c r="B882" s="126"/>
      <c r="C882" s="126"/>
      <c r="D882" s="1"/>
      <c r="E882" s="1"/>
      <c r="F882" s="126"/>
      <c r="G882" s="126"/>
      <c r="H882" s="118"/>
      <c r="I882" s="119"/>
      <c r="J882" s="120"/>
      <c r="K882" s="121"/>
      <c r="L882" s="121"/>
      <c r="M882" s="121"/>
      <c r="N882" s="121"/>
      <c r="O882" s="121"/>
      <c r="P882" s="122"/>
      <c r="Q882" s="121"/>
    </row>
    <row r="883" spans="1:17" ht="12.75" customHeight="1" x14ac:dyDescent="0.2">
      <c r="A883" s="124"/>
      <c r="B883" s="126"/>
      <c r="C883" s="126"/>
      <c r="D883" s="1"/>
      <c r="E883" s="1"/>
      <c r="F883" s="126"/>
      <c r="G883" s="126"/>
      <c r="H883" s="118"/>
      <c r="I883" s="119"/>
      <c r="J883" s="120"/>
      <c r="K883" s="121"/>
      <c r="L883" s="121"/>
      <c r="M883" s="121"/>
      <c r="N883" s="121"/>
      <c r="O883" s="121"/>
      <c r="P883" s="122"/>
      <c r="Q883" s="121"/>
    </row>
    <row r="884" spans="1:17" ht="12.75" customHeight="1" x14ac:dyDescent="0.2">
      <c r="A884" s="124"/>
      <c r="B884" s="126"/>
      <c r="C884" s="126"/>
      <c r="D884" s="1"/>
      <c r="E884" s="1"/>
      <c r="F884" s="126"/>
      <c r="G884" s="126"/>
      <c r="H884" s="118"/>
      <c r="I884" s="119"/>
      <c r="J884" s="120"/>
      <c r="K884" s="121"/>
      <c r="L884" s="121"/>
      <c r="M884" s="121"/>
      <c r="N884" s="121"/>
      <c r="O884" s="121"/>
      <c r="P884" s="122"/>
      <c r="Q884" s="121"/>
    </row>
    <row r="885" spans="1:17" ht="12.75" customHeight="1" x14ac:dyDescent="0.2">
      <c r="A885" s="124"/>
      <c r="B885" s="126"/>
      <c r="C885" s="126"/>
      <c r="D885" s="1"/>
      <c r="E885" s="1"/>
      <c r="F885" s="126"/>
      <c r="G885" s="126"/>
      <c r="H885" s="118"/>
      <c r="I885" s="119"/>
      <c r="J885" s="120"/>
      <c r="K885" s="121"/>
      <c r="L885" s="121"/>
      <c r="M885" s="121"/>
      <c r="N885" s="121"/>
      <c r="O885" s="121"/>
      <c r="P885" s="122"/>
      <c r="Q885" s="121"/>
    </row>
    <row r="886" spans="1:17" ht="12.75" customHeight="1" x14ac:dyDescent="0.2">
      <c r="A886" s="124"/>
      <c r="B886" s="126"/>
      <c r="C886" s="126"/>
      <c r="D886" s="1"/>
      <c r="E886" s="1"/>
      <c r="F886" s="126"/>
      <c r="G886" s="126"/>
      <c r="H886" s="118"/>
      <c r="I886" s="119"/>
      <c r="J886" s="120"/>
      <c r="K886" s="121"/>
      <c r="L886" s="121"/>
      <c r="M886" s="121"/>
      <c r="N886" s="121"/>
      <c r="O886" s="121"/>
      <c r="P886" s="122"/>
      <c r="Q886" s="121"/>
    </row>
    <row r="887" spans="1:17" ht="12.75" customHeight="1" x14ac:dyDescent="0.2">
      <c r="A887" s="124"/>
      <c r="B887" s="126"/>
      <c r="C887" s="126"/>
      <c r="D887" s="1"/>
      <c r="E887" s="1"/>
      <c r="F887" s="126"/>
      <c r="G887" s="126"/>
      <c r="H887" s="118"/>
      <c r="I887" s="119"/>
      <c r="J887" s="120"/>
      <c r="K887" s="121"/>
      <c r="L887" s="121"/>
      <c r="M887" s="121"/>
      <c r="N887" s="121"/>
      <c r="O887" s="121"/>
      <c r="P887" s="122"/>
      <c r="Q887" s="121"/>
    </row>
    <row r="888" spans="1:17" ht="12.75" customHeight="1" x14ac:dyDescent="0.2">
      <c r="A888" s="124"/>
      <c r="B888" s="126"/>
      <c r="C888" s="126"/>
      <c r="D888" s="1"/>
      <c r="E888" s="1"/>
      <c r="F888" s="126"/>
      <c r="G888" s="126"/>
      <c r="H888" s="118"/>
      <c r="I888" s="119"/>
      <c r="J888" s="120"/>
      <c r="K888" s="121"/>
      <c r="L888" s="121"/>
      <c r="M888" s="121"/>
      <c r="N888" s="121"/>
      <c r="O888" s="121"/>
      <c r="P888" s="122"/>
      <c r="Q888" s="121"/>
    </row>
    <row r="889" spans="1:17" ht="12.75" customHeight="1" x14ac:dyDescent="0.2">
      <c r="A889" s="124"/>
      <c r="B889" s="126"/>
      <c r="C889" s="126"/>
      <c r="D889" s="1"/>
      <c r="E889" s="1"/>
      <c r="F889" s="126"/>
      <c r="G889" s="126"/>
      <c r="H889" s="118"/>
      <c r="I889" s="119"/>
      <c r="J889" s="120"/>
      <c r="K889" s="121"/>
      <c r="L889" s="121"/>
      <c r="M889" s="121"/>
      <c r="N889" s="121"/>
      <c r="O889" s="121"/>
      <c r="P889" s="122"/>
      <c r="Q889" s="121"/>
    </row>
    <row r="890" spans="1:17" ht="12.75" customHeight="1" x14ac:dyDescent="0.2">
      <c r="A890" s="124"/>
      <c r="B890" s="126"/>
      <c r="C890" s="126"/>
      <c r="D890" s="1"/>
      <c r="E890" s="1"/>
      <c r="F890" s="126"/>
      <c r="G890" s="126"/>
      <c r="H890" s="118"/>
      <c r="I890" s="119"/>
      <c r="J890" s="120"/>
      <c r="K890" s="121"/>
      <c r="L890" s="121"/>
      <c r="M890" s="121"/>
      <c r="N890" s="121"/>
      <c r="O890" s="121"/>
      <c r="P890" s="122"/>
      <c r="Q890" s="121"/>
    </row>
    <row r="891" spans="1:17" ht="12.75" customHeight="1" x14ac:dyDescent="0.2">
      <c r="A891" s="124"/>
      <c r="B891" s="126"/>
      <c r="C891" s="126"/>
      <c r="D891" s="1"/>
      <c r="E891" s="1"/>
      <c r="F891" s="126"/>
      <c r="G891" s="126"/>
      <c r="H891" s="118"/>
      <c r="I891" s="119"/>
      <c r="J891" s="120"/>
      <c r="K891" s="121"/>
      <c r="L891" s="121"/>
      <c r="M891" s="121"/>
      <c r="N891" s="121"/>
      <c r="O891" s="121"/>
      <c r="P891" s="122"/>
      <c r="Q891" s="121"/>
    </row>
    <row r="892" spans="1:17" ht="12.75" customHeight="1" x14ac:dyDescent="0.2">
      <c r="A892" s="124"/>
      <c r="B892" s="126"/>
      <c r="C892" s="126"/>
      <c r="D892" s="1"/>
      <c r="E892" s="1"/>
      <c r="F892" s="126"/>
      <c r="G892" s="126"/>
      <c r="H892" s="118"/>
      <c r="I892" s="119"/>
      <c r="J892" s="120"/>
      <c r="K892" s="121"/>
      <c r="L892" s="121"/>
      <c r="M892" s="121"/>
      <c r="N892" s="121"/>
      <c r="O892" s="121"/>
      <c r="P892" s="122"/>
      <c r="Q892" s="121"/>
    </row>
    <row r="893" spans="1:17" ht="12.75" customHeight="1" x14ac:dyDescent="0.2">
      <c r="A893" s="124"/>
      <c r="B893" s="126"/>
      <c r="C893" s="126"/>
      <c r="D893" s="1"/>
      <c r="E893" s="1"/>
      <c r="F893" s="126"/>
      <c r="G893" s="126"/>
      <c r="H893" s="118"/>
      <c r="I893" s="119"/>
      <c r="J893" s="120"/>
      <c r="K893" s="121"/>
      <c r="L893" s="121"/>
      <c r="M893" s="121"/>
      <c r="N893" s="121"/>
      <c r="O893" s="121"/>
      <c r="P893" s="122"/>
      <c r="Q893" s="121"/>
    </row>
    <row r="894" spans="1:17" ht="12.75" customHeight="1" x14ac:dyDescent="0.2">
      <c r="A894" s="124"/>
      <c r="B894" s="126"/>
      <c r="C894" s="126"/>
      <c r="D894" s="1"/>
      <c r="E894" s="1"/>
      <c r="F894" s="126"/>
      <c r="G894" s="126"/>
      <c r="H894" s="118"/>
      <c r="I894" s="119"/>
      <c r="J894" s="120"/>
      <c r="K894" s="121"/>
      <c r="L894" s="121"/>
      <c r="M894" s="121"/>
      <c r="N894" s="121"/>
      <c r="O894" s="121"/>
      <c r="P894" s="122"/>
      <c r="Q894" s="121"/>
    </row>
    <row r="895" spans="1:17" ht="12.75" customHeight="1" x14ac:dyDescent="0.2">
      <c r="A895" s="124"/>
      <c r="B895" s="126"/>
      <c r="C895" s="126"/>
      <c r="D895" s="1"/>
      <c r="E895" s="1"/>
      <c r="F895" s="126"/>
      <c r="G895" s="126"/>
      <c r="H895" s="118"/>
      <c r="I895" s="119"/>
      <c r="J895" s="120"/>
      <c r="K895" s="121"/>
      <c r="L895" s="121"/>
      <c r="M895" s="121"/>
      <c r="N895" s="121"/>
      <c r="O895" s="121"/>
      <c r="P895" s="122"/>
      <c r="Q895" s="121"/>
    </row>
    <row r="896" spans="1:17" ht="12.75" customHeight="1" x14ac:dyDescent="0.2">
      <c r="A896" s="124"/>
      <c r="B896" s="126"/>
      <c r="C896" s="126"/>
      <c r="D896" s="1"/>
      <c r="E896" s="1"/>
      <c r="F896" s="126"/>
      <c r="G896" s="126"/>
      <c r="H896" s="118"/>
      <c r="I896" s="119"/>
      <c r="J896" s="120"/>
      <c r="K896" s="121"/>
      <c r="L896" s="121"/>
      <c r="M896" s="121"/>
      <c r="N896" s="121"/>
      <c r="O896" s="121"/>
      <c r="P896" s="122"/>
      <c r="Q896" s="121"/>
    </row>
    <row r="897" spans="1:17" ht="12.75" customHeight="1" x14ac:dyDescent="0.2">
      <c r="A897" s="124"/>
      <c r="B897" s="126"/>
      <c r="C897" s="126"/>
      <c r="D897" s="1"/>
      <c r="E897" s="1"/>
      <c r="F897" s="126"/>
      <c r="G897" s="126"/>
      <c r="H897" s="118"/>
      <c r="I897" s="119"/>
      <c r="J897" s="120"/>
      <c r="K897" s="121"/>
      <c r="L897" s="121"/>
      <c r="M897" s="121"/>
      <c r="N897" s="121"/>
      <c r="O897" s="121"/>
      <c r="P897" s="122"/>
      <c r="Q897" s="121"/>
    </row>
    <row r="898" spans="1:17" ht="12.75" customHeight="1" x14ac:dyDescent="0.2">
      <c r="A898" s="124"/>
      <c r="B898" s="126"/>
      <c r="C898" s="126"/>
      <c r="D898" s="1"/>
      <c r="E898" s="1"/>
      <c r="F898" s="126"/>
      <c r="G898" s="126"/>
      <c r="H898" s="118"/>
      <c r="I898" s="119"/>
      <c r="J898" s="120"/>
      <c r="K898" s="121"/>
      <c r="L898" s="121"/>
      <c r="M898" s="121"/>
      <c r="N898" s="121"/>
      <c r="O898" s="121"/>
      <c r="P898" s="122"/>
      <c r="Q898" s="121"/>
    </row>
    <row r="899" spans="1:17" ht="12.75" customHeight="1" x14ac:dyDescent="0.2">
      <c r="A899" s="124"/>
      <c r="B899" s="126"/>
      <c r="C899" s="126"/>
      <c r="D899" s="1"/>
      <c r="E899" s="1"/>
      <c r="F899" s="126"/>
      <c r="G899" s="126"/>
      <c r="H899" s="118"/>
      <c r="I899" s="119"/>
      <c r="J899" s="120"/>
      <c r="K899" s="121"/>
      <c r="L899" s="121"/>
      <c r="M899" s="121"/>
      <c r="N899" s="121"/>
      <c r="O899" s="121"/>
      <c r="P899" s="122"/>
      <c r="Q899" s="121"/>
    </row>
    <row r="900" spans="1:17" ht="12.75" customHeight="1" x14ac:dyDescent="0.2">
      <c r="A900" s="124"/>
      <c r="B900" s="126"/>
      <c r="C900" s="126"/>
      <c r="D900" s="1"/>
      <c r="E900" s="1"/>
      <c r="F900" s="126"/>
      <c r="G900" s="126"/>
      <c r="H900" s="118"/>
      <c r="I900" s="119"/>
      <c r="J900" s="120"/>
      <c r="K900" s="121"/>
      <c r="L900" s="121"/>
      <c r="M900" s="121"/>
      <c r="N900" s="121"/>
      <c r="O900" s="121"/>
      <c r="P900" s="122"/>
      <c r="Q900" s="121"/>
    </row>
    <row r="901" spans="1:17" ht="12.75" customHeight="1" x14ac:dyDescent="0.2">
      <c r="A901" s="124"/>
      <c r="B901" s="126"/>
      <c r="C901" s="126"/>
      <c r="D901" s="1"/>
      <c r="E901" s="1"/>
      <c r="F901" s="126"/>
      <c r="G901" s="126"/>
      <c r="H901" s="118"/>
      <c r="I901" s="119"/>
      <c r="J901" s="120"/>
      <c r="K901" s="121"/>
      <c r="L901" s="121"/>
      <c r="M901" s="121"/>
      <c r="N901" s="121"/>
      <c r="O901" s="121"/>
      <c r="P901" s="122"/>
      <c r="Q901" s="121"/>
    </row>
    <row r="902" spans="1:17" ht="12.75" customHeight="1" x14ac:dyDescent="0.2">
      <c r="A902" s="124"/>
      <c r="B902" s="126"/>
      <c r="C902" s="126"/>
      <c r="D902" s="1"/>
      <c r="E902" s="1"/>
      <c r="F902" s="126"/>
      <c r="G902" s="126"/>
      <c r="H902" s="118"/>
      <c r="I902" s="119"/>
      <c r="J902" s="120"/>
      <c r="K902" s="121"/>
      <c r="L902" s="121"/>
      <c r="M902" s="121"/>
      <c r="N902" s="121"/>
      <c r="O902" s="121"/>
      <c r="P902" s="122"/>
      <c r="Q902" s="121"/>
    </row>
    <row r="903" spans="1:17" ht="12.75" customHeight="1" x14ac:dyDescent="0.2">
      <c r="A903" s="124"/>
      <c r="B903" s="126"/>
      <c r="C903" s="126"/>
      <c r="D903" s="1"/>
      <c r="E903" s="1"/>
      <c r="F903" s="126"/>
      <c r="G903" s="126"/>
      <c r="H903" s="118"/>
      <c r="I903" s="119"/>
      <c r="J903" s="120"/>
      <c r="K903" s="121"/>
      <c r="L903" s="121"/>
      <c r="M903" s="121"/>
      <c r="N903" s="121"/>
      <c r="O903" s="121"/>
      <c r="P903" s="122"/>
      <c r="Q903" s="121"/>
    </row>
    <row r="904" spans="1:17" ht="12.75" customHeight="1" x14ac:dyDescent="0.2">
      <c r="A904" s="124"/>
      <c r="B904" s="126"/>
      <c r="C904" s="126"/>
      <c r="D904" s="1"/>
      <c r="E904" s="1"/>
      <c r="F904" s="126"/>
      <c r="G904" s="126"/>
      <c r="H904" s="118"/>
      <c r="I904" s="119"/>
      <c r="J904" s="120"/>
      <c r="K904" s="121"/>
      <c r="L904" s="121"/>
      <c r="M904" s="121"/>
      <c r="N904" s="121"/>
      <c r="O904" s="121"/>
      <c r="P904" s="122"/>
      <c r="Q904" s="121"/>
    </row>
    <row r="905" spans="1:17" ht="12.75" customHeight="1" x14ac:dyDescent="0.2">
      <c r="A905" s="124"/>
      <c r="B905" s="126"/>
      <c r="C905" s="126"/>
      <c r="D905" s="1"/>
      <c r="E905" s="1"/>
      <c r="F905" s="126"/>
      <c r="G905" s="126"/>
      <c r="H905" s="118"/>
      <c r="I905" s="119"/>
      <c r="J905" s="120"/>
      <c r="K905" s="121"/>
      <c r="L905" s="121"/>
      <c r="M905" s="121"/>
      <c r="N905" s="121"/>
      <c r="O905" s="121"/>
      <c r="P905" s="122"/>
      <c r="Q905" s="121"/>
    </row>
    <row r="906" spans="1:17" ht="12.75" customHeight="1" x14ac:dyDescent="0.2">
      <c r="A906" s="124"/>
      <c r="B906" s="126"/>
      <c r="C906" s="126"/>
      <c r="D906" s="1"/>
      <c r="E906" s="1"/>
      <c r="F906" s="126"/>
      <c r="G906" s="126"/>
      <c r="H906" s="118"/>
      <c r="I906" s="119"/>
      <c r="J906" s="120"/>
      <c r="K906" s="121"/>
      <c r="L906" s="121"/>
      <c r="M906" s="121"/>
      <c r="N906" s="121"/>
      <c r="O906" s="121"/>
      <c r="P906" s="122"/>
      <c r="Q906" s="121"/>
    </row>
    <row r="907" spans="1:17" ht="12.75" customHeight="1" x14ac:dyDescent="0.2">
      <c r="A907" s="124"/>
      <c r="B907" s="126"/>
      <c r="C907" s="126"/>
      <c r="D907" s="1"/>
      <c r="E907" s="1"/>
      <c r="F907" s="126"/>
      <c r="G907" s="126"/>
      <c r="H907" s="118"/>
      <c r="I907" s="119"/>
      <c r="J907" s="120"/>
      <c r="K907" s="121"/>
      <c r="L907" s="121"/>
      <c r="M907" s="121"/>
      <c r="N907" s="121"/>
      <c r="O907" s="121"/>
      <c r="P907" s="122"/>
      <c r="Q907" s="121"/>
    </row>
    <row r="908" spans="1:17" ht="12.75" customHeight="1" x14ac:dyDescent="0.2">
      <c r="A908" s="124"/>
      <c r="B908" s="126"/>
      <c r="C908" s="126"/>
      <c r="D908" s="1"/>
      <c r="E908" s="1"/>
      <c r="F908" s="126"/>
      <c r="G908" s="126"/>
      <c r="H908" s="118"/>
      <c r="I908" s="119"/>
      <c r="J908" s="120"/>
      <c r="K908" s="121"/>
      <c r="L908" s="121"/>
      <c r="M908" s="121"/>
      <c r="N908" s="121"/>
      <c r="O908" s="121"/>
      <c r="P908" s="122"/>
      <c r="Q908" s="121"/>
    </row>
    <row r="909" spans="1:17" ht="12.75" customHeight="1" x14ac:dyDescent="0.2">
      <c r="A909" s="124"/>
      <c r="B909" s="126"/>
      <c r="C909" s="126"/>
      <c r="D909" s="1"/>
      <c r="E909" s="1"/>
      <c r="F909" s="126"/>
      <c r="G909" s="126"/>
      <c r="H909" s="118"/>
      <c r="I909" s="119"/>
      <c r="J909" s="120"/>
      <c r="K909" s="121"/>
      <c r="L909" s="121"/>
      <c r="M909" s="121"/>
      <c r="N909" s="121"/>
      <c r="O909" s="121"/>
      <c r="P909" s="122"/>
      <c r="Q909" s="121"/>
    </row>
    <row r="910" spans="1:17" ht="12.75" customHeight="1" x14ac:dyDescent="0.2">
      <c r="A910" s="124"/>
      <c r="B910" s="126"/>
      <c r="C910" s="126"/>
      <c r="D910" s="1"/>
      <c r="E910" s="1"/>
      <c r="F910" s="126"/>
      <c r="G910" s="126"/>
      <c r="H910" s="118"/>
      <c r="I910" s="119"/>
      <c r="J910" s="120"/>
      <c r="K910" s="121"/>
      <c r="L910" s="121"/>
      <c r="M910" s="121"/>
      <c r="N910" s="121"/>
      <c r="O910" s="121"/>
      <c r="P910" s="122"/>
      <c r="Q910" s="121"/>
    </row>
    <row r="911" spans="1:17" ht="12.75" customHeight="1" x14ac:dyDescent="0.2">
      <c r="A911" s="124"/>
      <c r="B911" s="126"/>
      <c r="C911" s="126"/>
      <c r="D911" s="1"/>
      <c r="E911" s="1"/>
      <c r="F911" s="126"/>
      <c r="G911" s="126"/>
      <c r="H911" s="118"/>
      <c r="I911" s="119"/>
      <c r="J911" s="120"/>
      <c r="K911" s="121"/>
      <c r="L911" s="121"/>
      <c r="M911" s="121"/>
      <c r="N911" s="121"/>
      <c r="O911" s="121"/>
      <c r="P911" s="122"/>
      <c r="Q911" s="121"/>
    </row>
    <row r="912" spans="1:17" ht="12.75" customHeight="1" x14ac:dyDescent="0.2">
      <c r="A912" s="124"/>
      <c r="B912" s="126"/>
      <c r="C912" s="126"/>
      <c r="D912" s="1"/>
      <c r="E912" s="1"/>
      <c r="F912" s="126"/>
      <c r="G912" s="126"/>
      <c r="H912" s="118"/>
      <c r="I912" s="119"/>
      <c r="J912" s="120"/>
      <c r="K912" s="121"/>
      <c r="L912" s="121"/>
      <c r="M912" s="121"/>
      <c r="N912" s="121"/>
      <c r="O912" s="121"/>
      <c r="P912" s="122"/>
      <c r="Q912" s="121"/>
    </row>
    <row r="913" spans="1:17" ht="12.75" customHeight="1" x14ac:dyDescent="0.2">
      <c r="A913" s="124"/>
      <c r="B913" s="126"/>
      <c r="C913" s="126"/>
      <c r="D913" s="1"/>
      <c r="E913" s="1"/>
      <c r="F913" s="126"/>
      <c r="G913" s="126"/>
      <c r="H913" s="118"/>
      <c r="I913" s="119"/>
      <c r="J913" s="120"/>
      <c r="K913" s="121"/>
      <c r="L913" s="121"/>
      <c r="M913" s="121"/>
      <c r="N913" s="121"/>
      <c r="O913" s="121"/>
      <c r="P913" s="122"/>
      <c r="Q913" s="121"/>
    </row>
    <row r="914" spans="1:17" ht="12.75" customHeight="1" x14ac:dyDescent="0.2">
      <c r="A914" s="124"/>
      <c r="B914" s="126"/>
      <c r="C914" s="126"/>
      <c r="D914" s="1"/>
      <c r="E914" s="1"/>
      <c r="F914" s="126"/>
      <c r="G914" s="126"/>
      <c r="H914" s="118"/>
      <c r="I914" s="119"/>
      <c r="J914" s="120"/>
      <c r="K914" s="121"/>
      <c r="L914" s="121"/>
      <c r="M914" s="121"/>
      <c r="N914" s="121"/>
      <c r="O914" s="121"/>
      <c r="P914" s="122"/>
      <c r="Q914" s="121"/>
    </row>
    <row r="915" spans="1:17" ht="12.75" customHeight="1" x14ac:dyDescent="0.2">
      <c r="A915" s="124"/>
      <c r="B915" s="126"/>
      <c r="C915" s="126"/>
      <c r="D915" s="1"/>
      <c r="E915" s="1"/>
      <c r="F915" s="126"/>
      <c r="G915" s="126"/>
      <c r="H915" s="118"/>
      <c r="I915" s="119"/>
      <c r="J915" s="120"/>
      <c r="K915" s="121"/>
      <c r="L915" s="121"/>
      <c r="M915" s="121"/>
      <c r="N915" s="121"/>
      <c r="O915" s="121"/>
      <c r="P915" s="122"/>
      <c r="Q915" s="121"/>
    </row>
    <row r="916" spans="1:17" ht="12.75" customHeight="1" x14ac:dyDescent="0.2">
      <c r="A916" s="124"/>
      <c r="B916" s="126"/>
      <c r="C916" s="126"/>
      <c r="D916" s="1"/>
      <c r="E916" s="1"/>
      <c r="F916" s="126"/>
      <c r="G916" s="126"/>
      <c r="H916" s="118"/>
      <c r="I916" s="119"/>
      <c r="J916" s="120"/>
      <c r="K916" s="121"/>
      <c r="L916" s="121"/>
      <c r="M916" s="121"/>
      <c r="N916" s="121"/>
      <c r="O916" s="121"/>
      <c r="P916" s="122"/>
      <c r="Q916" s="121"/>
    </row>
    <row r="917" spans="1:17" ht="12.75" customHeight="1" x14ac:dyDescent="0.2">
      <c r="A917" s="124"/>
      <c r="B917" s="126"/>
      <c r="C917" s="126"/>
      <c r="D917" s="1"/>
      <c r="E917" s="1"/>
      <c r="F917" s="126"/>
      <c r="G917" s="126"/>
      <c r="H917" s="118"/>
      <c r="I917" s="119"/>
      <c r="J917" s="120"/>
      <c r="K917" s="121"/>
      <c r="L917" s="121"/>
      <c r="M917" s="121"/>
      <c r="N917" s="121"/>
      <c r="O917" s="121"/>
      <c r="P917" s="122"/>
      <c r="Q917" s="121"/>
    </row>
    <row r="918" spans="1:17" ht="12.75" customHeight="1" x14ac:dyDescent="0.2">
      <c r="A918" s="124"/>
      <c r="B918" s="126"/>
      <c r="C918" s="126"/>
      <c r="D918" s="1"/>
      <c r="E918" s="1"/>
      <c r="F918" s="126"/>
      <c r="G918" s="126"/>
      <c r="H918" s="118"/>
      <c r="I918" s="119"/>
      <c r="J918" s="120"/>
      <c r="K918" s="121"/>
      <c r="L918" s="121"/>
      <c r="M918" s="121"/>
      <c r="N918" s="121"/>
      <c r="O918" s="121"/>
      <c r="P918" s="122"/>
      <c r="Q918" s="121"/>
    </row>
    <row r="919" spans="1:17" ht="12.75" customHeight="1" x14ac:dyDescent="0.2">
      <c r="A919" s="124"/>
      <c r="B919" s="126"/>
      <c r="C919" s="126"/>
      <c r="D919" s="1"/>
      <c r="E919" s="1"/>
      <c r="F919" s="126"/>
      <c r="G919" s="126"/>
      <c r="H919" s="118"/>
      <c r="I919" s="119"/>
      <c r="J919" s="120"/>
      <c r="K919" s="121"/>
      <c r="L919" s="121"/>
      <c r="M919" s="121"/>
      <c r="N919" s="121"/>
      <c r="O919" s="121"/>
      <c r="P919" s="122"/>
      <c r="Q919" s="121"/>
    </row>
    <row r="920" spans="1:17" ht="12.75" customHeight="1" x14ac:dyDescent="0.2">
      <c r="A920" s="124"/>
      <c r="B920" s="126"/>
      <c r="C920" s="126"/>
      <c r="D920" s="1"/>
      <c r="E920" s="1"/>
      <c r="F920" s="126"/>
      <c r="G920" s="126"/>
      <c r="H920" s="118"/>
      <c r="I920" s="119"/>
      <c r="J920" s="120"/>
      <c r="K920" s="121"/>
      <c r="L920" s="121"/>
      <c r="M920" s="121"/>
      <c r="N920" s="121"/>
      <c r="O920" s="121"/>
      <c r="P920" s="122"/>
      <c r="Q920" s="121"/>
    </row>
    <row r="921" spans="1:17" ht="12.75" customHeight="1" x14ac:dyDescent="0.2">
      <c r="A921" s="124"/>
      <c r="B921" s="126"/>
      <c r="C921" s="126"/>
      <c r="D921" s="1"/>
      <c r="E921" s="1"/>
      <c r="F921" s="126"/>
      <c r="G921" s="126"/>
      <c r="H921" s="118"/>
      <c r="I921" s="119"/>
      <c r="J921" s="120"/>
      <c r="K921" s="121"/>
      <c r="L921" s="121"/>
      <c r="M921" s="121"/>
      <c r="N921" s="121"/>
      <c r="O921" s="121"/>
      <c r="P921" s="122"/>
      <c r="Q921" s="121"/>
    </row>
    <row r="922" spans="1:17" ht="12.75" customHeight="1" x14ac:dyDescent="0.2">
      <c r="A922" s="124"/>
      <c r="B922" s="126"/>
      <c r="C922" s="126"/>
      <c r="D922" s="1"/>
      <c r="E922" s="1"/>
      <c r="F922" s="126"/>
      <c r="G922" s="126"/>
      <c r="H922" s="118"/>
      <c r="I922" s="119"/>
      <c r="J922" s="120"/>
      <c r="K922" s="121"/>
      <c r="L922" s="121"/>
      <c r="M922" s="121"/>
      <c r="N922" s="121"/>
      <c r="O922" s="121"/>
      <c r="P922" s="122"/>
      <c r="Q922" s="121"/>
    </row>
    <row r="923" spans="1:17" ht="12.75" customHeight="1" x14ac:dyDescent="0.2">
      <c r="A923" s="124"/>
      <c r="B923" s="126"/>
      <c r="C923" s="126"/>
      <c r="D923" s="1"/>
      <c r="E923" s="1"/>
      <c r="F923" s="126"/>
      <c r="G923" s="126"/>
      <c r="H923" s="118"/>
      <c r="I923" s="119"/>
      <c r="J923" s="120"/>
      <c r="K923" s="121"/>
      <c r="L923" s="121"/>
      <c r="M923" s="121"/>
      <c r="N923" s="121"/>
      <c r="O923" s="121"/>
      <c r="P923" s="122"/>
      <c r="Q923" s="121"/>
    </row>
    <row r="924" spans="1:17" ht="12.75" customHeight="1" x14ac:dyDescent="0.2">
      <c r="A924" s="124"/>
      <c r="B924" s="126"/>
      <c r="C924" s="126"/>
      <c r="D924" s="1"/>
      <c r="E924" s="1"/>
      <c r="F924" s="126"/>
      <c r="G924" s="126"/>
      <c r="H924" s="118"/>
      <c r="I924" s="119"/>
      <c r="J924" s="120"/>
      <c r="K924" s="121"/>
      <c r="L924" s="121"/>
      <c r="M924" s="121"/>
      <c r="N924" s="121"/>
      <c r="O924" s="121"/>
      <c r="P924" s="122"/>
      <c r="Q924" s="121"/>
    </row>
    <row r="925" spans="1:17" ht="12.75" customHeight="1" x14ac:dyDescent="0.2">
      <c r="A925" s="124"/>
      <c r="B925" s="126"/>
      <c r="C925" s="126"/>
      <c r="D925" s="1"/>
      <c r="E925" s="1"/>
      <c r="F925" s="126"/>
      <c r="G925" s="126"/>
      <c r="H925" s="118"/>
      <c r="I925" s="119"/>
      <c r="J925" s="120"/>
      <c r="K925" s="121"/>
      <c r="L925" s="121"/>
      <c r="M925" s="121"/>
      <c r="N925" s="121"/>
      <c r="O925" s="121"/>
      <c r="P925" s="122"/>
      <c r="Q925" s="121"/>
    </row>
    <row r="926" spans="1:17" ht="12.75" customHeight="1" x14ac:dyDescent="0.2">
      <c r="A926" s="124"/>
      <c r="B926" s="126"/>
      <c r="C926" s="126"/>
      <c r="D926" s="1"/>
      <c r="E926" s="1"/>
      <c r="F926" s="126"/>
      <c r="G926" s="126"/>
      <c r="H926" s="118"/>
      <c r="I926" s="119"/>
      <c r="J926" s="120"/>
      <c r="K926" s="121"/>
      <c r="L926" s="121"/>
      <c r="M926" s="121"/>
      <c r="N926" s="121"/>
      <c r="O926" s="121"/>
      <c r="P926" s="122"/>
      <c r="Q926" s="121"/>
    </row>
    <row r="927" spans="1:17" ht="12.75" customHeight="1" x14ac:dyDescent="0.2">
      <c r="A927" s="124"/>
      <c r="B927" s="126"/>
      <c r="C927" s="126"/>
      <c r="D927" s="1"/>
      <c r="E927" s="1"/>
      <c r="F927" s="126"/>
      <c r="G927" s="126"/>
      <c r="H927" s="118"/>
      <c r="I927" s="119"/>
      <c r="J927" s="120"/>
      <c r="K927" s="121"/>
      <c r="L927" s="121"/>
      <c r="M927" s="121"/>
      <c r="N927" s="121"/>
      <c r="O927" s="121"/>
      <c r="P927" s="122"/>
      <c r="Q927" s="121"/>
    </row>
    <row r="928" spans="1:17" ht="12.75" customHeight="1" x14ac:dyDescent="0.2">
      <c r="A928" s="124"/>
      <c r="B928" s="126"/>
      <c r="C928" s="126"/>
      <c r="D928" s="1"/>
      <c r="E928" s="1"/>
      <c r="F928" s="126"/>
      <c r="G928" s="126"/>
      <c r="H928" s="118"/>
      <c r="I928" s="119"/>
      <c r="J928" s="120"/>
      <c r="K928" s="121"/>
      <c r="L928" s="121"/>
      <c r="M928" s="121"/>
      <c r="N928" s="121"/>
      <c r="O928" s="121"/>
      <c r="P928" s="122"/>
      <c r="Q928" s="121"/>
    </row>
    <row r="929" spans="1:17" ht="12.75" customHeight="1" x14ac:dyDescent="0.2">
      <c r="A929" s="124"/>
      <c r="B929" s="126"/>
      <c r="C929" s="126"/>
      <c r="D929" s="1"/>
      <c r="E929" s="1"/>
      <c r="F929" s="126"/>
      <c r="G929" s="126"/>
      <c r="H929" s="118"/>
      <c r="I929" s="119"/>
      <c r="J929" s="120"/>
      <c r="K929" s="121"/>
      <c r="L929" s="121"/>
      <c r="M929" s="121"/>
      <c r="N929" s="121"/>
      <c r="O929" s="121"/>
      <c r="P929" s="122"/>
      <c r="Q929" s="121"/>
    </row>
    <row r="930" spans="1:17" ht="12.75" customHeight="1" x14ac:dyDescent="0.2">
      <c r="A930" s="124"/>
      <c r="B930" s="126"/>
      <c r="C930" s="126"/>
      <c r="D930" s="1"/>
      <c r="E930" s="1"/>
      <c r="F930" s="126"/>
      <c r="G930" s="126"/>
      <c r="H930" s="118"/>
      <c r="I930" s="119"/>
      <c r="J930" s="120"/>
      <c r="K930" s="121"/>
      <c r="L930" s="121"/>
      <c r="M930" s="121"/>
      <c r="N930" s="121"/>
      <c r="O930" s="121"/>
      <c r="P930" s="122"/>
      <c r="Q930" s="121"/>
    </row>
    <row r="931" spans="1:17" ht="12.75" customHeight="1" x14ac:dyDescent="0.2">
      <c r="A931" s="124"/>
      <c r="B931" s="126"/>
      <c r="C931" s="126"/>
      <c r="D931" s="1"/>
      <c r="E931" s="1"/>
      <c r="F931" s="126"/>
      <c r="G931" s="126"/>
      <c r="H931" s="118"/>
      <c r="I931" s="119"/>
      <c r="J931" s="120"/>
      <c r="K931" s="121"/>
      <c r="L931" s="121"/>
      <c r="M931" s="121"/>
      <c r="N931" s="121"/>
      <c r="O931" s="121"/>
      <c r="P931" s="122"/>
      <c r="Q931" s="121"/>
    </row>
    <row r="932" spans="1:17" ht="12.75" customHeight="1" x14ac:dyDescent="0.2">
      <c r="A932" s="124"/>
      <c r="B932" s="126"/>
      <c r="C932" s="126"/>
      <c r="D932" s="1"/>
      <c r="E932" s="1"/>
      <c r="F932" s="126"/>
      <c r="G932" s="126"/>
      <c r="H932" s="118"/>
      <c r="I932" s="119"/>
      <c r="J932" s="120"/>
      <c r="K932" s="121"/>
      <c r="L932" s="121"/>
      <c r="M932" s="121"/>
      <c r="N932" s="121"/>
      <c r="O932" s="121"/>
      <c r="P932" s="122"/>
      <c r="Q932" s="121"/>
    </row>
    <row r="933" spans="1:17" ht="12.75" customHeight="1" x14ac:dyDescent="0.2">
      <c r="A933" s="124"/>
      <c r="B933" s="126"/>
      <c r="C933" s="126"/>
      <c r="D933" s="1"/>
      <c r="E933" s="1"/>
      <c r="F933" s="126"/>
      <c r="G933" s="126"/>
      <c r="H933" s="118"/>
      <c r="I933" s="119"/>
      <c r="J933" s="120"/>
      <c r="K933" s="121"/>
      <c r="L933" s="121"/>
      <c r="M933" s="121"/>
      <c r="N933" s="121"/>
      <c r="O933" s="121"/>
      <c r="P933" s="122"/>
      <c r="Q933" s="121"/>
    </row>
    <row r="934" spans="1:17" ht="12.75" customHeight="1" x14ac:dyDescent="0.2">
      <c r="A934" s="124"/>
      <c r="B934" s="126"/>
      <c r="C934" s="126"/>
      <c r="D934" s="1"/>
      <c r="E934" s="1"/>
      <c r="F934" s="126"/>
      <c r="G934" s="126"/>
      <c r="H934" s="118"/>
      <c r="I934" s="119"/>
      <c r="J934" s="120"/>
      <c r="K934" s="121"/>
      <c r="L934" s="121"/>
      <c r="M934" s="121"/>
      <c r="N934" s="121"/>
      <c r="O934" s="121"/>
      <c r="P934" s="122"/>
      <c r="Q934" s="121"/>
    </row>
    <row r="935" spans="1:17" ht="12.75" customHeight="1" x14ac:dyDescent="0.2">
      <c r="A935" s="124"/>
      <c r="B935" s="126"/>
      <c r="C935" s="126"/>
      <c r="D935" s="1"/>
      <c r="E935" s="1"/>
      <c r="F935" s="126"/>
      <c r="G935" s="126"/>
      <c r="H935" s="118"/>
      <c r="I935" s="119"/>
      <c r="J935" s="120"/>
      <c r="K935" s="121"/>
      <c r="L935" s="121"/>
      <c r="M935" s="121"/>
      <c r="N935" s="121"/>
      <c r="O935" s="121"/>
      <c r="P935" s="122"/>
      <c r="Q935" s="121"/>
    </row>
    <row r="936" spans="1:17" ht="12.75" customHeight="1" x14ac:dyDescent="0.2">
      <c r="A936" s="124"/>
      <c r="B936" s="126"/>
      <c r="C936" s="126"/>
      <c r="D936" s="1"/>
      <c r="E936" s="1"/>
      <c r="F936" s="126"/>
      <c r="G936" s="126"/>
      <c r="H936" s="118"/>
      <c r="I936" s="119"/>
      <c r="J936" s="120"/>
      <c r="K936" s="121"/>
      <c r="L936" s="121"/>
      <c r="M936" s="121"/>
      <c r="N936" s="121"/>
      <c r="O936" s="121"/>
      <c r="P936" s="122"/>
      <c r="Q936" s="121"/>
    </row>
    <row r="937" spans="1:17" ht="12.75" customHeight="1" x14ac:dyDescent="0.2">
      <c r="A937" s="124"/>
      <c r="B937" s="126"/>
      <c r="C937" s="126"/>
      <c r="D937" s="1"/>
      <c r="E937" s="1"/>
      <c r="F937" s="126"/>
      <c r="G937" s="126"/>
      <c r="H937" s="118"/>
      <c r="I937" s="119"/>
      <c r="J937" s="120"/>
      <c r="K937" s="121"/>
      <c r="L937" s="121"/>
      <c r="M937" s="121"/>
      <c r="N937" s="121"/>
      <c r="O937" s="121"/>
      <c r="P937" s="122"/>
      <c r="Q937" s="121"/>
    </row>
    <row r="938" spans="1:17" ht="12.75" customHeight="1" x14ac:dyDescent="0.2">
      <c r="A938" s="124"/>
      <c r="B938" s="126"/>
      <c r="C938" s="126"/>
      <c r="D938" s="1"/>
      <c r="E938" s="1"/>
      <c r="F938" s="126"/>
      <c r="G938" s="126"/>
      <c r="H938" s="118"/>
      <c r="I938" s="119"/>
      <c r="J938" s="120"/>
      <c r="K938" s="121"/>
      <c r="L938" s="121"/>
      <c r="M938" s="121"/>
      <c r="N938" s="121"/>
      <c r="O938" s="121"/>
      <c r="P938" s="122"/>
      <c r="Q938" s="121"/>
    </row>
    <row r="939" spans="1:17" ht="12.75" customHeight="1" x14ac:dyDescent="0.2">
      <c r="A939" s="124"/>
      <c r="B939" s="126"/>
      <c r="C939" s="126"/>
      <c r="D939" s="1"/>
      <c r="E939" s="1"/>
      <c r="F939" s="126"/>
      <c r="G939" s="126"/>
      <c r="H939" s="118"/>
      <c r="I939" s="119"/>
      <c r="J939" s="120"/>
      <c r="K939" s="121"/>
      <c r="L939" s="121"/>
      <c r="M939" s="121"/>
      <c r="N939" s="121"/>
      <c r="O939" s="121"/>
      <c r="P939" s="122"/>
      <c r="Q939" s="121"/>
    </row>
    <row r="940" spans="1:17" ht="12.75" customHeight="1" x14ac:dyDescent="0.2">
      <c r="A940" s="124"/>
      <c r="B940" s="126"/>
      <c r="C940" s="126"/>
      <c r="D940" s="1"/>
      <c r="E940" s="1"/>
      <c r="F940" s="126"/>
      <c r="G940" s="126"/>
      <c r="H940" s="118"/>
      <c r="I940" s="119"/>
      <c r="J940" s="120"/>
      <c r="K940" s="121"/>
      <c r="L940" s="121"/>
      <c r="M940" s="121"/>
      <c r="N940" s="121"/>
      <c r="O940" s="121"/>
      <c r="P940" s="122"/>
      <c r="Q940" s="121"/>
    </row>
    <row r="941" spans="1:17" ht="12.75" customHeight="1" x14ac:dyDescent="0.2">
      <c r="A941" s="124"/>
      <c r="B941" s="126"/>
      <c r="C941" s="126"/>
      <c r="D941" s="1"/>
      <c r="E941" s="1"/>
      <c r="F941" s="126"/>
      <c r="G941" s="126"/>
      <c r="H941" s="118"/>
      <c r="I941" s="119"/>
      <c r="J941" s="120"/>
      <c r="K941" s="121"/>
      <c r="L941" s="121"/>
      <c r="M941" s="121"/>
      <c r="N941" s="121"/>
      <c r="O941" s="121"/>
      <c r="P941" s="122"/>
      <c r="Q941" s="121"/>
    </row>
    <row r="942" spans="1:17" ht="12.75" customHeight="1" x14ac:dyDescent="0.2">
      <c r="A942" s="124"/>
      <c r="B942" s="126"/>
      <c r="C942" s="126"/>
      <c r="D942" s="1"/>
      <c r="E942" s="1"/>
      <c r="F942" s="126"/>
      <c r="G942" s="126"/>
      <c r="H942" s="118"/>
      <c r="I942" s="119"/>
      <c r="J942" s="120"/>
      <c r="K942" s="121"/>
      <c r="L942" s="121"/>
      <c r="M942" s="121"/>
      <c r="N942" s="121"/>
      <c r="O942" s="121"/>
      <c r="P942" s="122"/>
      <c r="Q942" s="121"/>
    </row>
    <row r="943" spans="1:17" ht="12.75" customHeight="1" x14ac:dyDescent="0.2">
      <c r="A943" s="124"/>
      <c r="B943" s="126"/>
      <c r="C943" s="126"/>
      <c r="D943" s="1"/>
      <c r="E943" s="1"/>
      <c r="F943" s="126"/>
      <c r="G943" s="126"/>
      <c r="H943" s="118"/>
      <c r="I943" s="119"/>
      <c r="J943" s="120"/>
      <c r="K943" s="121"/>
      <c r="L943" s="121"/>
      <c r="M943" s="121"/>
      <c r="N943" s="121"/>
      <c r="O943" s="121"/>
      <c r="P943" s="122"/>
      <c r="Q943" s="121"/>
    </row>
    <row r="944" spans="1:17" ht="12.75" customHeight="1" x14ac:dyDescent="0.2">
      <c r="A944" s="124"/>
      <c r="B944" s="126"/>
      <c r="C944" s="126"/>
      <c r="D944" s="1"/>
      <c r="E944" s="1"/>
      <c r="F944" s="126"/>
      <c r="G944" s="126"/>
      <c r="H944" s="118"/>
      <c r="I944" s="119"/>
      <c r="J944" s="120"/>
      <c r="K944" s="121"/>
      <c r="L944" s="121"/>
      <c r="M944" s="121"/>
      <c r="N944" s="121"/>
      <c r="O944" s="121"/>
      <c r="P944" s="122"/>
      <c r="Q944" s="121"/>
    </row>
    <row r="945" spans="1:17" ht="12.75" customHeight="1" x14ac:dyDescent="0.2">
      <c r="A945" s="124"/>
      <c r="B945" s="126"/>
      <c r="C945" s="126"/>
      <c r="D945" s="1"/>
      <c r="E945" s="1"/>
      <c r="F945" s="126"/>
      <c r="G945" s="126"/>
      <c r="H945" s="118"/>
      <c r="I945" s="119"/>
      <c r="J945" s="120"/>
      <c r="K945" s="121"/>
      <c r="L945" s="121"/>
      <c r="M945" s="121"/>
      <c r="N945" s="121"/>
      <c r="O945" s="121"/>
      <c r="P945" s="122"/>
      <c r="Q945" s="121"/>
    </row>
    <row r="946" spans="1:17" ht="12.75" customHeight="1" x14ac:dyDescent="0.2">
      <c r="A946" s="124"/>
      <c r="B946" s="126"/>
      <c r="C946" s="126"/>
      <c r="D946" s="1"/>
      <c r="E946" s="1"/>
      <c r="F946" s="126"/>
      <c r="G946" s="126"/>
      <c r="H946" s="118"/>
      <c r="I946" s="119"/>
      <c r="J946" s="120"/>
      <c r="K946" s="121"/>
      <c r="L946" s="121"/>
      <c r="M946" s="121"/>
      <c r="N946" s="121"/>
      <c r="O946" s="121"/>
      <c r="P946" s="122"/>
      <c r="Q946" s="121"/>
    </row>
    <row r="947" spans="1:17" ht="12.75" customHeight="1" x14ac:dyDescent="0.2">
      <c r="A947" s="124"/>
      <c r="B947" s="126"/>
      <c r="C947" s="126"/>
      <c r="D947" s="1"/>
      <c r="E947" s="1"/>
      <c r="F947" s="126"/>
      <c r="G947" s="126"/>
      <c r="H947" s="118"/>
      <c r="I947" s="119"/>
      <c r="J947" s="120"/>
      <c r="K947" s="121"/>
      <c r="L947" s="121"/>
      <c r="M947" s="121"/>
      <c r="N947" s="121"/>
      <c r="O947" s="121"/>
      <c r="P947" s="122"/>
      <c r="Q947" s="121"/>
    </row>
    <row r="948" spans="1:17" ht="12.75" customHeight="1" x14ac:dyDescent="0.2">
      <c r="A948" s="124"/>
      <c r="B948" s="126"/>
      <c r="C948" s="126"/>
      <c r="D948" s="1"/>
      <c r="E948" s="1"/>
      <c r="F948" s="126"/>
      <c r="G948" s="126"/>
      <c r="H948" s="118"/>
      <c r="I948" s="119"/>
      <c r="J948" s="120"/>
      <c r="K948" s="121"/>
      <c r="L948" s="121"/>
      <c r="M948" s="121"/>
      <c r="N948" s="121"/>
      <c r="O948" s="121"/>
      <c r="P948" s="122"/>
      <c r="Q948" s="121"/>
    </row>
    <row r="949" spans="1:17" ht="12.75" customHeight="1" x14ac:dyDescent="0.2">
      <c r="A949" s="124"/>
      <c r="B949" s="126"/>
      <c r="C949" s="126"/>
      <c r="D949" s="1"/>
      <c r="E949" s="1"/>
      <c r="F949" s="126"/>
      <c r="G949" s="126"/>
      <c r="H949" s="118"/>
      <c r="I949" s="119"/>
      <c r="J949" s="120"/>
      <c r="K949" s="121"/>
      <c r="L949" s="121"/>
      <c r="M949" s="121"/>
      <c r="N949" s="121"/>
      <c r="O949" s="121"/>
      <c r="P949" s="122"/>
      <c r="Q949" s="121"/>
    </row>
    <row r="950" spans="1:17" ht="12.75" customHeight="1" x14ac:dyDescent="0.2">
      <c r="A950" s="124"/>
      <c r="B950" s="126"/>
      <c r="C950" s="126"/>
      <c r="D950" s="1"/>
      <c r="E950" s="1"/>
      <c r="F950" s="126"/>
      <c r="G950" s="126"/>
      <c r="H950" s="118"/>
      <c r="I950" s="119"/>
      <c r="J950" s="120"/>
      <c r="K950" s="121"/>
      <c r="L950" s="121"/>
      <c r="M950" s="121"/>
      <c r="N950" s="121"/>
      <c r="O950" s="121"/>
      <c r="P950" s="122"/>
      <c r="Q950" s="121"/>
    </row>
    <row r="951" spans="1:17" ht="12.75" customHeight="1" x14ac:dyDescent="0.2">
      <c r="A951" s="124"/>
      <c r="B951" s="126"/>
      <c r="C951" s="126"/>
      <c r="D951" s="1"/>
      <c r="E951" s="1"/>
      <c r="F951" s="126"/>
      <c r="G951" s="126"/>
      <c r="H951" s="118"/>
      <c r="I951" s="119"/>
      <c r="J951" s="120"/>
      <c r="K951" s="121"/>
      <c r="L951" s="121"/>
      <c r="M951" s="121"/>
      <c r="N951" s="121"/>
      <c r="O951" s="121"/>
      <c r="P951" s="122"/>
      <c r="Q951" s="121"/>
    </row>
    <row r="952" spans="1:17" ht="12.75" customHeight="1" x14ac:dyDescent="0.2">
      <c r="A952" s="124"/>
      <c r="B952" s="126"/>
      <c r="C952" s="126"/>
      <c r="D952" s="1"/>
      <c r="E952" s="1"/>
      <c r="F952" s="126"/>
      <c r="G952" s="126"/>
      <c r="H952" s="118"/>
      <c r="I952" s="119"/>
      <c r="J952" s="120"/>
      <c r="K952" s="121"/>
      <c r="L952" s="121"/>
      <c r="M952" s="121"/>
      <c r="N952" s="121"/>
      <c r="O952" s="121"/>
      <c r="P952" s="122"/>
      <c r="Q952" s="121"/>
    </row>
    <row r="953" spans="1:17" ht="12.75" customHeight="1" x14ac:dyDescent="0.2">
      <c r="A953" s="124"/>
      <c r="B953" s="126"/>
      <c r="C953" s="126"/>
      <c r="D953" s="1"/>
      <c r="E953" s="1"/>
      <c r="F953" s="126"/>
      <c r="G953" s="126"/>
      <c r="H953" s="118"/>
      <c r="I953" s="119"/>
      <c r="J953" s="120"/>
      <c r="K953" s="121"/>
      <c r="L953" s="121"/>
      <c r="M953" s="121"/>
      <c r="N953" s="121"/>
      <c r="O953" s="121"/>
      <c r="P953" s="122"/>
      <c r="Q953" s="121"/>
    </row>
    <row r="954" spans="1:17" ht="12.75" customHeight="1" x14ac:dyDescent="0.2">
      <c r="A954" s="124"/>
      <c r="B954" s="126"/>
      <c r="C954" s="126"/>
      <c r="D954" s="1"/>
      <c r="E954" s="1"/>
      <c r="F954" s="126"/>
      <c r="G954" s="126"/>
      <c r="H954" s="118"/>
      <c r="I954" s="119"/>
      <c r="J954" s="120"/>
      <c r="K954" s="121"/>
      <c r="L954" s="121"/>
      <c r="M954" s="121"/>
      <c r="N954" s="121"/>
      <c r="O954" s="121"/>
      <c r="P954" s="122"/>
      <c r="Q954" s="121"/>
    </row>
    <row r="955" spans="1:17" ht="12.75" customHeight="1" x14ac:dyDescent="0.2">
      <c r="A955" s="124"/>
      <c r="B955" s="126"/>
      <c r="C955" s="126"/>
      <c r="D955" s="1"/>
      <c r="E955" s="1"/>
      <c r="F955" s="126"/>
      <c r="G955" s="126"/>
      <c r="H955" s="118"/>
      <c r="I955" s="119"/>
      <c r="J955" s="120"/>
      <c r="K955" s="121"/>
      <c r="L955" s="121"/>
      <c r="M955" s="121"/>
      <c r="N955" s="121"/>
      <c r="O955" s="121"/>
      <c r="P955" s="122"/>
      <c r="Q955" s="121"/>
    </row>
    <row r="956" spans="1:17" ht="12.75" customHeight="1" x14ac:dyDescent="0.2">
      <c r="A956" s="124"/>
      <c r="B956" s="126"/>
      <c r="C956" s="126"/>
      <c r="D956" s="1"/>
      <c r="E956" s="1"/>
      <c r="F956" s="126"/>
      <c r="G956" s="126"/>
      <c r="H956" s="118"/>
      <c r="I956" s="119"/>
      <c r="J956" s="120"/>
      <c r="K956" s="121"/>
      <c r="L956" s="121"/>
      <c r="M956" s="121"/>
      <c r="N956" s="121"/>
      <c r="O956" s="121"/>
      <c r="P956" s="122"/>
      <c r="Q956" s="121"/>
    </row>
    <row r="957" spans="1:17" ht="12.75" customHeight="1" x14ac:dyDescent="0.2">
      <c r="A957" s="124"/>
      <c r="B957" s="126"/>
      <c r="C957" s="126"/>
      <c r="D957" s="1"/>
      <c r="E957" s="1"/>
      <c r="F957" s="126"/>
      <c r="G957" s="126"/>
      <c r="H957" s="118"/>
      <c r="I957" s="119"/>
      <c r="J957" s="120"/>
      <c r="K957" s="121"/>
      <c r="L957" s="121"/>
      <c r="M957" s="121"/>
      <c r="N957" s="121"/>
      <c r="O957" s="121"/>
      <c r="P957" s="122"/>
      <c r="Q957" s="121"/>
    </row>
    <row r="958" spans="1:17" ht="12.75" customHeight="1" x14ac:dyDescent="0.2">
      <c r="A958" s="124"/>
      <c r="B958" s="126"/>
      <c r="C958" s="126"/>
      <c r="D958" s="1"/>
      <c r="E958" s="1"/>
      <c r="F958" s="126"/>
      <c r="G958" s="126"/>
      <c r="H958" s="118"/>
      <c r="I958" s="119"/>
      <c r="J958" s="120"/>
      <c r="K958" s="121"/>
      <c r="L958" s="121"/>
      <c r="M958" s="121"/>
      <c r="N958" s="121"/>
      <c r="O958" s="121"/>
      <c r="P958" s="122"/>
      <c r="Q958" s="121"/>
    </row>
    <row r="959" spans="1:17" ht="12.75" customHeight="1" x14ac:dyDescent="0.2">
      <c r="A959" s="124"/>
      <c r="B959" s="126"/>
      <c r="C959" s="126"/>
      <c r="D959" s="1"/>
      <c r="E959" s="1"/>
      <c r="F959" s="126"/>
      <c r="G959" s="126"/>
      <c r="H959" s="118"/>
      <c r="I959" s="119"/>
      <c r="J959" s="120"/>
      <c r="K959" s="121"/>
      <c r="L959" s="121"/>
      <c r="M959" s="121"/>
      <c r="N959" s="121"/>
      <c r="O959" s="121"/>
      <c r="P959" s="122"/>
      <c r="Q959" s="121"/>
    </row>
    <row r="960" spans="1:17" ht="12.75" customHeight="1" x14ac:dyDescent="0.2">
      <c r="A960" s="124"/>
      <c r="B960" s="126"/>
      <c r="C960" s="126"/>
      <c r="D960" s="1"/>
      <c r="E960" s="1"/>
      <c r="F960" s="126"/>
      <c r="G960" s="126"/>
      <c r="H960" s="118"/>
      <c r="I960" s="119"/>
      <c r="J960" s="120"/>
      <c r="K960" s="121"/>
      <c r="L960" s="121"/>
      <c r="M960" s="121"/>
      <c r="N960" s="121"/>
      <c r="O960" s="121"/>
      <c r="P960" s="122"/>
      <c r="Q960" s="121"/>
    </row>
    <row r="961" spans="1:17" ht="12.75" customHeight="1" x14ac:dyDescent="0.2">
      <c r="A961" s="124"/>
      <c r="B961" s="126"/>
      <c r="C961" s="126"/>
      <c r="D961" s="1"/>
      <c r="E961" s="1"/>
      <c r="F961" s="126"/>
      <c r="G961" s="126"/>
      <c r="H961" s="118"/>
      <c r="I961" s="119"/>
      <c r="J961" s="120"/>
      <c r="K961" s="121"/>
      <c r="L961" s="121"/>
      <c r="M961" s="121"/>
      <c r="N961" s="121"/>
      <c r="O961" s="121"/>
      <c r="P961" s="122"/>
      <c r="Q961" s="121"/>
    </row>
    <row r="962" spans="1:17" ht="12.75" customHeight="1" x14ac:dyDescent="0.2">
      <c r="A962" s="124"/>
      <c r="B962" s="126"/>
      <c r="C962" s="126"/>
      <c r="D962" s="1"/>
      <c r="E962" s="1"/>
      <c r="F962" s="126"/>
      <c r="G962" s="126"/>
      <c r="H962" s="118"/>
      <c r="I962" s="119"/>
      <c r="J962" s="120"/>
      <c r="K962" s="121"/>
      <c r="L962" s="121"/>
      <c r="M962" s="121"/>
      <c r="N962" s="121"/>
      <c r="O962" s="121"/>
      <c r="P962" s="122"/>
      <c r="Q962" s="121"/>
    </row>
    <row r="963" spans="1:17" ht="12.75" customHeight="1" x14ac:dyDescent="0.2">
      <c r="A963" s="124"/>
      <c r="B963" s="126"/>
      <c r="C963" s="126"/>
      <c r="D963" s="1"/>
      <c r="E963" s="1"/>
      <c r="F963" s="126"/>
      <c r="G963" s="126"/>
      <c r="H963" s="118"/>
      <c r="I963" s="119"/>
      <c r="J963" s="120"/>
      <c r="K963" s="121"/>
      <c r="L963" s="121"/>
      <c r="M963" s="121"/>
      <c r="N963" s="121"/>
      <c r="O963" s="121"/>
      <c r="P963" s="122"/>
      <c r="Q963" s="121"/>
    </row>
    <row r="964" spans="1:17" ht="12.75" customHeight="1" x14ac:dyDescent="0.2">
      <c r="A964" s="124"/>
      <c r="B964" s="126"/>
      <c r="C964" s="126"/>
      <c r="D964" s="1"/>
      <c r="E964" s="1"/>
      <c r="F964" s="126"/>
      <c r="G964" s="126"/>
      <c r="H964" s="118"/>
      <c r="I964" s="119"/>
      <c r="J964" s="120"/>
      <c r="K964" s="121"/>
      <c r="L964" s="121"/>
      <c r="M964" s="121"/>
      <c r="N964" s="121"/>
      <c r="O964" s="121"/>
      <c r="P964" s="122"/>
      <c r="Q964" s="121"/>
    </row>
    <row r="965" spans="1:17" ht="12.75" customHeight="1" x14ac:dyDescent="0.2">
      <c r="A965" s="124"/>
      <c r="B965" s="126"/>
      <c r="C965" s="126"/>
      <c r="D965" s="1"/>
      <c r="E965" s="1"/>
      <c r="F965" s="126"/>
      <c r="G965" s="126"/>
      <c r="H965" s="118"/>
      <c r="I965" s="119"/>
      <c r="J965" s="120"/>
      <c r="K965" s="121"/>
      <c r="L965" s="121"/>
      <c r="M965" s="121"/>
      <c r="N965" s="121"/>
      <c r="O965" s="121"/>
      <c r="P965" s="122"/>
      <c r="Q965" s="121"/>
    </row>
    <row r="966" spans="1:17" ht="12.75" customHeight="1" x14ac:dyDescent="0.2">
      <c r="A966" s="124"/>
      <c r="B966" s="126"/>
      <c r="C966" s="126"/>
      <c r="D966" s="1"/>
      <c r="E966" s="1"/>
      <c r="F966" s="126"/>
      <c r="G966" s="126"/>
      <c r="H966" s="118"/>
      <c r="I966" s="119"/>
      <c r="J966" s="120"/>
      <c r="K966" s="121"/>
      <c r="L966" s="121"/>
      <c r="M966" s="121"/>
      <c r="N966" s="121"/>
      <c r="O966" s="121"/>
      <c r="P966" s="122"/>
      <c r="Q966" s="121"/>
    </row>
    <row r="967" spans="1:17" ht="12.75" customHeight="1" x14ac:dyDescent="0.2">
      <c r="A967" s="124"/>
      <c r="B967" s="126"/>
      <c r="C967" s="126"/>
      <c r="D967" s="1"/>
      <c r="E967" s="1"/>
      <c r="F967" s="126"/>
      <c r="G967" s="126"/>
      <c r="H967" s="118"/>
      <c r="I967" s="119"/>
      <c r="J967" s="120"/>
      <c r="K967" s="121"/>
      <c r="L967" s="121"/>
      <c r="M967" s="121"/>
      <c r="N967" s="121"/>
      <c r="O967" s="121"/>
      <c r="P967" s="122"/>
      <c r="Q967" s="121"/>
    </row>
    <row r="968" spans="1:17" ht="12.75" customHeight="1" x14ac:dyDescent="0.2">
      <c r="A968" s="124"/>
      <c r="B968" s="126"/>
      <c r="C968" s="126"/>
      <c r="D968" s="1"/>
      <c r="E968" s="1"/>
      <c r="F968" s="126"/>
      <c r="G968" s="126"/>
      <c r="H968" s="118"/>
      <c r="I968" s="119"/>
      <c r="J968" s="120"/>
      <c r="K968" s="121"/>
      <c r="L968" s="121"/>
      <c r="M968" s="121"/>
      <c r="N968" s="121"/>
      <c r="O968" s="121"/>
      <c r="P968" s="122"/>
      <c r="Q968" s="121"/>
    </row>
    <row r="969" spans="1:17" ht="12.75" customHeight="1" x14ac:dyDescent="0.2">
      <c r="A969" s="124"/>
      <c r="B969" s="126"/>
      <c r="C969" s="126"/>
      <c r="D969" s="1"/>
      <c r="E969" s="1"/>
      <c r="F969" s="126"/>
      <c r="G969" s="126"/>
      <c r="H969" s="118"/>
      <c r="I969" s="119"/>
      <c r="J969" s="120"/>
      <c r="K969" s="121"/>
      <c r="L969" s="121"/>
      <c r="M969" s="121"/>
      <c r="N969" s="121"/>
      <c r="O969" s="121"/>
      <c r="P969" s="122"/>
      <c r="Q969" s="121"/>
    </row>
    <row r="970" spans="1:17" ht="12.75" customHeight="1" x14ac:dyDescent="0.2">
      <c r="A970" s="124"/>
      <c r="B970" s="126"/>
      <c r="C970" s="126"/>
      <c r="D970" s="1"/>
      <c r="E970" s="1"/>
      <c r="F970" s="126"/>
      <c r="G970" s="126"/>
      <c r="H970" s="118"/>
      <c r="I970" s="119"/>
      <c r="J970" s="120"/>
      <c r="K970" s="121"/>
      <c r="L970" s="121"/>
      <c r="M970" s="121"/>
      <c r="N970" s="121"/>
      <c r="O970" s="121"/>
      <c r="P970" s="122"/>
      <c r="Q970" s="121"/>
    </row>
    <row r="971" spans="1:17" ht="12.75" customHeight="1" x14ac:dyDescent="0.2">
      <c r="A971" s="124"/>
      <c r="B971" s="126"/>
      <c r="C971" s="126"/>
      <c r="D971" s="1"/>
      <c r="E971" s="1"/>
      <c r="F971" s="126"/>
      <c r="G971" s="126"/>
      <c r="H971" s="118"/>
      <c r="I971" s="119"/>
      <c r="J971" s="120"/>
      <c r="K971" s="121"/>
      <c r="L971" s="121"/>
      <c r="M971" s="121"/>
      <c r="N971" s="121"/>
      <c r="O971" s="121"/>
      <c r="P971" s="122"/>
      <c r="Q971" s="121"/>
    </row>
    <row r="972" spans="1:17" ht="12.75" customHeight="1" x14ac:dyDescent="0.2">
      <c r="A972" s="124"/>
      <c r="B972" s="126"/>
      <c r="C972" s="126"/>
      <c r="D972" s="1"/>
      <c r="E972" s="1"/>
      <c r="F972" s="126"/>
      <c r="G972" s="126"/>
      <c r="H972" s="118"/>
      <c r="I972" s="119"/>
      <c r="J972" s="120"/>
      <c r="K972" s="121"/>
      <c r="L972" s="121"/>
      <c r="M972" s="121"/>
      <c r="N972" s="121"/>
      <c r="O972" s="121"/>
      <c r="P972" s="122"/>
      <c r="Q972" s="121"/>
    </row>
    <row r="973" spans="1:17" ht="12.75" customHeight="1" x14ac:dyDescent="0.2">
      <c r="A973" s="124"/>
      <c r="B973" s="126"/>
      <c r="C973" s="126"/>
      <c r="D973" s="1"/>
      <c r="E973" s="1"/>
      <c r="F973" s="126"/>
      <c r="G973" s="126"/>
      <c r="H973" s="118"/>
      <c r="I973" s="119"/>
      <c r="J973" s="120"/>
      <c r="K973" s="121"/>
      <c r="L973" s="121"/>
      <c r="M973" s="121"/>
      <c r="N973" s="121"/>
      <c r="O973" s="121"/>
      <c r="P973" s="122"/>
      <c r="Q973" s="121"/>
    </row>
    <row r="974" spans="1:17" ht="12.75" customHeight="1" x14ac:dyDescent="0.2">
      <c r="A974" s="124"/>
      <c r="B974" s="126"/>
      <c r="C974" s="126"/>
      <c r="D974" s="1"/>
      <c r="E974" s="1"/>
      <c r="F974" s="126"/>
      <c r="G974" s="126"/>
      <c r="H974" s="118"/>
      <c r="I974" s="119"/>
      <c r="J974" s="120"/>
      <c r="K974" s="121"/>
      <c r="L974" s="121"/>
      <c r="M974" s="121"/>
      <c r="N974" s="121"/>
      <c r="O974" s="121"/>
      <c r="P974" s="122"/>
      <c r="Q974" s="121"/>
    </row>
    <row r="975" spans="1:17" ht="12.75" customHeight="1" x14ac:dyDescent="0.2">
      <c r="A975" s="124"/>
      <c r="B975" s="126"/>
      <c r="C975" s="126"/>
      <c r="D975" s="1"/>
      <c r="E975" s="1"/>
      <c r="F975" s="126"/>
      <c r="G975" s="126"/>
      <c r="H975" s="118"/>
      <c r="I975" s="119"/>
      <c r="J975" s="120"/>
      <c r="K975" s="121"/>
      <c r="L975" s="121"/>
      <c r="M975" s="121"/>
      <c r="N975" s="121"/>
      <c r="O975" s="121"/>
      <c r="P975" s="122"/>
      <c r="Q975" s="121"/>
    </row>
    <row r="976" spans="1:17" ht="12.75" customHeight="1" x14ac:dyDescent="0.2">
      <c r="A976" s="124"/>
      <c r="B976" s="126"/>
      <c r="C976" s="126"/>
      <c r="D976" s="1"/>
      <c r="E976" s="1"/>
      <c r="F976" s="126"/>
      <c r="G976" s="126"/>
      <c r="H976" s="118"/>
      <c r="I976" s="119"/>
      <c r="J976" s="120"/>
      <c r="K976" s="121"/>
      <c r="L976" s="121"/>
      <c r="M976" s="121"/>
      <c r="N976" s="121"/>
      <c r="O976" s="121"/>
      <c r="P976" s="122"/>
      <c r="Q976" s="121"/>
    </row>
    <row r="977" spans="1:17" ht="12.75" customHeight="1" x14ac:dyDescent="0.2">
      <c r="A977" s="124"/>
      <c r="B977" s="126"/>
      <c r="C977" s="126"/>
      <c r="D977" s="1"/>
      <c r="E977" s="1"/>
      <c r="F977" s="126"/>
      <c r="G977" s="126"/>
      <c r="H977" s="118"/>
      <c r="I977" s="119"/>
      <c r="J977" s="120"/>
      <c r="K977" s="121"/>
      <c r="L977" s="121"/>
      <c r="M977" s="121"/>
      <c r="N977" s="121"/>
      <c r="O977" s="121"/>
      <c r="P977" s="122"/>
      <c r="Q977" s="121"/>
    </row>
    <row r="978" spans="1:17" ht="12.75" customHeight="1" x14ac:dyDescent="0.2">
      <c r="A978" s="124"/>
      <c r="B978" s="126"/>
      <c r="C978" s="126"/>
      <c r="D978" s="1"/>
      <c r="E978" s="1"/>
      <c r="F978" s="126"/>
      <c r="G978" s="126"/>
      <c r="H978" s="118"/>
      <c r="I978" s="119"/>
      <c r="J978" s="120"/>
      <c r="K978" s="121"/>
      <c r="L978" s="121"/>
      <c r="M978" s="121"/>
      <c r="N978" s="121"/>
      <c r="O978" s="121"/>
      <c r="P978" s="122"/>
      <c r="Q978" s="121"/>
    </row>
    <row r="979" spans="1:17" ht="12.75" customHeight="1" x14ac:dyDescent="0.2">
      <c r="A979" s="124"/>
      <c r="B979" s="126"/>
      <c r="C979" s="126"/>
      <c r="D979" s="1"/>
      <c r="E979" s="1"/>
      <c r="F979" s="126"/>
      <c r="G979" s="126"/>
      <c r="H979" s="118"/>
      <c r="I979" s="119"/>
      <c r="J979" s="120"/>
      <c r="K979" s="121"/>
      <c r="L979" s="121"/>
      <c r="M979" s="121"/>
      <c r="N979" s="121"/>
      <c r="O979" s="121"/>
      <c r="P979" s="122"/>
      <c r="Q979" s="121"/>
    </row>
    <row r="980" spans="1:17" ht="12.75" customHeight="1" x14ac:dyDescent="0.2">
      <c r="A980" s="124"/>
      <c r="B980" s="126"/>
      <c r="C980" s="126"/>
      <c r="D980" s="1"/>
      <c r="E980" s="1"/>
      <c r="F980" s="126"/>
      <c r="G980" s="126"/>
      <c r="H980" s="118"/>
      <c r="I980" s="119"/>
      <c r="J980" s="120"/>
      <c r="K980" s="121"/>
      <c r="L980" s="121"/>
      <c r="M980" s="121"/>
      <c r="N980" s="121"/>
      <c r="O980" s="121"/>
      <c r="P980" s="122"/>
      <c r="Q980" s="121"/>
    </row>
    <row r="981" spans="1:17" ht="12.75" customHeight="1" x14ac:dyDescent="0.2">
      <c r="A981" s="124"/>
      <c r="B981" s="126"/>
      <c r="C981" s="126"/>
      <c r="D981" s="1"/>
      <c r="E981" s="1"/>
      <c r="F981" s="126"/>
      <c r="G981" s="126"/>
      <c r="H981" s="118"/>
      <c r="I981" s="119"/>
      <c r="J981" s="120"/>
      <c r="K981" s="121"/>
      <c r="L981" s="121"/>
      <c r="M981" s="121"/>
      <c r="N981" s="121"/>
      <c r="O981" s="121"/>
      <c r="P981" s="122"/>
      <c r="Q981" s="121"/>
    </row>
    <row r="982" spans="1:17" ht="12.75" customHeight="1" x14ac:dyDescent="0.2">
      <c r="A982" s="124"/>
      <c r="B982" s="126"/>
      <c r="C982" s="126"/>
      <c r="D982" s="1"/>
      <c r="E982" s="1"/>
      <c r="F982" s="126"/>
      <c r="G982" s="126"/>
      <c r="H982" s="118"/>
      <c r="I982" s="119"/>
      <c r="J982" s="120"/>
      <c r="K982" s="121"/>
      <c r="L982" s="121"/>
      <c r="M982" s="121"/>
      <c r="N982" s="121"/>
      <c r="O982" s="121"/>
      <c r="P982" s="122"/>
      <c r="Q982" s="121"/>
    </row>
    <row r="983" spans="1:17" ht="12.75" customHeight="1" x14ac:dyDescent="0.2">
      <c r="A983" s="124"/>
      <c r="B983" s="126"/>
      <c r="C983" s="126"/>
      <c r="D983" s="1"/>
      <c r="E983" s="1"/>
      <c r="F983" s="126"/>
      <c r="G983" s="126"/>
      <c r="H983" s="118"/>
      <c r="I983" s="119"/>
      <c r="J983" s="120"/>
      <c r="K983" s="121"/>
      <c r="L983" s="121"/>
      <c r="M983" s="121"/>
      <c r="N983" s="121"/>
      <c r="O983" s="121"/>
      <c r="P983" s="122"/>
      <c r="Q983" s="121"/>
    </row>
    <row r="984" spans="1:17" ht="12.75" customHeight="1" x14ac:dyDescent="0.2">
      <c r="A984" s="124"/>
      <c r="B984" s="126"/>
      <c r="C984" s="126"/>
      <c r="D984" s="1"/>
      <c r="E984" s="1"/>
      <c r="F984" s="126"/>
      <c r="G984" s="126"/>
      <c r="H984" s="118"/>
      <c r="I984" s="119"/>
      <c r="J984" s="120"/>
      <c r="K984" s="121"/>
      <c r="L984" s="121"/>
      <c r="M984" s="121"/>
      <c r="N984" s="121"/>
      <c r="O984" s="121"/>
      <c r="P984" s="122"/>
      <c r="Q984" s="121"/>
    </row>
    <row r="985" spans="1:17" ht="12.75" customHeight="1" x14ac:dyDescent="0.2">
      <c r="A985" s="124"/>
      <c r="B985" s="126"/>
      <c r="C985" s="126"/>
      <c r="D985" s="1"/>
      <c r="E985" s="1"/>
      <c r="F985" s="126"/>
      <c r="G985" s="126"/>
      <c r="H985" s="118"/>
      <c r="I985" s="119"/>
      <c r="J985" s="120"/>
      <c r="K985" s="121"/>
      <c r="L985" s="121"/>
      <c r="M985" s="121"/>
      <c r="N985" s="121"/>
      <c r="O985" s="121"/>
      <c r="P985" s="122"/>
      <c r="Q985" s="121"/>
    </row>
    <row r="986" spans="1:17" ht="12.75" customHeight="1" x14ac:dyDescent="0.2">
      <c r="A986" s="124"/>
      <c r="B986" s="126"/>
      <c r="C986" s="126"/>
      <c r="D986" s="1"/>
      <c r="E986" s="1"/>
      <c r="F986" s="126"/>
      <c r="G986" s="126"/>
      <c r="H986" s="118"/>
      <c r="I986" s="119"/>
      <c r="J986" s="120"/>
      <c r="K986" s="121"/>
      <c r="L986" s="121"/>
      <c r="M986" s="121"/>
      <c r="N986" s="121"/>
      <c r="O986" s="121"/>
      <c r="P986" s="122"/>
      <c r="Q986" s="121"/>
    </row>
    <row r="987" spans="1:17" ht="12.75" customHeight="1" x14ac:dyDescent="0.2">
      <c r="A987" s="124"/>
      <c r="B987" s="126"/>
      <c r="C987" s="126"/>
      <c r="D987" s="1"/>
      <c r="E987" s="1"/>
      <c r="F987" s="126"/>
      <c r="G987" s="126"/>
      <c r="H987" s="118"/>
      <c r="I987" s="119"/>
      <c r="J987" s="120"/>
      <c r="K987" s="121"/>
      <c r="L987" s="121"/>
      <c r="M987" s="121"/>
      <c r="N987" s="121"/>
      <c r="O987" s="121"/>
      <c r="P987" s="122"/>
      <c r="Q987" s="121"/>
    </row>
    <row r="988" spans="1:17" ht="12.75" customHeight="1" x14ac:dyDescent="0.2">
      <c r="A988" s="124"/>
      <c r="B988" s="126"/>
      <c r="C988" s="126"/>
      <c r="D988" s="1"/>
      <c r="E988" s="1"/>
      <c r="F988" s="126"/>
      <c r="G988" s="126"/>
      <c r="H988" s="118"/>
      <c r="I988" s="119"/>
      <c r="J988" s="120"/>
      <c r="K988" s="121"/>
      <c r="L988" s="121"/>
      <c r="M988" s="121"/>
      <c r="N988" s="121"/>
      <c r="O988" s="121"/>
      <c r="P988" s="122"/>
      <c r="Q988" s="121"/>
    </row>
    <row r="989" spans="1:17" ht="12.75" customHeight="1" x14ac:dyDescent="0.2">
      <c r="A989" s="124"/>
      <c r="B989" s="126"/>
      <c r="C989" s="126"/>
      <c r="D989" s="1"/>
      <c r="E989" s="1"/>
      <c r="F989" s="126"/>
      <c r="G989" s="126"/>
      <c r="H989" s="118"/>
      <c r="I989" s="119"/>
      <c r="J989" s="120"/>
      <c r="K989" s="121"/>
      <c r="L989" s="121"/>
      <c r="M989" s="121"/>
      <c r="N989" s="121"/>
      <c r="O989" s="121"/>
      <c r="P989" s="122"/>
      <c r="Q989" s="121"/>
    </row>
    <row r="990" spans="1:17" ht="12.75" customHeight="1" x14ac:dyDescent="0.2">
      <c r="A990" s="124"/>
      <c r="B990" s="126"/>
      <c r="C990" s="126"/>
      <c r="D990" s="1"/>
      <c r="E990" s="1"/>
      <c r="F990" s="126"/>
      <c r="G990" s="126"/>
      <c r="H990" s="118"/>
      <c r="I990" s="119"/>
      <c r="J990" s="120"/>
      <c r="K990" s="121"/>
      <c r="L990" s="121"/>
      <c r="M990" s="121"/>
      <c r="N990" s="121"/>
      <c r="O990" s="121"/>
      <c r="P990" s="122"/>
      <c r="Q990" s="121"/>
    </row>
    <row r="991" spans="1:17" ht="12.75" customHeight="1" x14ac:dyDescent="0.2">
      <c r="A991" s="124"/>
      <c r="B991" s="126"/>
      <c r="C991" s="126"/>
      <c r="D991" s="1"/>
      <c r="E991" s="1"/>
      <c r="F991" s="126"/>
      <c r="G991" s="126"/>
      <c r="H991" s="118"/>
      <c r="I991" s="119"/>
      <c r="J991" s="120"/>
      <c r="K991" s="121"/>
      <c r="L991" s="121"/>
      <c r="M991" s="121"/>
      <c r="N991" s="121"/>
      <c r="O991" s="121"/>
      <c r="P991" s="122"/>
      <c r="Q991" s="121"/>
    </row>
    <row r="992" spans="1:17" ht="12.75" customHeight="1" x14ac:dyDescent="0.2">
      <c r="A992" s="124"/>
      <c r="B992" s="126"/>
      <c r="C992" s="126"/>
      <c r="D992" s="1"/>
      <c r="E992" s="1"/>
      <c r="F992" s="126"/>
      <c r="G992" s="126"/>
      <c r="H992" s="118"/>
      <c r="I992" s="119"/>
      <c r="J992" s="120"/>
      <c r="K992" s="121"/>
      <c r="L992" s="121"/>
      <c r="M992" s="121"/>
      <c r="N992" s="121"/>
      <c r="O992" s="121"/>
      <c r="P992" s="122"/>
      <c r="Q992" s="121"/>
    </row>
    <row r="993" spans="1:17" ht="12.75" customHeight="1" x14ac:dyDescent="0.2">
      <c r="A993" s="124"/>
      <c r="B993" s="126"/>
      <c r="C993" s="126"/>
      <c r="D993" s="1"/>
      <c r="E993" s="1"/>
      <c r="F993" s="126"/>
      <c r="G993" s="126"/>
      <c r="H993" s="118"/>
      <c r="I993" s="119"/>
      <c r="J993" s="120"/>
      <c r="K993" s="121"/>
      <c r="L993" s="121"/>
      <c r="M993" s="121"/>
      <c r="N993" s="121"/>
      <c r="O993" s="121"/>
      <c r="P993" s="122"/>
      <c r="Q993" s="121"/>
    </row>
    <row r="994" spans="1:17" ht="12.75" customHeight="1" x14ac:dyDescent="0.2">
      <c r="A994" s="124"/>
      <c r="B994" s="126"/>
      <c r="C994" s="126"/>
      <c r="D994" s="1"/>
      <c r="E994" s="1"/>
      <c r="F994" s="126"/>
      <c r="G994" s="126"/>
      <c r="H994" s="118"/>
      <c r="I994" s="119"/>
      <c r="J994" s="120"/>
      <c r="K994" s="121"/>
      <c r="L994" s="121"/>
      <c r="M994" s="121"/>
      <c r="N994" s="121"/>
      <c r="O994" s="121"/>
      <c r="P994" s="122"/>
      <c r="Q994" s="121"/>
    </row>
    <row r="995" spans="1:17" ht="12.75" customHeight="1" x14ac:dyDescent="0.2">
      <c r="A995" s="124"/>
      <c r="B995" s="126"/>
      <c r="C995" s="126"/>
      <c r="D995" s="1"/>
      <c r="E995" s="1"/>
      <c r="F995" s="126"/>
      <c r="G995" s="126"/>
      <c r="H995" s="118"/>
      <c r="I995" s="119"/>
      <c r="J995" s="120"/>
      <c r="K995" s="121"/>
      <c r="L995" s="121"/>
      <c r="M995" s="121"/>
      <c r="N995" s="121"/>
      <c r="O995" s="121"/>
      <c r="P995" s="122"/>
      <c r="Q995" s="121"/>
    </row>
  </sheetData>
  <autoFilter ref="A2:Q67" xr:uid="{00000000-0001-0000-0000-000000000000}"/>
  <mergeCells count="3">
    <mergeCell ref="E1:J1"/>
    <mergeCell ref="K1:M1"/>
    <mergeCell ref="N1:O1"/>
  </mergeCells>
  <conditionalFormatting sqref="C2">
    <cfRule type="timePeriod" dxfId="13" priority="1" timePeriod="today">
      <formula>FLOOR(C2,1)=TODAY()</formula>
    </cfRule>
  </conditionalFormatting>
  <dataValidations count="2">
    <dataValidation type="list" allowBlank="1" showInputMessage="1" showErrorMessage="1" errorTitle="Status cotizacion para contrato" error="Completar el status del cierre de contrato como cerrado o pendiente" promptTitle="Status cotizacion para contrato" prompt="Completar el status del cierre de contrato como cerrado o pendiente" sqref="D3:D12 N3:N12 J3:J12 G3:G12" xr:uid="{891B0502-74F2-4F47-9DAB-308603346BCD}">
      <formula1>#REF!</formula1>
    </dataValidation>
    <dataValidation type="list" allowBlank="1" showInputMessage="1" showErrorMessage="1" errorTitle="Status de Contrato" error="Completar el status de contrato como pendiente o cerrado" promptTitle="Status de contrato" prompt="Completar el status como pendiente o cerrado" sqref="N13:N67 J13:J67 G13:G67 D13:D67" xr:uid="{EA9BE190-9AD2-42DA-AF64-CA7A38198C0C}">
      <formula1>#REF!</formula1>
    </dataValidation>
  </dataValidations>
  <printOptions horizontalCentered="1"/>
  <pageMargins left="0.23622047244094491" right="0.23622047244094491" top="0.47244094488188981" bottom="0.43307086614173229" header="0" footer="0"/>
  <pageSetup paperSize="8"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2CC2-4D03-4B83-99E6-25E6425A1761}">
  <dimension ref="A2:G94"/>
  <sheetViews>
    <sheetView tabSelected="1" topLeftCell="A20" workbookViewId="0">
      <selection activeCell="F36" sqref="F36"/>
    </sheetView>
  </sheetViews>
  <sheetFormatPr baseColWidth="10" defaultColWidth="11.5703125" defaultRowHeight="12.75" x14ac:dyDescent="0.2"/>
  <cols>
    <col min="1" max="3" width="47.5703125" style="76" bestFit="1" customWidth="1"/>
    <col min="4" max="4" width="27.42578125" style="76" bestFit="1" customWidth="1"/>
    <col min="5" max="5" width="36.28515625" style="76" bestFit="1" customWidth="1"/>
    <col min="6" max="6" width="54.7109375" style="76" bestFit="1" customWidth="1"/>
    <col min="7" max="7" width="47.7109375" style="76" bestFit="1" customWidth="1"/>
    <col min="8" max="16384" width="11.5703125" style="76"/>
  </cols>
  <sheetData>
    <row r="2" spans="1:7" ht="13.5" thickBot="1" x14ac:dyDescent="0.25">
      <c r="A2" s="76" t="s">
        <v>217</v>
      </c>
      <c r="B2" s="76" t="s">
        <v>218</v>
      </c>
      <c r="C2" s="76" t="s">
        <v>216</v>
      </c>
      <c r="D2" s="76" t="s">
        <v>262</v>
      </c>
      <c r="E2" s="76" t="s">
        <v>220</v>
      </c>
      <c r="F2" s="76" t="s">
        <v>219</v>
      </c>
      <c r="G2" s="76" t="s">
        <v>219</v>
      </c>
    </row>
    <row r="3" spans="1:7" x14ac:dyDescent="0.2">
      <c r="A3" s="130" t="s">
        <v>42</v>
      </c>
      <c r="B3" s="131" t="s">
        <v>42</v>
      </c>
      <c r="C3" s="131" t="s">
        <v>42</v>
      </c>
      <c r="D3" s="132" t="s">
        <v>154</v>
      </c>
      <c r="E3" s="132" t="s">
        <v>154</v>
      </c>
      <c r="F3" s="133" t="s">
        <v>132</v>
      </c>
      <c r="G3" s="20" t="s">
        <v>0</v>
      </c>
    </row>
    <row r="4" spans="1:7" x14ac:dyDescent="0.2">
      <c r="A4" s="130" t="s">
        <v>0</v>
      </c>
      <c r="B4" s="131" t="s">
        <v>0</v>
      </c>
      <c r="C4" s="131" t="s">
        <v>0</v>
      </c>
      <c r="D4" s="130" t="s">
        <v>42</v>
      </c>
      <c r="E4" s="134" t="s">
        <v>42</v>
      </c>
      <c r="F4" s="135" t="s">
        <v>0</v>
      </c>
      <c r="G4" s="20" t="s">
        <v>6</v>
      </c>
    </row>
    <row r="5" spans="1:7" x14ac:dyDescent="0.2">
      <c r="A5" s="130" t="s">
        <v>43</v>
      </c>
      <c r="B5" s="131" t="s">
        <v>43</v>
      </c>
      <c r="C5" s="131" t="s">
        <v>43</v>
      </c>
      <c r="D5" s="130" t="s">
        <v>0</v>
      </c>
      <c r="E5" s="134" t="s">
        <v>0</v>
      </c>
      <c r="F5" s="133" t="s">
        <v>131</v>
      </c>
      <c r="G5" s="20" t="s">
        <v>7</v>
      </c>
    </row>
    <row r="6" spans="1:7" x14ac:dyDescent="0.2">
      <c r="A6" s="130" t="s">
        <v>6</v>
      </c>
      <c r="B6" s="131" t="s">
        <v>6</v>
      </c>
      <c r="C6" s="131" t="s">
        <v>6</v>
      </c>
      <c r="D6" s="136" t="s">
        <v>259</v>
      </c>
      <c r="E6" s="136" t="s">
        <v>161</v>
      </c>
      <c r="F6" s="135" t="s">
        <v>6</v>
      </c>
      <c r="G6" s="21" t="s">
        <v>8</v>
      </c>
    </row>
    <row r="7" spans="1:7" ht="13.5" thickBot="1" x14ac:dyDescent="0.25">
      <c r="A7" s="130" t="s">
        <v>1</v>
      </c>
      <c r="B7" s="131" t="s">
        <v>1</v>
      </c>
      <c r="C7" s="131" t="s">
        <v>1</v>
      </c>
      <c r="D7" s="130" t="s">
        <v>6</v>
      </c>
      <c r="E7" s="137" t="s">
        <v>157</v>
      </c>
      <c r="F7" s="133" t="s">
        <v>133</v>
      </c>
      <c r="G7" s="21" t="s">
        <v>10</v>
      </c>
    </row>
    <row r="8" spans="1:7" x14ac:dyDescent="0.2">
      <c r="A8" s="130" t="s">
        <v>2</v>
      </c>
      <c r="B8" s="131" t="s">
        <v>2</v>
      </c>
      <c r="C8" s="131" t="s">
        <v>2</v>
      </c>
      <c r="D8" s="130" t="s">
        <v>1</v>
      </c>
      <c r="E8" s="208" t="s">
        <v>166</v>
      </c>
      <c r="F8" s="133" t="s">
        <v>130</v>
      </c>
      <c r="G8" s="21" t="s">
        <v>9</v>
      </c>
    </row>
    <row r="9" spans="1:7" ht="13.5" thickBot="1" x14ac:dyDescent="0.25">
      <c r="A9" s="130" t="s">
        <v>4</v>
      </c>
      <c r="B9" s="131" t="s">
        <v>4</v>
      </c>
      <c r="C9" s="131" t="s">
        <v>4</v>
      </c>
      <c r="D9" s="130" t="s">
        <v>263</v>
      </c>
      <c r="E9" s="138" t="s">
        <v>156</v>
      </c>
      <c r="F9" s="135" t="s">
        <v>4</v>
      </c>
      <c r="G9" s="182" t="s">
        <v>39</v>
      </c>
    </row>
    <row r="10" spans="1:7" x14ac:dyDescent="0.2">
      <c r="A10" s="130" t="s">
        <v>7</v>
      </c>
      <c r="B10" s="131" t="s">
        <v>7</v>
      </c>
      <c r="C10" s="131" t="s">
        <v>7</v>
      </c>
      <c r="D10" s="145" t="s">
        <v>264</v>
      </c>
      <c r="E10" s="136" t="s">
        <v>6</v>
      </c>
      <c r="F10" s="135" t="s">
        <v>7</v>
      </c>
      <c r="G10" s="25" t="s">
        <v>4</v>
      </c>
    </row>
    <row r="11" spans="1:7" x14ac:dyDescent="0.2">
      <c r="A11" s="130" t="s">
        <v>3</v>
      </c>
      <c r="B11" s="131" t="s">
        <v>3</v>
      </c>
      <c r="C11" s="131" t="s">
        <v>3</v>
      </c>
      <c r="D11" s="136" t="s">
        <v>158</v>
      </c>
      <c r="E11" s="136" t="s">
        <v>158</v>
      </c>
      <c r="F11" s="135" t="s">
        <v>3</v>
      </c>
      <c r="G11" s="20" t="s">
        <v>3</v>
      </c>
    </row>
    <row r="12" spans="1:7" x14ac:dyDescent="0.2">
      <c r="A12" s="130" t="s">
        <v>39</v>
      </c>
      <c r="B12" s="131" t="s">
        <v>39</v>
      </c>
      <c r="C12" s="131" t="s">
        <v>39</v>
      </c>
      <c r="D12" s="136" t="s">
        <v>159</v>
      </c>
      <c r="E12" s="136" t="s">
        <v>159</v>
      </c>
      <c r="F12" s="135" t="s">
        <v>39</v>
      </c>
      <c r="G12" s="20" t="s">
        <v>24</v>
      </c>
    </row>
    <row r="13" spans="1:7" x14ac:dyDescent="0.2">
      <c r="A13" s="130" t="s">
        <v>98</v>
      </c>
      <c r="B13" s="131" t="s">
        <v>24</v>
      </c>
      <c r="C13" s="131" t="s">
        <v>24</v>
      </c>
      <c r="D13" s="130" t="s">
        <v>3</v>
      </c>
      <c r="E13" s="208" t="s">
        <v>261</v>
      </c>
      <c r="F13" s="135" t="s">
        <v>24</v>
      </c>
      <c r="G13" s="20" t="s">
        <v>68</v>
      </c>
    </row>
    <row r="14" spans="1:7" x14ac:dyDescent="0.2">
      <c r="A14" s="139" t="s">
        <v>8</v>
      </c>
      <c r="B14" s="131" t="s">
        <v>106</v>
      </c>
      <c r="C14" s="139" t="s">
        <v>25</v>
      </c>
      <c r="D14" s="130" t="s">
        <v>39</v>
      </c>
      <c r="E14" s="140" t="s">
        <v>3</v>
      </c>
      <c r="F14" s="141" t="s">
        <v>40</v>
      </c>
      <c r="G14" s="20" t="s">
        <v>23</v>
      </c>
    </row>
    <row r="15" spans="1:7" x14ac:dyDescent="0.2">
      <c r="A15" s="139" t="s">
        <v>25</v>
      </c>
      <c r="B15" s="139" t="s">
        <v>25</v>
      </c>
      <c r="C15" s="139" t="s">
        <v>8</v>
      </c>
      <c r="D15" s="130" t="s">
        <v>98</v>
      </c>
      <c r="E15" s="142" t="s">
        <v>160</v>
      </c>
      <c r="F15" s="143" t="s">
        <v>8</v>
      </c>
      <c r="G15" s="36" t="s">
        <v>26</v>
      </c>
    </row>
    <row r="16" spans="1:7" x14ac:dyDescent="0.2">
      <c r="A16" s="139" t="s">
        <v>27</v>
      </c>
      <c r="B16" s="139" t="s">
        <v>8</v>
      </c>
      <c r="C16" s="139" t="s">
        <v>27</v>
      </c>
      <c r="D16" s="140" t="s">
        <v>3</v>
      </c>
      <c r="E16" s="140" t="s">
        <v>24</v>
      </c>
      <c r="F16" s="144" t="s">
        <v>25</v>
      </c>
      <c r="G16" s="183" t="s">
        <v>11</v>
      </c>
    </row>
    <row r="17" spans="1:7" x14ac:dyDescent="0.2">
      <c r="A17" s="139" t="s">
        <v>10</v>
      </c>
      <c r="B17" s="139" t="s">
        <v>27</v>
      </c>
      <c r="C17" s="139" t="s">
        <v>10</v>
      </c>
      <c r="D17" s="145" t="s">
        <v>163</v>
      </c>
      <c r="E17" s="208" t="s">
        <v>162</v>
      </c>
      <c r="F17" s="143" t="s">
        <v>10</v>
      </c>
      <c r="G17" s="184" t="s">
        <v>12</v>
      </c>
    </row>
    <row r="18" spans="1:7" x14ac:dyDescent="0.2">
      <c r="A18" s="139" t="s">
        <v>11</v>
      </c>
      <c r="B18" s="139" t="s">
        <v>10</v>
      </c>
      <c r="C18" s="139" t="s">
        <v>11</v>
      </c>
      <c r="D18" s="147" t="s">
        <v>221</v>
      </c>
      <c r="E18" s="145" t="s">
        <v>163</v>
      </c>
      <c r="F18" s="143" t="s">
        <v>11</v>
      </c>
      <c r="G18" s="21" t="s">
        <v>49</v>
      </c>
    </row>
    <row r="19" spans="1:7" ht="13.5" thickBot="1" x14ac:dyDescent="0.25">
      <c r="A19" s="139" t="s">
        <v>12</v>
      </c>
      <c r="B19" s="139" t="s">
        <v>11</v>
      </c>
      <c r="C19" s="139" t="s">
        <v>12</v>
      </c>
      <c r="D19" s="147" t="s">
        <v>222</v>
      </c>
      <c r="E19" s="145" t="s">
        <v>167</v>
      </c>
      <c r="F19" s="143" t="s">
        <v>12</v>
      </c>
      <c r="G19" s="21" t="s">
        <v>50</v>
      </c>
    </row>
    <row r="20" spans="1:7" x14ac:dyDescent="0.2">
      <c r="A20" s="146" t="s">
        <v>5</v>
      </c>
      <c r="B20" s="139" t="s">
        <v>12</v>
      </c>
      <c r="C20" s="139" t="s">
        <v>5</v>
      </c>
      <c r="D20" s="147" t="s">
        <v>223</v>
      </c>
      <c r="E20" s="147" t="s">
        <v>221</v>
      </c>
      <c r="F20" s="148" t="s">
        <v>135</v>
      </c>
      <c r="G20" s="30" t="s">
        <v>61</v>
      </c>
    </row>
    <row r="21" spans="1:7" ht="13.5" thickBot="1" x14ac:dyDescent="0.25">
      <c r="A21" s="146" t="s">
        <v>34</v>
      </c>
      <c r="B21" s="139" t="s">
        <v>5</v>
      </c>
      <c r="C21" s="139" t="s">
        <v>34</v>
      </c>
      <c r="D21" s="151" t="s">
        <v>224</v>
      </c>
      <c r="E21" s="147" t="s">
        <v>222</v>
      </c>
      <c r="F21" s="148" t="s">
        <v>136</v>
      </c>
      <c r="G21" s="21" t="s">
        <v>62</v>
      </c>
    </row>
    <row r="22" spans="1:7" x14ac:dyDescent="0.2">
      <c r="A22" s="139" t="s">
        <v>9</v>
      </c>
      <c r="B22" s="139" t="s">
        <v>33</v>
      </c>
      <c r="C22" s="139" t="s">
        <v>9</v>
      </c>
      <c r="D22" s="153" t="s">
        <v>225</v>
      </c>
      <c r="E22" s="147" t="s">
        <v>223</v>
      </c>
      <c r="F22" s="149" t="s">
        <v>34</v>
      </c>
      <c r="G22" s="34" t="s">
        <v>25</v>
      </c>
    </row>
    <row r="23" spans="1:7" ht="13.5" thickBot="1" x14ac:dyDescent="0.25">
      <c r="A23" s="150" t="s">
        <v>44</v>
      </c>
      <c r="B23" s="146" t="s">
        <v>34</v>
      </c>
      <c r="C23" s="150" t="s">
        <v>84</v>
      </c>
      <c r="D23" s="208" t="s">
        <v>226</v>
      </c>
      <c r="E23" s="151" t="s">
        <v>224</v>
      </c>
      <c r="F23" s="152" t="s">
        <v>9</v>
      </c>
      <c r="G23" s="21" t="s">
        <v>52</v>
      </c>
    </row>
    <row r="24" spans="1:7" x14ac:dyDescent="0.2">
      <c r="A24" s="150" t="s">
        <v>45</v>
      </c>
      <c r="B24" s="139" t="s">
        <v>9</v>
      </c>
      <c r="C24" s="150" t="s">
        <v>23</v>
      </c>
      <c r="D24" s="208" t="s">
        <v>227</v>
      </c>
      <c r="E24" s="153" t="s">
        <v>225</v>
      </c>
      <c r="F24" s="154" t="s">
        <v>134</v>
      </c>
      <c r="G24" s="29" t="s">
        <v>53</v>
      </c>
    </row>
    <row r="25" spans="1:7" x14ac:dyDescent="0.2">
      <c r="A25" s="150" t="s">
        <v>46</v>
      </c>
      <c r="B25" s="150" t="s">
        <v>23</v>
      </c>
      <c r="C25" s="150" t="s">
        <v>44</v>
      </c>
      <c r="D25" s="147" t="s">
        <v>228</v>
      </c>
      <c r="E25" s="208" t="s">
        <v>226</v>
      </c>
      <c r="F25" s="150" t="s">
        <v>45</v>
      </c>
      <c r="G25" s="34" t="s">
        <v>69</v>
      </c>
    </row>
    <row r="26" spans="1:7" x14ac:dyDescent="0.2">
      <c r="A26" s="155" t="s">
        <v>47</v>
      </c>
      <c r="B26" s="156" t="s">
        <v>84</v>
      </c>
      <c r="C26" s="150" t="s">
        <v>45</v>
      </c>
      <c r="D26" s="147" t="s">
        <v>229</v>
      </c>
      <c r="E26" s="208" t="s">
        <v>227</v>
      </c>
      <c r="F26" s="157" t="s">
        <v>137</v>
      </c>
      <c r="G26" s="34" t="s">
        <v>63</v>
      </c>
    </row>
    <row r="27" spans="1:7" x14ac:dyDescent="0.2">
      <c r="A27" s="155" t="s">
        <v>48</v>
      </c>
      <c r="B27" s="150" t="s">
        <v>44</v>
      </c>
      <c r="C27" s="150" t="s">
        <v>46</v>
      </c>
      <c r="D27" s="147" t="s">
        <v>230</v>
      </c>
      <c r="E27" s="147" t="s">
        <v>228</v>
      </c>
      <c r="F27" s="158" t="s">
        <v>138</v>
      </c>
      <c r="G27" s="185" t="s">
        <v>64</v>
      </c>
    </row>
    <row r="28" spans="1:7" x14ac:dyDescent="0.2">
      <c r="A28" s="155" t="s">
        <v>49</v>
      </c>
      <c r="B28" s="150" t="s">
        <v>45</v>
      </c>
      <c r="C28" s="155" t="s">
        <v>47</v>
      </c>
      <c r="D28" s="147" t="s">
        <v>231</v>
      </c>
      <c r="E28" s="147" t="s">
        <v>229</v>
      </c>
      <c r="F28" s="158" t="s">
        <v>139</v>
      </c>
      <c r="G28" s="32" t="s">
        <v>143</v>
      </c>
    </row>
    <row r="29" spans="1:7" ht="13.5" thickBot="1" x14ac:dyDescent="0.25">
      <c r="A29" s="155" t="s">
        <v>50</v>
      </c>
      <c r="B29" s="150" t="s">
        <v>46</v>
      </c>
      <c r="C29" s="155" t="s">
        <v>48</v>
      </c>
      <c r="D29" s="147" t="s">
        <v>232</v>
      </c>
      <c r="E29" s="147" t="s">
        <v>230</v>
      </c>
      <c r="F29" s="159" t="s">
        <v>49</v>
      </c>
      <c r="G29" s="35" t="s">
        <v>67</v>
      </c>
    </row>
    <row r="30" spans="1:7" x14ac:dyDescent="0.2">
      <c r="A30" s="155" t="s">
        <v>51</v>
      </c>
      <c r="B30" s="155" t="s">
        <v>47</v>
      </c>
      <c r="C30" s="155" t="s">
        <v>49</v>
      </c>
      <c r="D30" s="147" t="s">
        <v>233</v>
      </c>
      <c r="E30" s="147" t="s">
        <v>231</v>
      </c>
      <c r="F30" s="160" t="s">
        <v>50</v>
      </c>
      <c r="G30" s="30" t="s">
        <v>97</v>
      </c>
    </row>
    <row r="31" spans="1:7" x14ac:dyDescent="0.2">
      <c r="A31" s="150" t="s">
        <v>23</v>
      </c>
      <c r="B31" s="155" t="s">
        <v>48</v>
      </c>
      <c r="C31" s="155" t="s">
        <v>50</v>
      </c>
      <c r="D31" s="147" t="s">
        <v>234</v>
      </c>
      <c r="E31" s="147" t="s">
        <v>232</v>
      </c>
      <c r="F31" s="158" t="s">
        <v>140</v>
      </c>
      <c r="G31" s="31" t="s">
        <v>55</v>
      </c>
    </row>
    <row r="32" spans="1:7" x14ac:dyDescent="0.2">
      <c r="A32" s="155" t="s">
        <v>52</v>
      </c>
      <c r="B32" s="155" t="s">
        <v>49</v>
      </c>
      <c r="C32" s="155" t="s">
        <v>51</v>
      </c>
      <c r="D32" s="147" t="s">
        <v>265</v>
      </c>
      <c r="E32" s="147" t="s">
        <v>233</v>
      </c>
      <c r="F32" s="159" t="s">
        <v>23</v>
      </c>
      <c r="G32" s="31" t="s">
        <v>56</v>
      </c>
    </row>
    <row r="33" spans="1:7" x14ac:dyDescent="0.2">
      <c r="A33" s="150" t="s">
        <v>53</v>
      </c>
      <c r="B33" s="155" t="s">
        <v>50</v>
      </c>
      <c r="C33" s="155" t="s">
        <v>52</v>
      </c>
      <c r="D33" s="147" t="s">
        <v>236</v>
      </c>
      <c r="E33" s="147" t="s">
        <v>234</v>
      </c>
      <c r="F33" s="159" t="s">
        <v>52</v>
      </c>
      <c r="G33" s="186" t="s">
        <v>57</v>
      </c>
    </row>
    <row r="34" spans="1:7" x14ac:dyDescent="0.2">
      <c r="A34" s="150" t="s">
        <v>54</v>
      </c>
      <c r="B34" s="161" t="s">
        <v>107</v>
      </c>
      <c r="C34" s="150" t="s">
        <v>53</v>
      </c>
      <c r="D34" s="147" t="s">
        <v>237</v>
      </c>
      <c r="E34" s="147" t="s">
        <v>235</v>
      </c>
      <c r="F34" s="162" t="s">
        <v>53</v>
      </c>
      <c r="G34" s="32" t="s">
        <v>58</v>
      </c>
    </row>
    <row r="35" spans="1:7" ht="13.5" thickBot="1" x14ac:dyDescent="0.25">
      <c r="A35" s="150" t="s">
        <v>84</v>
      </c>
      <c r="B35" s="155" t="s">
        <v>51</v>
      </c>
      <c r="C35" s="150" t="s">
        <v>54</v>
      </c>
      <c r="D35" s="151" t="s">
        <v>240</v>
      </c>
      <c r="E35" s="208" t="s">
        <v>51</v>
      </c>
      <c r="F35" s="157" t="s">
        <v>142</v>
      </c>
      <c r="G35" s="33" t="s">
        <v>134</v>
      </c>
    </row>
    <row r="36" spans="1:7" x14ac:dyDescent="0.2">
      <c r="A36" s="150" t="s">
        <v>55</v>
      </c>
      <c r="B36" s="155" t="s">
        <v>52</v>
      </c>
      <c r="C36" s="150" t="s">
        <v>55</v>
      </c>
      <c r="D36" s="166" t="s">
        <v>241</v>
      </c>
      <c r="E36" s="147" t="s">
        <v>236</v>
      </c>
      <c r="F36" s="162" t="s">
        <v>84</v>
      </c>
      <c r="G36" s="187" t="s">
        <v>95</v>
      </c>
    </row>
    <row r="37" spans="1:7" x14ac:dyDescent="0.2">
      <c r="A37" s="150" t="s">
        <v>56</v>
      </c>
      <c r="B37" s="150" t="s">
        <v>53</v>
      </c>
      <c r="C37" s="150" t="s">
        <v>56</v>
      </c>
      <c r="D37" s="168" t="s">
        <v>242</v>
      </c>
      <c r="E37" s="147" t="s">
        <v>237</v>
      </c>
      <c r="F37" s="163" t="s">
        <v>55</v>
      </c>
      <c r="G37" s="24" t="s">
        <v>96</v>
      </c>
    </row>
    <row r="38" spans="1:7" x14ac:dyDescent="0.2">
      <c r="A38" s="150" t="s">
        <v>57</v>
      </c>
      <c r="B38" s="150" t="s">
        <v>54</v>
      </c>
      <c r="C38" s="150" t="s">
        <v>57</v>
      </c>
      <c r="D38" s="168" t="s">
        <v>243</v>
      </c>
      <c r="E38" s="208" t="s">
        <v>238</v>
      </c>
      <c r="F38" s="162" t="s">
        <v>56</v>
      </c>
      <c r="G38" s="24" t="s">
        <v>77</v>
      </c>
    </row>
    <row r="39" spans="1:7" x14ac:dyDescent="0.2">
      <c r="A39" s="164" t="s">
        <v>59</v>
      </c>
      <c r="B39" s="150" t="s">
        <v>55</v>
      </c>
      <c r="C39" s="164" t="s">
        <v>59</v>
      </c>
      <c r="D39" s="168" t="s">
        <v>244</v>
      </c>
      <c r="E39" s="208" t="s">
        <v>239</v>
      </c>
      <c r="F39" s="163" t="s">
        <v>57</v>
      </c>
      <c r="G39" s="24" t="s">
        <v>78</v>
      </c>
    </row>
    <row r="40" spans="1:7" ht="13.5" thickBot="1" x14ac:dyDescent="0.25">
      <c r="A40" s="164" t="s">
        <v>60</v>
      </c>
      <c r="B40" s="150" t="s">
        <v>56</v>
      </c>
      <c r="C40" s="164" t="s">
        <v>95</v>
      </c>
      <c r="D40" s="168" t="s">
        <v>195</v>
      </c>
      <c r="E40" s="151" t="s">
        <v>240</v>
      </c>
      <c r="F40" s="165" t="s">
        <v>59</v>
      </c>
      <c r="G40" s="188" t="s">
        <v>148</v>
      </c>
    </row>
    <row r="41" spans="1:7" x14ac:dyDescent="0.2">
      <c r="A41" s="164" t="s">
        <v>95</v>
      </c>
      <c r="B41" s="150" t="s">
        <v>57</v>
      </c>
      <c r="C41" s="164" t="s">
        <v>96</v>
      </c>
      <c r="D41" s="168" t="s">
        <v>199</v>
      </c>
      <c r="E41" s="166" t="s">
        <v>241</v>
      </c>
      <c r="F41" s="165" t="s">
        <v>60</v>
      </c>
      <c r="G41" s="28" t="s">
        <v>59</v>
      </c>
    </row>
    <row r="42" spans="1:7" ht="13.5" thickBot="1" x14ac:dyDescent="0.25">
      <c r="A42" s="164" t="s">
        <v>96</v>
      </c>
      <c r="B42" s="167" t="s">
        <v>59</v>
      </c>
      <c r="C42" s="164" t="s">
        <v>60</v>
      </c>
      <c r="D42" s="168" t="s">
        <v>197</v>
      </c>
      <c r="E42" s="209" t="s">
        <v>198</v>
      </c>
      <c r="F42" s="165" t="s">
        <v>95</v>
      </c>
      <c r="G42" s="189" t="s">
        <v>14</v>
      </c>
    </row>
    <row r="43" spans="1:7" ht="13.5" thickBot="1" x14ac:dyDescent="0.25">
      <c r="A43" s="164" t="s">
        <v>13</v>
      </c>
      <c r="B43" s="167" t="s">
        <v>60</v>
      </c>
      <c r="C43" s="164" t="s">
        <v>13</v>
      </c>
      <c r="D43" s="168" t="s">
        <v>245</v>
      </c>
      <c r="E43" s="168" t="s">
        <v>242</v>
      </c>
      <c r="F43" s="165" t="s">
        <v>96</v>
      </c>
      <c r="G43" s="190" t="s">
        <v>45</v>
      </c>
    </row>
    <row r="44" spans="1:7" x14ac:dyDescent="0.2">
      <c r="A44" s="164" t="s">
        <v>61</v>
      </c>
      <c r="B44" s="167" t="s">
        <v>122</v>
      </c>
      <c r="C44" s="164" t="s">
        <v>61</v>
      </c>
      <c r="D44" s="168" t="s">
        <v>189</v>
      </c>
      <c r="E44" s="168" t="s">
        <v>243</v>
      </c>
      <c r="F44" s="165" t="s">
        <v>13</v>
      </c>
      <c r="G44" s="26" t="s">
        <v>13</v>
      </c>
    </row>
    <row r="45" spans="1:7" x14ac:dyDescent="0.2">
      <c r="A45" s="164" t="s">
        <v>62</v>
      </c>
      <c r="B45" s="167" t="s">
        <v>123</v>
      </c>
      <c r="C45" s="164" t="s">
        <v>62</v>
      </c>
      <c r="D45" s="168" t="s">
        <v>208</v>
      </c>
      <c r="E45" s="168" t="s">
        <v>244</v>
      </c>
      <c r="F45" s="169" t="s">
        <v>61</v>
      </c>
      <c r="G45" s="24" t="s">
        <v>144</v>
      </c>
    </row>
    <row r="46" spans="1:7" x14ac:dyDescent="0.2">
      <c r="A46" s="164" t="s">
        <v>63</v>
      </c>
      <c r="B46" s="167" t="s">
        <v>13</v>
      </c>
      <c r="C46" s="164" t="s">
        <v>63</v>
      </c>
      <c r="D46" s="168" t="s">
        <v>188</v>
      </c>
      <c r="E46" s="168" t="s">
        <v>195</v>
      </c>
      <c r="F46" s="164" t="s">
        <v>62</v>
      </c>
      <c r="G46" s="24" t="s">
        <v>70</v>
      </c>
    </row>
    <row r="47" spans="1:7" x14ac:dyDescent="0.2">
      <c r="A47" s="164" t="s">
        <v>64</v>
      </c>
      <c r="B47" s="167" t="s">
        <v>61</v>
      </c>
      <c r="C47" s="164" t="s">
        <v>97</v>
      </c>
      <c r="D47" s="168" t="s">
        <v>246</v>
      </c>
      <c r="E47" s="168" t="s">
        <v>199</v>
      </c>
      <c r="F47" s="169" t="s">
        <v>63</v>
      </c>
      <c r="G47" s="24" t="s">
        <v>71</v>
      </c>
    </row>
    <row r="48" spans="1:7" x14ac:dyDescent="0.2">
      <c r="A48" s="164" t="s">
        <v>97</v>
      </c>
      <c r="B48" s="167" t="s">
        <v>62</v>
      </c>
      <c r="C48" s="164" t="s">
        <v>64</v>
      </c>
      <c r="D48" s="209" t="s">
        <v>247</v>
      </c>
      <c r="E48" s="168" t="s">
        <v>197</v>
      </c>
      <c r="F48" s="164" t="s">
        <v>64</v>
      </c>
      <c r="G48" s="24" t="s">
        <v>73</v>
      </c>
    </row>
    <row r="49" spans="1:7" x14ac:dyDescent="0.2">
      <c r="A49" s="164" t="s">
        <v>80</v>
      </c>
      <c r="B49" s="167" t="s">
        <v>63</v>
      </c>
      <c r="C49" s="164" t="s">
        <v>80</v>
      </c>
      <c r="D49" s="209" t="s">
        <v>248</v>
      </c>
      <c r="E49" s="168" t="s">
        <v>245</v>
      </c>
      <c r="F49" s="164" t="s">
        <v>97</v>
      </c>
      <c r="G49" s="191" t="s">
        <v>74</v>
      </c>
    </row>
    <row r="50" spans="1:7" x14ac:dyDescent="0.2">
      <c r="A50" s="167" t="s">
        <v>65</v>
      </c>
      <c r="B50" s="167" t="s">
        <v>64</v>
      </c>
      <c r="C50" s="170" t="s">
        <v>26</v>
      </c>
      <c r="D50" s="168" t="s">
        <v>249</v>
      </c>
      <c r="E50" s="168" t="s">
        <v>189</v>
      </c>
      <c r="F50" s="171" t="s">
        <v>80</v>
      </c>
      <c r="G50" s="27" t="s">
        <v>15</v>
      </c>
    </row>
    <row r="51" spans="1:7" ht="13.5" thickBot="1" x14ac:dyDescent="0.25">
      <c r="A51" s="167" t="s">
        <v>66</v>
      </c>
      <c r="B51" s="167" t="s">
        <v>124</v>
      </c>
      <c r="C51" s="167" t="s">
        <v>65</v>
      </c>
      <c r="D51" s="168" t="s">
        <v>194</v>
      </c>
      <c r="E51" s="168" t="s">
        <v>208</v>
      </c>
      <c r="F51" s="172" t="s">
        <v>26</v>
      </c>
      <c r="G51" s="192" t="s">
        <v>84</v>
      </c>
    </row>
    <row r="52" spans="1:7" x14ac:dyDescent="0.2">
      <c r="A52" s="167" t="s">
        <v>67</v>
      </c>
      <c r="B52" s="167" t="s">
        <v>26</v>
      </c>
      <c r="C52" s="167" t="s">
        <v>66</v>
      </c>
      <c r="D52" s="174" t="s">
        <v>209</v>
      </c>
      <c r="E52" s="168" t="s">
        <v>188</v>
      </c>
      <c r="F52" s="158" t="s">
        <v>141</v>
      </c>
    </row>
    <row r="53" spans="1:7" x14ac:dyDescent="0.2">
      <c r="A53" s="167" t="s">
        <v>68</v>
      </c>
      <c r="B53" s="167" t="s">
        <v>65</v>
      </c>
      <c r="C53" s="167" t="s">
        <v>67</v>
      </c>
      <c r="D53" s="174" t="s">
        <v>250</v>
      </c>
      <c r="E53" s="168" t="s">
        <v>246</v>
      </c>
      <c r="F53" s="169" t="s">
        <v>143</v>
      </c>
    </row>
    <row r="54" spans="1:7" x14ac:dyDescent="0.2">
      <c r="A54" s="172" t="s">
        <v>26</v>
      </c>
      <c r="B54" s="167" t="s">
        <v>66</v>
      </c>
      <c r="C54" s="173" t="s">
        <v>68</v>
      </c>
      <c r="D54" s="174" t="s">
        <v>251</v>
      </c>
      <c r="E54" s="209" t="s">
        <v>247</v>
      </c>
      <c r="F54" s="169" t="s">
        <v>67</v>
      </c>
    </row>
    <row r="55" spans="1:7" x14ac:dyDescent="0.2">
      <c r="A55" s="167" t="s">
        <v>69</v>
      </c>
      <c r="B55" s="167" t="s">
        <v>67</v>
      </c>
      <c r="C55" s="167" t="s">
        <v>69</v>
      </c>
      <c r="D55" s="174" t="s">
        <v>204</v>
      </c>
      <c r="E55" s="209" t="s">
        <v>248</v>
      </c>
      <c r="F55" s="169" t="s">
        <v>68</v>
      </c>
    </row>
    <row r="56" spans="1:7" x14ac:dyDescent="0.2">
      <c r="A56" s="167" t="s">
        <v>70</v>
      </c>
      <c r="B56" s="167" t="s">
        <v>68</v>
      </c>
      <c r="C56" s="167" t="s">
        <v>70</v>
      </c>
      <c r="D56" s="174" t="s">
        <v>252</v>
      </c>
      <c r="E56" s="168" t="s">
        <v>249</v>
      </c>
      <c r="F56" s="167" t="s">
        <v>69</v>
      </c>
    </row>
    <row r="57" spans="1:7" x14ac:dyDescent="0.2">
      <c r="A57" s="167" t="s">
        <v>71</v>
      </c>
      <c r="B57" s="167" t="s">
        <v>108</v>
      </c>
      <c r="C57" s="167" t="s">
        <v>71</v>
      </c>
      <c r="D57" s="174" t="s">
        <v>253</v>
      </c>
      <c r="E57" s="168" t="s">
        <v>194</v>
      </c>
      <c r="F57" s="169" t="s">
        <v>70</v>
      </c>
    </row>
    <row r="58" spans="1:7" x14ac:dyDescent="0.2">
      <c r="A58" s="167" t="s">
        <v>77</v>
      </c>
      <c r="B58" s="167" t="s">
        <v>69</v>
      </c>
      <c r="C58" s="167" t="s">
        <v>72</v>
      </c>
      <c r="D58" s="174" t="s">
        <v>210</v>
      </c>
      <c r="E58" s="174" t="s">
        <v>209</v>
      </c>
      <c r="F58" s="169" t="s">
        <v>71</v>
      </c>
    </row>
    <row r="59" spans="1:7" x14ac:dyDescent="0.2">
      <c r="A59" s="167" t="s">
        <v>78</v>
      </c>
      <c r="B59" s="167" t="s">
        <v>121</v>
      </c>
      <c r="C59" s="167" t="s">
        <v>77</v>
      </c>
      <c r="D59" s="174" t="s">
        <v>254</v>
      </c>
      <c r="E59" s="174" t="s">
        <v>250</v>
      </c>
      <c r="F59" s="169" t="s">
        <v>77</v>
      </c>
    </row>
    <row r="60" spans="1:7" x14ac:dyDescent="0.2">
      <c r="A60" s="167" t="s">
        <v>79</v>
      </c>
      <c r="B60" s="175" t="s">
        <v>111</v>
      </c>
      <c r="C60" s="167" t="s">
        <v>78</v>
      </c>
      <c r="D60" s="174" t="s">
        <v>255</v>
      </c>
      <c r="E60" s="174" t="s">
        <v>251</v>
      </c>
      <c r="F60" s="169" t="s">
        <v>78</v>
      </c>
    </row>
    <row r="61" spans="1:7" x14ac:dyDescent="0.2">
      <c r="A61" s="167" t="s">
        <v>16</v>
      </c>
      <c r="B61" s="167" t="s">
        <v>77</v>
      </c>
      <c r="C61" s="167" t="s">
        <v>79</v>
      </c>
      <c r="D61" s="174" t="s">
        <v>215</v>
      </c>
      <c r="E61" s="174" t="s">
        <v>204</v>
      </c>
      <c r="F61" s="158" t="s">
        <v>145</v>
      </c>
    </row>
    <row r="62" spans="1:7" x14ac:dyDescent="0.2">
      <c r="A62" s="167" t="s">
        <v>17</v>
      </c>
      <c r="B62" s="167" t="s">
        <v>78</v>
      </c>
      <c r="C62" s="167" t="s">
        <v>16</v>
      </c>
      <c r="D62" s="174" t="s">
        <v>212</v>
      </c>
      <c r="E62" s="174" t="s">
        <v>252</v>
      </c>
      <c r="F62" s="169" t="s">
        <v>16</v>
      </c>
    </row>
    <row r="63" spans="1:7" x14ac:dyDescent="0.2">
      <c r="A63" s="176" t="s">
        <v>41</v>
      </c>
      <c r="B63" s="167" t="s">
        <v>79</v>
      </c>
      <c r="C63" s="167" t="s">
        <v>17</v>
      </c>
      <c r="D63" s="174" t="s">
        <v>214</v>
      </c>
      <c r="E63" s="174" t="s">
        <v>253</v>
      </c>
      <c r="F63" s="169" t="s">
        <v>17</v>
      </c>
    </row>
    <row r="64" spans="1:7" x14ac:dyDescent="0.2">
      <c r="A64" s="176" t="s">
        <v>73</v>
      </c>
      <c r="B64" s="167" t="s">
        <v>16</v>
      </c>
      <c r="C64" s="176" t="s">
        <v>41</v>
      </c>
      <c r="E64" s="174" t="s">
        <v>210</v>
      </c>
      <c r="F64" s="169" t="s">
        <v>144</v>
      </c>
    </row>
    <row r="65" spans="1:6" x14ac:dyDescent="0.2">
      <c r="A65" s="176" t="s">
        <v>74</v>
      </c>
      <c r="B65" s="167" t="s">
        <v>17</v>
      </c>
      <c r="C65" s="176" t="s">
        <v>73</v>
      </c>
      <c r="E65" s="174" t="s">
        <v>254</v>
      </c>
      <c r="F65" s="169" t="s">
        <v>73</v>
      </c>
    </row>
    <row r="66" spans="1:6" x14ac:dyDescent="0.2">
      <c r="A66" s="176" t="s">
        <v>75</v>
      </c>
      <c r="B66" s="176" t="s">
        <v>73</v>
      </c>
      <c r="C66" s="176" t="s">
        <v>74</v>
      </c>
      <c r="E66" s="174" t="s">
        <v>255</v>
      </c>
      <c r="F66" s="169" t="s">
        <v>74</v>
      </c>
    </row>
    <row r="67" spans="1:6" x14ac:dyDescent="0.2">
      <c r="A67" s="176" t="s">
        <v>76</v>
      </c>
      <c r="B67" s="176" t="s">
        <v>74</v>
      </c>
      <c r="C67" s="176" t="s">
        <v>75</v>
      </c>
      <c r="E67" s="174" t="s">
        <v>215</v>
      </c>
      <c r="F67" s="158" t="s">
        <v>147</v>
      </c>
    </row>
    <row r="68" spans="1:6" x14ac:dyDescent="0.2">
      <c r="A68" s="177" t="s">
        <v>14</v>
      </c>
      <c r="B68" s="176" t="s">
        <v>75</v>
      </c>
      <c r="C68" s="176" t="s">
        <v>76</v>
      </c>
      <c r="E68" s="174" t="s">
        <v>212</v>
      </c>
      <c r="F68" s="178" t="s">
        <v>146</v>
      </c>
    </row>
    <row r="69" spans="1:6" x14ac:dyDescent="0.2">
      <c r="A69" s="177" t="s">
        <v>15</v>
      </c>
      <c r="B69" s="176" t="s">
        <v>76</v>
      </c>
      <c r="C69" s="179" t="s">
        <v>14</v>
      </c>
      <c r="E69" s="174" t="s">
        <v>214</v>
      </c>
      <c r="F69" s="180" t="s">
        <v>14</v>
      </c>
    </row>
    <row r="70" spans="1:6" x14ac:dyDescent="0.2">
      <c r="A70" s="177" t="s">
        <v>58</v>
      </c>
      <c r="B70" s="181" t="s">
        <v>109</v>
      </c>
      <c r="C70" s="179" t="s">
        <v>15</v>
      </c>
      <c r="E70" s="174" t="s">
        <v>213</v>
      </c>
      <c r="F70" s="180" t="s">
        <v>15</v>
      </c>
    </row>
    <row r="71" spans="1:6" x14ac:dyDescent="0.2">
      <c r="B71" s="181" t="s">
        <v>110</v>
      </c>
      <c r="C71" s="179" t="s">
        <v>58</v>
      </c>
      <c r="F71" s="180" t="s">
        <v>58</v>
      </c>
    </row>
    <row r="72" spans="1:6" x14ac:dyDescent="0.2">
      <c r="B72" s="179" t="s">
        <v>14</v>
      </c>
      <c r="C72" s="179" t="s">
        <v>105</v>
      </c>
    </row>
    <row r="73" spans="1:6" x14ac:dyDescent="0.2">
      <c r="B73" s="179" t="s">
        <v>15</v>
      </c>
      <c r="C73" s="179" t="s">
        <v>104</v>
      </c>
    </row>
    <row r="74" spans="1:6" x14ac:dyDescent="0.2">
      <c r="B74" s="160" t="s">
        <v>116</v>
      </c>
      <c r="C74" s="179" t="s">
        <v>103</v>
      </c>
    </row>
    <row r="75" spans="1:6" x14ac:dyDescent="0.2">
      <c r="B75" s="160" t="s">
        <v>117</v>
      </c>
      <c r="C75" s="179" t="s">
        <v>102</v>
      </c>
    </row>
    <row r="76" spans="1:6" x14ac:dyDescent="0.2">
      <c r="B76" s="160" t="s">
        <v>118</v>
      </c>
      <c r="C76" s="179" t="s">
        <v>100</v>
      </c>
    </row>
    <row r="77" spans="1:6" x14ac:dyDescent="0.2">
      <c r="B77" s="160" t="s">
        <v>119</v>
      </c>
      <c r="C77" s="179" t="s">
        <v>101</v>
      </c>
    </row>
    <row r="78" spans="1:6" x14ac:dyDescent="0.2">
      <c r="B78" s="160" t="s">
        <v>120</v>
      </c>
      <c r="C78" s="179" t="s">
        <v>99</v>
      </c>
    </row>
    <row r="79" spans="1:6" x14ac:dyDescent="0.2">
      <c r="B79" s="160" t="s">
        <v>113</v>
      </c>
    </row>
    <row r="80" spans="1:6" x14ac:dyDescent="0.2">
      <c r="B80" s="160" t="s">
        <v>114</v>
      </c>
    </row>
    <row r="81" spans="1:2" x14ac:dyDescent="0.2">
      <c r="B81" s="160" t="s">
        <v>115</v>
      </c>
    </row>
    <row r="82" spans="1:2" x14ac:dyDescent="0.2">
      <c r="B82" s="160" t="s">
        <v>36</v>
      </c>
    </row>
    <row r="83" spans="1:2" x14ac:dyDescent="0.2">
      <c r="B83" s="160" t="s">
        <v>112</v>
      </c>
    </row>
    <row r="84" spans="1:2" x14ac:dyDescent="0.2">
      <c r="B84" s="179" t="s">
        <v>58</v>
      </c>
    </row>
    <row r="88" spans="1:2" x14ac:dyDescent="0.2">
      <c r="A88" s="45" t="s">
        <v>31</v>
      </c>
    </row>
    <row r="89" spans="1:2" x14ac:dyDescent="0.2">
      <c r="A89" s="46" t="s">
        <v>83</v>
      </c>
    </row>
    <row r="90" spans="1:2" x14ac:dyDescent="0.2">
      <c r="A90" s="47" t="s">
        <v>87</v>
      </c>
    </row>
    <row r="91" spans="1:2" x14ac:dyDescent="0.2">
      <c r="A91" s="48" t="s">
        <v>85</v>
      </c>
    </row>
    <row r="92" spans="1:2" x14ac:dyDescent="0.2">
      <c r="A92" s="49" t="s">
        <v>86</v>
      </c>
    </row>
    <row r="93" spans="1:2" x14ac:dyDescent="0.2">
      <c r="A93" s="50" t="s">
        <v>35</v>
      </c>
    </row>
    <row r="94" spans="1:2" x14ac:dyDescent="0.2">
      <c r="A94" s="5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19B5-D6B6-4A23-88EB-0A3289E919EC}">
  <sheetPr>
    <tabColor theme="2" tint="-0.34998626667073579"/>
  </sheetPr>
  <dimension ref="A1:H23"/>
  <sheetViews>
    <sheetView zoomScaleNormal="100" workbookViewId="0">
      <selection activeCell="F18" sqref="F18"/>
    </sheetView>
  </sheetViews>
  <sheetFormatPr baseColWidth="10" defaultColWidth="11.5703125" defaultRowHeight="12.75" outlineLevelCol="1" x14ac:dyDescent="0.25"/>
  <cols>
    <col min="1" max="1" width="33" style="4" customWidth="1"/>
    <col min="2" max="2" width="33.7109375" style="10" customWidth="1"/>
    <col min="3" max="3" width="13.5703125" style="10" customWidth="1"/>
    <col min="4" max="4" width="18.85546875" style="52" customWidth="1" outlineLevel="1"/>
    <col min="5" max="5" width="14.28515625" style="59" customWidth="1" outlineLevel="1"/>
    <col min="6" max="6" width="32.5703125" style="4" bestFit="1" customWidth="1"/>
    <col min="7" max="16384" width="11.5703125" style="4"/>
  </cols>
  <sheetData>
    <row r="1" spans="1:7" ht="13.5" thickBot="1" x14ac:dyDescent="0.3"/>
    <row r="2" spans="1:7" ht="17.25" thickBot="1" x14ac:dyDescent="0.35">
      <c r="A2" s="14"/>
      <c r="B2" s="37" t="s">
        <v>81</v>
      </c>
      <c r="C2" s="15"/>
      <c r="D2" s="53"/>
      <c r="E2" s="60"/>
      <c r="F2" s="16"/>
      <c r="G2" s="4" t="s">
        <v>474</v>
      </c>
    </row>
    <row r="4" spans="1:7" s="5" customFormat="1" hidden="1" x14ac:dyDescent="0.25">
      <c r="A4" s="17" t="s">
        <v>30</v>
      </c>
      <c r="B4" s="17" t="s">
        <v>37</v>
      </c>
      <c r="C4" s="17" t="s">
        <v>128</v>
      </c>
      <c r="D4" s="18"/>
      <c r="E4" s="61" t="s">
        <v>19</v>
      </c>
      <c r="F4" s="19" t="s">
        <v>32</v>
      </c>
    </row>
    <row r="5" spans="1:7" hidden="1" x14ac:dyDescent="0.25">
      <c r="A5" s="6" t="s">
        <v>127</v>
      </c>
      <c r="B5" s="38" t="s">
        <v>31</v>
      </c>
      <c r="C5" s="11"/>
      <c r="D5" s="54" t="str">
        <f>A5&amp;"xx"&amp;B5</f>
        <v>OBRA 1xxINICIO DE OBRA</v>
      </c>
      <c r="E5" s="62">
        <f>C5</f>
        <v>0</v>
      </c>
      <c r="F5" s="6"/>
    </row>
    <row r="6" spans="1:7" hidden="1" x14ac:dyDescent="0.25">
      <c r="A6" s="6"/>
      <c r="B6" s="38"/>
      <c r="C6" s="11"/>
      <c r="D6" s="54"/>
      <c r="E6" s="62"/>
      <c r="F6" s="6"/>
    </row>
    <row r="7" spans="1:7" ht="25.5" hidden="1" x14ac:dyDescent="0.25">
      <c r="A7" s="6" t="s">
        <v>127</v>
      </c>
      <c r="B7" s="39" t="s">
        <v>83</v>
      </c>
      <c r="C7" s="7"/>
      <c r="D7" s="54" t="str">
        <f t="shared" ref="D7" si="0">A7&amp;"xx"&amp;B7</f>
        <v>OBRA 1xxFIN MUROS ANCLADOS</v>
      </c>
      <c r="E7" s="62">
        <f t="shared" ref="E7:E12" si="1">C7</f>
        <v>0</v>
      </c>
      <c r="F7" s="6"/>
    </row>
    <row r="8" spans="1:7" ht="25.5" hidden="1" x14ac:dyDescent="0.25">
      <c r="A8" s="6" t="s">
        <v>127</v>
      </c>
      <c r="B8" s="38" t="s">
        <v>93</v>
      </c>
      <c r="C8" s="8"/>
      <c r="D8" s="54" t="str">
        <f>A8&amp;"xx"&amp;B8</f>
        <v>OBRA 1xxFIN DE SÓTANOS Y CISTERNA</v>
      </c>
      <c r="E8" s="62">
        <f t="shared" si="1"/>
        <v>0</v>
      </c>
      <c r="F8" s="6"/>
    </row>
    <row r="9" spans="1:7" hidden="1" x14ac:dyDescent="0.25">
      <c r="A9" s="6" t="s">
        <v>127</v>
      </c>
      <c r="B9" s="38" t="s">
        <v>85</v>
      </c>
      <c r="C9" s="8"/>
      <c r="D9" s="54" t="str">
        <f>A9&amp;"xx"&amp;B9</f>
        <v>OBRA 1xxTORRE PISO 10</v>
      </c>
      <c r="E9" s="62">
        <f t="shared" si="1"/>
        <v>0</v>
      </c>
      <c r="F9" s="6"/>
    </row>
    <row r="10" spans="1:7" hidden="1" x14ac:dyDescent="0.25">
      <c r="A10" s="6" t="s">
        <v>127</v>
      </c>
      <c r="B10" s="40" t="s">
        <v>86</v>
      </c>
      <c r="C10" s="9"/>
      <c r="D10" s="54" t="str">
        <f t="shared" ref="D10:D12" si="2">A10&amp;"xx"&amp;B10</f>
        <v>OBRA 1xxFIN DE TORRE</v>
      </c>
      <c r="E10" s="62">
        <f t="shared" si="1"/>
        <v>0</v>
      </c>
      <c r="F10" s="6"/>
      <c r="G10" s="13"/>
    </row>
    <row r="11" spans="1:7" ht="25.5" hidden="1" x14ac:dyDescent="0.25">
      <c r="A11" s="6" t="s">
        <v>127</v>
      </c>
      <c r="B11" s="41" t="s">
        <v>35</v>
      </c>
      <c r="C11" s="7"/>
      <c r="D11" s="54" t="str">
        <f t="shared" si="2"/>
        <v>OBRA 1xxACABADOS HÚMEDOS</v>
      </c>
      <c r="E11" s="62">
        <f t="shared" si="1"/>
        <v>0</v>
      </c>
      <c r="F11" s="6"/>
    </row>
    <row r="12" spans="1:7" ht="25.5" hidden="1" x14ac:dyDescent="0.25">
      <c r="A12" s="6" t="s">
        <v>127</v>
      </c>
      <c r="B12" s="42" t="s">
        <v>38</v>
      </c>
      <c r="C12" s="7"/>
      <c r="D12" s="54" t="str">
        <f t="shared" si="2"/>
        <v>OBRA 1xxACABADOS SECOS</v>
      </c>
      <c r="E12" s="62">
        <f t="shared" si="1"/>
        <v>0</v>
      </c>
      <c r="F12" s="6"/>
    </row>
    <row r="13" spans="1:7" hidden="1" x14ac:dyDescent="0.25">
      <c r="B13" s="43"/>
    </row>
    <row r="14" spans="1:7" s="5" customFormat="1" x14ac:dyDescent="0.25">
      <c r="A14" s="17" t="s">
        <v>30</v>
      </c>
      <c r="B14" s="17" t="s">
        <v>37</v>
      </c>
      <c r="C14" s="17" t="s">
        <v>128</v>
      </c>
      <c r="D14" s="18"/>
      <c r="E14" s="61" t="s">
        <v>19</v>
      </c>
      <c r="F14" s="19" t="s">
        <v>32</v>
      </c>
    </row>
    <row r="15" spans="1:7" s="57" customFormat="1" ht="22.9" customHeight="1" x14ac:dyDescent="0.2">
      <c r="A15" s="271" t="s">
        <v>475</v>
      </c>
      <c r="B15" s="210" t="s">
        <v>31</v>
      </c>
      <c r="C15" s="11"/>
      <c r="D15" s="56" t="str">
        <f t="shared" ref="D15:D22" si="3">A15&amp;"xx"&amp;B15</f>
        <v>OBRAxxINICIO DE OBRA</v>
      </c>
      <c r="E15" s="64">
        <v>46272</v>
      </c>
      <c r="F15" s="55"/>
    </row>
    <row r="16" spans="1:7" s="57" customFormat="1" ht="22.9" customHeight="1" x14ac:dyDescent="0.2">
      <c r="A16" s="271" t="s">
        <v>475</v>
      </c>
      <c r="B16" s="216" t="s">
        <v>470</v>
      </c>
      <c r="C16" s="11"/>
      <c r="D16" s="56" t="str">
        <f t="shared" si="3"/>
        <v>OBRAxxFIN DE MUROS ANCLADOS</v>
      </c>
      <c r="E16" s="64">
        <v>46305</v>
      </c>
      <c r="F16" s="55"/>
    </row>
    <row r="17" spans="1:8" s="57" customFormat="1" ht="22.9" customHeight="1" thickBot="1" x14ac:dyDescent="0.25">
      <c r="A17" s="271" t="s">
        <v>475</v>
      </c>
      <c r="B17" s="211" t="s">
        <v>471</v>
      </c>
      <c r="C17" s="11"/>
      <c r="D17" s="56" t="str">
        <f t="shared" si="3"/>
        <v>OBRAxxFIN DE SOTANOS</v>
      </c>
      <c r="E17" s="64">
        <v>46343</v>
      </c>
      <c r="F17" s="55"/>
    </row>
    <row r="18" spans="1:8" s="57" customFormat="1" ht="22.9" customHeight="1" thickBot="1" x14ac:dyDescent="0.25">
      <c r="A18" s="271" t="s">
        <v>475</v>
      </c>
      <c r="B18" s="212" t="s">
        <v>472</v>
      </c>
      <c r="C18" s="11"/>
      <c r="D18" s="56" t="str">
        <f t="shared" si="3"/>
        <v>OBRAxxTORRE PISO 17</v>
      </c>
      <c r="E18" s="64">
        <v>46346</v>
      </c>
      <c r="F18" s="55"/>
    </row>
    <row r="19" spans="1:8" s="57" customFormat="1" ht="22.9" customHeight="1" x14ac:dyDescent="0.2">
      <c r="A19" s="271" t="s">
        <v>475</v>
      </c>
      <c r="B19" s="213" t="s">
        <v>473</v>
      </c>
      <c r="C19" s="7"/>
      <c r="D19" s="56" t="str">
        <f t="shared" si="3"/>
        <v xml:space="preserve">OBRAxxFIN DE TORRE </v>
      </c>
      <c r="E19" s="64">
        <v>46452</v>
      </c>
      <c r="F19" s="55"/>
      <c r="H19" s="63"/>
    </row>
    <row r="20" spans="1:8" s="57" customFormat="1" ht="22.9" customHeight="1" x14ac:dyDescent="0.2">
      <c r="A20" s="271" t="s">
        <v>475</v>
      </c>
      <c r="B20" s="214" t="s">
        <v>149</v>
      </c>
      <c r="C20" s="58"/>
      <c r="D20" s="56" t="str">
        <f t="shared" si="3"/>
        <v>OBRAxxACABADOS HUMEDOS EN TORRE</v>
      </c>
      <c r="E20" s="64">
        <v>46391</v>
      </c>
      <c r="F20" s="55"/>
      <c r="H20" s="63"/>
    </row>
    <row r="21" spans="1:8" s="57" customFormat="1" ht="22.9" customHeight="1" x14ac:dyDescent="0.2">
      <c r="A21" s="271" t="s">
        <v>475</v>
      </c>
      <c r="B21" s="215" t="s">
        <v>266</v>
      </c>
      <c r="C21" s="58"/>
      <c r="D21" s="56" t="str">
        <f t="shared" si="3"/>
        <v>OBRAxxACABADOS SECOS EN TORRE</v>
      </c>
      <c r="E21" s="64">
        <v>46371</v>
      </c>
      <c r="F21" s="55"/>
      <c r="H21" s="63"/>
    </row>
    <row r="22" spans="1:8" s="57" customFormat="1" ht="22.9" customHeight="1" x14ac:dyDescent="0.2">
      <c r="A22" s="271" t="s">
        <v>475</v>
      </c>
      <c r="B22" s="217" t="s">
        <v>493</v>
      </c>
      <c r="C22" s="58"/>
      <c r="D22" s="56" t="str">
        <f t="shared" si="3"/>
        <v>OBRAxxENTREGA DE DPTOS TORRE 3</v>
      </c>
      <c r="E22" s="64">
        <v>46755</v>
      </c>
      <c r="F22" s="55"/>
      <c r="H22" s="63"/>
    </row>
    <row r="23" spans="1:8" x14ac:dyDescent="0.25">
      <c r="B23" s="44"/>
      <c r="C23" s="12"/>
    </row>
  </sheetData>
  <phoneticPr fontId="2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20E4-2899-4958-9AEF-E302E94304DC}">
  <sheetPr>
    <tabColor rgb="FF92D050"/>
  </sheetPr>
  <dimension ref="A1:QI88"/>
  <sheetViews>
    <sheetView zoomScale="55" zoomScaleNormal="55" workbookViewId="0">
      <pane xSplit="1" ySplit="6" topLeftCell="FJ53" activePane="bottomRight" state="frozen"/>
      <selection pane="topRight" activeCell="B1" sqref="B1"/>
      <selection pane="bottomLeft" activeCell="A7" sqref="A7"/>
      <selection pane="bottomRight" activeCell="DU75" sqref="DU75"/>
    </sheetView>
  </sheetViews>
  <sheetFormatPr baseColWidth="10" defaultColWidth="6.7109375" defaultRowHeight="14.25" outlineLevelRow="1" x14ac:dyDescent="0.2"/>
  <cols>
    <col min="1" max="1" width="71.7109375" style="218" customWidth="1"/>
    <col min="2" max="10" width="5.28515625" style="218" bestFit="1" customWidth="1"/>
    <col min="11" max="11" width="6.42578125" style="218" bestFit="1" customWidth="1"/>
    <col min="12" max="14" width="5.28515625" style="218" bestFit="1" customWidth="1"/>
    <col min="15" max="22" width="5.42578125" style="218" bestFit="1" customWidth="1"/>
    <col min="23" max="23" width="6.28515625" style="218" bestFit="1" customWidth="1"/>
    <col min="24" max="24" width="5.85546875" style="218" bestFit="1" customWidth="1"/>
    <col min="25" max="32" width="6.28515625" style="218" bestFit="1" customWidth="1"/>
    <col min="33" max="33" width="6.7109375" style="218" bestFit="1" customWidth="1"/>
    <col min="34" max="34" width="6.28515625" style="218" bestFit="1" customWidth="1"/>
    <col min="35" max="37" width="6.7109375" style="218" bestFit="1" customWidth="1"/>
    <col min="38" max="38" width="5.42578125" style="218" bestFit="1" customWidth="1"/>
    <col min="39" max="46" width="5.85546875" style="218" bestFit="1" customWidth="1"/>
    <col min="47" max="47" width="6.7109375" style="218" bestFit="1" customWidth="1"/>
    <col min="48" max="48" width="6.28515625" style="218" bestFit="1" customWidth="1"/>
    <col min="49" max="56" width="6.7109375" style="218" bestFit="1" customWidth="1"/>
    <col min="57" max="57" width="7.140625" style="218" bestFit="1" customWidth="1"/>
    <col min="58" max="58" width="6.7109375" style="218" bestFit="1" customWidth="1"/>
    <col min="59" max="61" width="7.42578125" style="218" bestFit="1" customWidth="1"/>
    <col min="62" max="62" width="6.85546875" style="218" bestFit="1" customWidth="1"/>
    <col min="63" max="63" width="6.7109375" style="218" bestFit="1" customWidth="1"/>
    <col min="64" max="64" width="6.85546875" style="218" bestFit="1" customWidth="1"/>
    <col min="65" max="65" width="6.7109375" style="218" bestFit="1" customWidth="1"/>
    <col min="66" max="67" width="6.85546875" style="218" bestFit="1" customWidth="1"/>
    <col min="68" max="77" width="7.42578125" style="218" bestFit="1" customWidth="1"/>
    <col min="78" max="78" width="7.85546875" style="218" bestFit="1" customWidth="1"/>
    <col min="79" max="79" width="7.42578125" style="218" bestFit="1" customWidth="1"/>
    <col min="80" max="82" width="7.85546875" style="218" bestFit="1" customWidth="1"/>
    <col min="83" max="83" width="7.7109375" style="218" bestFit="1" customWidth="1"/>
    <col min="84" max="84" width="7.85546875" style="218" bestFit="1" customWidth="1"/>
    <col min="85" max="85" width="7.7109375" style="218" bestFit="1" customWidth="1"/>
    <col min="86" max="88" width="7.85546875" style="218" bestFit="1" customWidth="1"/>
    <col min="89" max="89" width="7.42578125" style="218" bestFit="1" customWidth="1"/>
    <col min="90" max="92" width="7.85546875" style="218" bestFit="1" customWidth="1"/>
    <col min="93" max="93" width="7.7109375" style="218" bestFit="1" customWidth="1"/>
    <col min="94" max="94" width="7.85546875" style="218" bestFit="1" customWidth="1"/>
    <col min="95" max="95" width="7.7109375" style="218" bestFit="1" customWidth="1"/>
    <col min="96" max="98" width="7.85546875" style="218" bestFit="1" customWidth="1"/>
    <col min="99" max="99" width="7.42578125" style="218" bestFit="1" customWidth="1"/>
    <col min="100" max="102" width="7.85546875" style="218" bestFit="1" customWidth="1"/>
    <col min="103" max="103" width="7.7109375" style="218" bestFit="1" customWidth="1"/>
    <col min="104" max="104" width="7.85546875" style="218" bestFit="1" customWidth="1"/>
    <col min="105" max="105" width="7.7109375" style="218" bestFit="1" customWidth="1"/>
    <col min="106" max="107" width="7.85546875" style="218" bestFit="1" customWidth="1"/>
    <col min="108" max="108" width="7.7109375" style="218" bestFit="1" customWidth="1"/>
    <col min="109" max="109" width="7.42578125" style="218" bestFit="1" customWidth="1"/>
    <col min="110" max="112" width="7.7109375" style="218" bestFit="1" customWidth="1"/>
    <col min="113" max="113" width="7.42578125" style="218" bestFit="1" customWidth="1"/>
    <col min="114" max="114" width="7.7109375" style="218" bestFit="1" customWidth="1"/>
    <col min="115" max="115" width="7.42578125" style="218" bestFit="1" customWidth="1"/>
    <col min="116" max="117" width="7.7109375" style="218" bestFit="1" customWidth="1"/>
    <col min="118" max="118" width="7.85546875" style="218" bestFit="1" customWidth="1"/>
    <col min="119" max="119" width="7.42578125" style="218" bestFit="1" customWidth="1"/>
    <col min="120" max="122" width="7.85546875" style="218" bestFit="1" customWidth="1"/>
    <col min="123" max="123" width="7.7109375" style="218" bestFit="1" customWidth="1"/>
    <col min="124" max="124" width="7.85546875" style="218" bestFit="1" customWidth="1"/>
    <col min="125" max="125" width="7.7109375" style="218" bestFit="1" customWidth="1"/>
    <col min="126" max="127" width="7.85546875" style="218" bestFit="1" customWidth="1"/>
    <col min="128" max="128" width="7.7109375" style="218" bestFit="1" customWidth="1"/>
    <col min="129" max="129" width="7.42578125" style="218" bestFit="1" customWidth="1"/>
    <col min="130" max="132" width="7.7109375" style="218" bestFit="1" customWidth="1"/>
    <col min="133" max="133" width="7.42578125" style="218" bestFit="1" customWidth="1"/>
    <col min="134" max="134" width="7.7109375" style="218" bestFit="1" customWidth="1"/>
    <col min="135" max="135" width="7.42578125" style="218" bestFit="1" customWidth="1"/>
    <col min="136" max="137" width="7.7109375" style="218" bestFit="1" customWidth="1"/>
    <col min="138" max="138" width="7.85546875" style="218" bestFit="1" customWidth="1"/>
    <col min="139" max="139" width="7.42578125" style="218" bestFit="1" customWidth="1"/>
    <col min="140" max="451" width="7.85546875" style="218" bestFit="1" customWidth="1"/>
    <col min="452" max="16384" width="6.7109375" style="218"/>
  </cols>
  <sheetData>
    <row r="1" spans="1:451" ht="16.5" customHeight="1" x14ac:dyDescent="0.2"/>
    <row r="2" spans="1:451" ht="110.25" customHeight="1" thickBot="1" x14ac:dyDescent="0.25">
      <c r="BK2" s="272" t="s">
        <v>478</v>
      </c>
      <c r="BM2" s="272" t="s">
        <v>476</v>
      </c>
      <c r="CI2" s="272" t="s">
        <v>484</v>
      </c>
      <c r="CT2" s="272" t="s">
        <v>485</v>
      </c>
      <c r="CZ2" s="272" t="s">
        <v>479</v>
      </c>
      <c r="DK2" s="272"/>
      <c r="FA2" s="272" t="s">
        <v>477</v>
      </c>
      <c r="HW2" s="272" t="s">
        <v>481</v>
      </c>
      <c r="OZ2" s="272" t="s">
        <v>480</v>
      </c>
    </row>
    <row r="3" spans="1:451" s="222" customFormat="1" ht="37.5" customHeight="1" x14ac:dyDescent="0.2">
      <c r="A3" s="276" t="s">
        <v>475</v>
      </c>
      <c r="B3" s="219">
        <f>YEAR(B5)</f>
        <v>2026</v>
      </c>
      <c r="C3" s="220">
        <f t="shared" ref="C3:BP3" si="0">YEAR(C5)</f>
        <v>2026</v>
      </c>
      <c r="D3" s="220">
        <f t="shared" si="0"/>
        <v>2026</v>
      </c>
      <c r="E3" s="220">
        <f t="shared" si="0"/>
        <v>2026</v>
      </c>
      <c r="F3" s="220">
        <f t="shared" si="0"/>
        <v>2026</v>
      </c>
      <c r="G3" s="220">
        <f t="shared" si="0"/>
        <v>2026</v>
      </c>
      <c r="H3" s="220">
        <f t="shared" si="0"/>
        <v>2026</v>
      </c>
      <c r="I3" s="220">
        <f t="shared" si="0"/>
        <v>2026</v>
      </c>
      <c r="J3" s="220">
        <f t="shared" si="0"/>
        <v>2026</v>
      </c>
      <c r="K3" s="220">
        <f t="shared" si="0"/>
        <v>2026</v>
      </c>
      <c r="L3" s="220">
        <f t="shared" si="0"/>
        <v>2026</v>
      </c>
      <c r="M3" s="220">
        <f t="shared" si="0"/>
        <v>2026</v>
      </c>
      <c r="N3" s="220">
        <f t="shared" si="0"/>
        <v>2026</v>
      </c>
      <c r="O3" s="220">
        <f t="shared" si="0"/>
        <v>2026</v>
      </c>
      <c r="P3" s="220">
        <f t="shared" si="0"/>
        <v>2026</v>
      </c>
      <c r="Q3" s="220">
        <f t="shared" si="0"/>
        <v>2026</v>
      </c>
      <c r="R3" s="220">
        <f t="shared" si="0"/>
        <v>2026</v>
      </c>
      <c r="S3" s="220">
        <f t="shared" si="0"/>
        <v>2026</v>
      </c>
      <c r="T3" s="220">
        <f t="shared" si="0"/>
        <v>2026</v>
      </c>
      <c r="U3" s="220">
        <f t="shared" si="0"/>
        <v>2026</v>
      </c>
      <c r="V3" s="220">
        <f t="shared" si="0"/>
        <v>2026</v>
      </c>
      <c r="W3" s="220">
        <f t="shared" si="0"/>
        <v>2026</v>
      </c>
      <c r="X3" s="220">
        <f t="shared" si="0"/>
        <v>2026</v>
      </c>
      <c r="Y3" s="220">
        <f t="shared" si="0"/>
        <v>2026</v>
      </c>
      <c r="Z3" s="220">
        <f t="shared" si="0"/>
        <v>2026</v>
      </c>
      <c r="AA3" s="220">
        <f t="shared" si="0"/>
        <v>2026</v>
      </c>
      <c r="AB3" s="220">
        <f t="shared" si="0"/>
        <v>2026</v>
      </c>
      <c r="AC3" s="220">
        <f t="shared" si="0"/>
        <v>2026</v>
      </c>
      <c r="AD3" s="220">
        <f t="shared" si="0"/>
        <v>2026</v>
      </c>
      <c r="AE3" s="220">
        <f t="shared" si="0"/>
        <v>2026</v>
      </c>
      <c r="AF3" s="220">
        <f t="shared" si="0"/>
        <v>2026</v>
      </c>
      <c r="AG3" s="220">
        <f t="shared" si="0"/>
        <v>2026</v>
      </c>
      <c r="AH3" s="220">
        <f t="shared" si="0"/>
        <v>2026</v>
      </c>
      <c r="AI3" s="220">
        <f t="shared" si="0"/>
        <v>2026</v>
      </c>
      <c r="AJ3" s="220">
        <f t="shared" si="0"/>
        <v>2026</v>
      </c>
      <c r="AK3" s="220">
        <f t="shared" si="0"/>
        <v>2026</v>
      </c>
      <c r="AL3" s="220">
        <f t="shared" si="0"/>
        <v>2026</v>
      </c>
      <c r="AM3" s="220">
        <f t="shared" si="0"/>
        <v>2026</v>
      </c>
      <c r="AN3" s="220">
        <f t="shared" si="0"/>
        <v>2026</v>
      </c>
      <c r="AO3" s="220">
        <f t="shared" si="0"/>
        <v>2026</v>
      </c>
      <c r="AP3" s="220">
        <f t="shared" si="0"/>
        <v>2026</v>
      </c>
      <c r="AQ3" s="220">
        <f t="shared" si="0"/>
        <v>2026</v>
      </c>
      <c r="AR3" s="220">
        <f t="shared" si="0"/>
        <v>2026</v>
      </c>
      <c r="AS3" s="220">
        <f t="shared" si="0"/>
        <v>2026</v>
      </c>
      <c r="AT3" s="220">
        <f t="shared" si="0"/>
        <v>2026</v>
      </c>
      <c r="AU3" s="220">
        <f t="shared" si="0"/>
        <v>2026</v>
      </c>
      <c r="AV3" s="220">
        <f t="shared" si="0"/>
        <v>2026</v>
      </c>
      <c r="AW3" s="220">
        <f t="shared" si="0"/>
        <v>2026</v>
      </c>
      <c r="AX3" s="220">
        <f t="shared" si="0"/>
        <v>2026</v>
      </c>
      <c r="AY3" s="220">
        <f t="shared" si="0"/>
        <v>2026</v>
      </c>
      <c r="AZ3" s="220">
        <f t="shared" si="0"/>
        <v>2026</v>
      </c>
      <c r="BA3" s="220">
        <f t="shared" si="0"/>
        <v>2026</v>
      </c>
      <c r="BB3" s="220">
        <f t="shared" si="0"/>
        <v>2026</v>
      </c>
      <c r="BC3" s="220">
        <f t="shared" si="0"/>
        <v>2026</v>
      </c>
      <c r="BD3" s="220">
        <f t="shared" si="0"/>
        <v>2026</v>
      </c>
      <c r="BE3" s="220">
        <f t="shared" si="0"/>
        <v>2026</v>
      </c>
      <c r="BF3" s="220">
        <f t="shared" si="0"/>
        <v>2026</v>
      </c>
      <c r="BG3" s="220">
        <f t="shared" si="0"/>
        <v>2026</v>
      </c>
      <c r="BH3" s="220">
        <f t="shared" si="0"/>
        <v>2026</v>
      </c>
      <c r="BI3" s="220">
        <f t="shared" si="0"/>
        <v>2026</v>
      </c>
      <c r="BJ3" s="220">
        <f t="shared" si="0"/>
        <v>2026</v>
      </c>
      <c r="BK3" s="220">
        <f t="shared" si="0"/>
        <v>2026</v>
      </c>
      <c r="BL3" s="220">
        <f t="shared" si="0"/>
        <v>2026</v>
      </c>
      <c r="BM3" s="220">
        <f t="shared" si="0"/>
        <v>2026</v>
      </c>
      <c r="BN3" s="220">
        <f t="shared" si="0"/>
        <v>2026</v>
      </c>
      <c r="BO3" s="220">
        <f t="shared" si="0"/>
        <v>2026</v>
      </c>
      <c r="BP3" s="220">
        <f t="shared" si="0"/>
        <v>2026</v>
      </c>
      <c r="BQ3" s="220">
        <f t="shared" ref="BQ3:EB3" si="1">YEAR(BQ5)</f>
        <v>2026</v>
      </c>
      <c r="BR3" s="220">
        <f t="shared" si="1"/>
        <v>2026</v>
      </c>
      <c r="BS3" s="220">
        <f t="shared" si="1"/>
        <v>2026</v>
      </c>
      <c r="BT3" s="220">
        <f t="shared" si="1"/>
        <v>2026</v>
      </c>
      <c r="BU3" s="220">
        <f t="shared" si="1"/>
        <v>2026</v>
      </c>
      <c r="BV3" s="220">
        <f t="shared" si="1"/>
        <v>2026</v>
      </c>
      <c r="BW3" s="220">
        <f t="shared" si="1"/>
        <v>2026</v>
      </c>
      <c r="BX3" s="220">
        <f t="shared" si="1"/>
        <v>2026</v>
      </c>
      <c r="BY3" s="220">
        <f t="shared" si="1"/>
        <v>2026</v>
      </c>
      <c r="BZ3" s="220">
        <f t="shared" si="1"/>
        <v>2026</v>
      </c>
      <c r="CA3" s="220">
        <f t="shared" si="1"/>
        <v>2026</v>
      </c>
      <c r="CB3" s="220">
        <f t="shared" si="1"/>
        <v>2026</v>
      </c>
      <c r="CC3" s="220">
        <f t="shared" si="1"/>
        <v>2026</v>
      </c>
      <c r="CD3" s="220">
        <f t="shared" si="1"/>
        <v>2026</v>
      </c>
      <c r="CE3" s="220">
        <f t="shared" si="1"/>
        <v>2026</v>
      </c>
      <c r="CF3" s="220">
        <f t="shared" si="1"/>
        <v>2026</v>
      </c>
      <c r="CG3" s="220">
        <f t="shared" si="1"/>
        <v>2026</v>
      </c>
      <c r="CH3" s="220">
        <f t="shared" si="1"/>
        <v>2026</v>
      </c>
      <c r="CI3" s="220">
        <f t="shared" si="1"/>
        <v>2026</v>
      </c>
      <c r="CJ3" s="220">
        <f t="shared" si="1"/>
        <v>2026</v>
      </c>
      <c r="CK3" s="220">
        <f t="shared" si="1"/>
        <v>2026</v>
      </c>
      <c r="CL3" s="220">
        <f t="shared" si="1"/>
        <v>2026</v>
      </c>
      <c r="CM3" s="220">
        <f t="shared" si="1"/>
        <v>2026</v>
      </c>
      <c r="CN3" s="220">
        <f t="shared" si="1"/>
        <v>2026</v>
      </c>
      <c r="CO3" s="220">
        <f t="shared" si="1"/>
        <v>2026</v>
      </c>
      <c r="CP3" s="220">
        <f t="shared" si="1"/>
        <v>2026</v>
      </c>
      <c r="CQ3" s="220">
        <f t="shared" si="1"/>
        <v>2026</v>
      </c>
      <c r="CR3" s="220">
        <f t="shared" si="1"/>
        <v>2026</v>
      </c>
      <c r="CS3" s="220">
        <f t="shared" si="1"/>
        <v>2026</v>
      </c>
      <c r="CT3" s="220">
        <f t="shared" si="1"/>
        <v>2026</v>
      </c>
      <c r="CU3" s="220">
        <f t="shared" si="1"/>
        <v>2026</v>
      </c>
      <c r="CV3" s="220">
        <f t="shared" si="1"/>
        <v>2026</v>
      </c>
      <c r="CW3" s="220">
        <f t="shared" si="1"/>
        <v>2026</v>
      </c>
      <c r="CX3" s="220">
        <f t="shared" si="1"/>
        <v>2027</v>
      </c>
      <c r="CY3" s="220">
        <f t="shared" si="1"/>
        <v>2027</v>
      </c>
      <c r="CZ3" s="220">
        <f t="shared" si="1"/>
        <v>2027</v>
      </c>
      <c r="DA3" s="220">
        <f t="shared" si="1"/>
        <v>2027</v>
      </c>
      <c r="DB3" s="220">
        <f t="shared" si="1"/>
        <v>2027</v>
      </c>
      <c r="DC3" s="220">
        <f t="shared" si="1"/>
        <v>2027</v>
      </c>
      <c r="DD3" s="220">
        <f t="shared" si="1"/>
        <v>2027</v>
      </c>
      <c r="DE3" s="220">
        <f t="shared" si="1"/>
        <v>2027</v>
      </c>
      <c r="DF3" s="220">
        <f t="shared" si="1"/>
        <v>2027</v>
      </c>
      <c r="DG3" s="220">
        <f t="shared" si="1"/>
        <v>2027</v>
      </c>
      <c r="DH3" s="220">
        <f t="shared" si="1"/>
        <v>2027</v>
      </c>
      <c r="DI3" s="220">
        <f t="shared" si="1"/>
        <v>2027</v>
      </c>
      <c r="DJ3" s="220">
        <f t="shared" si="1"/>
        <v>2027</v>
      </c>
      <c r="DK3" s="220">
        <f t="shared" si="1"/>
        <v>2027</v>
      </c>
      <c r="DL3" s="220">
        <f t="shared" si="1"/>
        <v>2027</v>
      </c>
      <c r="DM3" s="220">
        <f t="shared" si="1"/>
        <v>2027</v>
      </c>
      <c r="DN3" s="220">
        <f t="shared" si="1"/>
        <v>2027</v>
      </c>
      <c r="DO3" s="220">
        <f t="shared" si="1"/>
        <v>2027</v>
      </c>
      <c r="DP3" s="220">
        <f t="shared" si="1"/>
        <v>2027</v>
      </c>
      <c r="DQ3" s="220">
        <f t="shared" si="1"/>
        <v>2027</v>
      </c>
      <c r="DR3" s="220">
        <f t="shared" si="1"/>
        <v>2027</v>
      </c>
      <c r="DS3" s="220">
        <f t="shared" si="1"/>
        <v>2027</v>
      </c>
      <c r="DT3" s="220">
        <f t="shared" si="1"/>
        <v>2027</v>
      </c>
      <c r="DU3" s="220">
        <f t="shared" si="1"/>
        <v>2027</v>
      </c>
      <c r="DV3" s="220">
        <f t="shared" si="1"/>
        <v>2027</v>
      </c>
      <c r="DW3" s="220">
        <f t="shared" si="1"/>
        <v>2027</v>
      </c>
      <c r="DX3" s="220">
        <f t="shared" si="1"/>
        <v>2027</v>
      </c>
      <c r="DY3" s="220">
        <f t="shared" si="1"/>
        <v>2027</v>
      </c>
      <c r="DZ3" s="220">
        <f t="shared" si="1"/>
        <v>2027</v>
      </c>
      <c r="EA3" s="220">
        <f t="shared" si="1"/>
        <v>2027</v>
      </c>
      <c r="EB3" s="220">
        <f t="shared" si="1"/>
        <v>2027</v>
      </c>
      <c r="EC3" s="220">
        <f t="shared" ref="EC3:GN3" si="2">YEAR(EC5)</f>
        <v>2027</v>
      </c>
      <c r="ED3" s="220">
        <f t="shared" si="2"/>
        <v>2027</v>
      </c>
      <c r="EE3" s="220">
        <f t="shared" si="2"/>
        <v>2027</v>
      </c>
      <c r="EF3" s="220">
        <f t="shared" si="2"/>
        <v>2027</v>
      </c>
      <c r="EG3" s="220">
        <f t="shared" si="2"/>
        <v>2027</v>
      </c>
      <c r="EH3" s="220">
        <f t="shared" si="2"/>
        <v>2027</v>
      </c>
      <c r="EI3" s="220">
        <f t="shared" si="2"/>
        <v>2027</v>
      </c>
      <c r="EJ3" s="220">
        <f t="shared" si="2"/>
        <v>2027</v>
      </c>
      <c r="EK3" s="220">
        <f t="shared" si="2"/>
        <v>2027</v>
      </c>
      <c r="EL3" s="220">
        <f t="shared" si="2"/>
        <v>2027</v>
      </c>
      <c r="EM3" s="220">
        <f t="shared" si="2"/>
        <v>2027</v>
      </c>
      <c r="EN3" s="220">
        <f t="shared" si="2"/>
        <v>2027</v>
      </c>
      <c r="EO3" s="220">
        <f t="shared" si="2"/>
        <v>2027</v>
      </c>
      <c r="EP3" s="220">
        <f t="shared" si="2"/>
        <v>2027</v>
      </c>
      <c r="EQ3" s="220">
        <f t="shared" si="2"/>
        <v>2027</v>
      </c>
      <c r="ER3" s="220">
        <f t="shared" si="2"/>
        <v>2027</v>
      </c>
      <c r="ES3" s="220">
        <f t="shared" si="2"/>
        <v>2027</v>
      </c>
      <c r="ET3" s="220">
        <f t="shared" si="2"/>
        <v>2027</v>
      </c>
      <c r="EU3" s="220">
        <f t="shared" si="2"/>
        <v>2027</v>
      </c>
      <c r="EV3" s="220">
        <f t="shared" si="2"/>
        <v>2027</v>
      </c>
      <c r="EW3" s="220">
        <f t="shared" si="2"/>
        <v>2027</v>
      </c>
      <c r="EX3" s="220">
        <f t="shared" si="2"/>
        <v>2027</v>
      </c>
      <c r="EY3" s="220">
        <f t="shared" si="2"/>
        <v>2027</v>
      </c>
      <c r="EZ3" s="220">
        <f t="shared" si="2"/>
        <v>2027</v>
      </c>
      <c r="FA3" s="220">
        <f t="shared" si="2"/>
        <v>2027</v>
      </c>
      <c r="FB3" s="220">
        <f t="shared" si="2"/>
        <v>2027</v>
      </c>
      <c r="FC3" s="220">
        <f t="shared" si="2"/>
        <v>2027</v>
      </c>
      <c r="FD3" s="220">
        <f t="shared" si="2"/>
        <v>2027</v>
      </c>
      <c r="FE3" s="220">
        <f t="shared" si="2"/>
        <v>2027</v>
      </c>
      <c r="FF3" s="220">
        <f t="shared" si="2"/>
        <v>2027</v>
      </c>
      <c r="FG3" s="220">
        <f t="shared" si="2"/>
        <v>2027</v>
      </c>
      <c r="FH3" s="220">
        <f t="shared" si="2"/>
        <v>2027</v>
      </c>
      <c r="FI3" s="220">
        <f t="shared" si="2"/>
        <v>2027</v>
      </c>
      <c r="FJ3" s="220">
        <f t="shared" si="2"/>
        <v>2027</v>
      </c>
      <c r="FK3" s="220">
        <f t="shared" si="2"/>
        <v>2027</v>
      </c>
      <c r="FL3" s="220">
        <f t="shared" si="2"/>
        <v>2027</v>
      </c>
      <c r="FM3" s="220">
        <f t="shared" si="2"/>
        <v>2027</v>
      </c>
      <c r="FN3" s="220">
        <f t="shared" si="2"/>
        <v>2027</v>
      </c>
      <c r="FO3" s="220">
        <f t="shared" si="2"/>
        <v>2027</v>
      </c>
      <c r="FP3" s="220">
        <f t="shared" si="2"/>
        <v>2027</v>
      </c>
      <c r="FQ3" s="220">
        <f t="shared" si="2"/>
        <v>2027</v>
      </c>
      <c r="FR3" s="220">
        <f t="shared" si="2"/>
        <v>2027</v>
      </c>
      <c r="FS3" s="220">
        <f t="shared" si="2"/>
        <v>2027</v>
      </c>
      <c r="FT3" s="220">
        <f t="shared" si="2"/>
        <v>2027</v>
      </c>
      <c r="FU3" s="220">
        <f t="shared" si="2"/>
        <v>2027</v>
      </c>
      <c r="FV3" s="220">
        <f t="shared" si="2"/>
        <v>2027</v>
      </c>
      <c r="FW3" s="220">
        <f t="shared" si="2"/>
        <v>2027</v>
      </c>
      <c r="FX3" s="220">
        <f t="shared" si="2"/>
        <v>2027</v>
      </c>
      <c r="FY3" s="220">
        <f t="shared" si="2"/>
        <v>2027</v>
      </c>
      <c r="FZ3" s="220">
        <f t="shared" si="2"/>
        <v>2027</v>
      </c>
      <c r="GA3" s="220">
        <f t="shared" si="2"/>
        <v>2027</v>
      </c>
      <c r="GB3" s="220">
        <f t="shared" si="2"/>
        <v>2027</v>
      </c>
      <c r="GC3" s="220">
        <f t="shared" si="2"/>
        <v>2027</v>
      </c>
      <c r="GD3" s="220">
        <f t="shared" si="2"/>
        <v>2027</v>
      </c>
      <c r="GE3" s="220">
        <f t="shared" si="2"/>
        <v>2027</v>
      </c>
      <c r="GF3" s="220">
        <f t="shared" si="2"/>
        <v>2027</v>
      </c>
      <c r="GG3" s="220">
        <f t="shared" si="2"/>
        <v>2027</v>
      </c>
      <c r="GH3" s="220">
        <f t="shared" si="2"/>
        <v>2027</v>
      </c>
      <c r="GI3" s="220">
        <f t="shared" si="2"/>
        <v>2027</v>
      </c>
      <c r="GJ3" s="220">
        <f t="shared" si="2"/>
        <v>2027</v>
      </c>
      <c r="GK3" s="220">
        <f t="shared" si="2"/>
        <v>2027</v>
      </c>
      <c r="GL3" s="220">
        <f t="shared" si="2"/>
        <v>2027</v>
      </c>
      <c r="GM3" s="220">
        <f t="shared" si="2"/>
        <v>2027</v>
      </c>
      <c r="GN3" s="220">
        <f t="shared" si="2"/>
        <v>2027</v>
      </c>
      <c r="GO3" s="220">
        <f t="shared" ref="GO3:IZ3" si="3">YEAR(GO5)</f>
        <v>2027</v>
      </c>
      <c r="GP3" s="220">
        <f t="shared" si="3"/>
        <v>2027</v>
      </c>
      <c r="GQ3" s="220">
        <f t="shared" si="3"/>
        <v>2027</v>
      </c>
      <c r="GR3" s="220">
        <f t="shared" si="3"/>
        <v>2027</v>
      </c>
      <c r="GS3" s="220">
        <f t="shared" si="3"/>
        <v>2027</v>
      </c>
      <c r="GT3" s="220">
        <f t="shared" si="3"/>
        <v>2027</v>
      </c>
      <c r="GU3" s="220">
        <f t="shared" si="3"/>
        <v>2027</v>
      </c>
      <c r="GV3" s="220">
        <f t="shared" si="3"/>
        <v>2027</v>
      </c>
      <c r="GW3" s="220">
        <f t="shared" si="3"/>
        <v>2027</v>
      </c>
      <c r="GX3" s="220">
        <f t="shared" si="3"/>
        <v>2027</v>
      </c>
      <c r="GY3" s="220">
        <f t="shared" si="3"/>
        <v>2027</v>
      </c>
      <c r="GZ3" s="220">
        <f t="shared" si="3"/>
        <v>2027</v>
      </c>
      <c r="HA3" s="220">
        <f t="shared" si="3"/>
        <v>2027</v>
      </c>
      <c r="HB3" s="220">
        <f t="shared" si="3"/>
        <v>2027</v>
      </c>
      <c r="HC3" s="220">
        <f t="shared" si="3"/>
        <v>2027</v>
      </c>
      <c r="HD3" s="220">
        <f t="shared" si="3"/>
        <v>2027</v>
      </c>
      <c r="HE3" s="220">
        <f t="shared" si="3"/>
        <v>2027</v>
      </c>
      <c r="HF3" s="220">
        <f t="shared" si="3"/>
        <v>2027</v>
      </c>
      <c r="HG3" s="220">
        <f t="shared" si="3"/>
        <v>2027</v>
      </c>
      <c r="HH3" s="220">
        <f t="shared" si="3"/>
        <v>2027</v>
      </c>
      <c r="HI3" s="220">
        <f t="shared" si="3"/>
        <v>2027</v>
      </c>
      <c r="HJ3" s="220">
        <f t="shared" si="3"/>
        <v>2027</v>
      </c>
      <c r="HK3" s="220">
        <f t="shared" si="3"/>
        <v>2027</v>
      </c>
      <c r="HL3" s="220">
        <f t="shared" si="3"/>
        <v>2027</v>
      </c>
      <c r="HM3" s="220">
        <f t="shared" si="3"/>
        <v>2027</v>
      </c>
      <c r="HN3" s="220">
        <f t="shared" si="3"/>
        <v>2027</v>
      </c>
      <c r="HO3" s="220">
        <f t="shared" si="3"/>
        <v>2027</v>
      </c>
      <c r="HP3" s="220">
        <f t="shared" si="3"/>
        <v>2027</v>
      </c>
      <c r="HQ3" s="220">
        <f t="shared" si="3"/>
        <v>2027</v>
      </c>
      <c r="HR3" s="220">
        <f t="shared" si="3"/>
        <v>2027</v>
      </c>
      <c r="HS3" s="220">
        <f t="shared" si="3"/>
        <v>2027</v>
      </c>
      <c r="HT3" s="220">
        <f t="shared" si="3"/>
        <v>2027</v>
      </c>
      <c r="HU3" s="220">
        <f t="shared" si="3"/>
        <v>2027</v>
      </c>
      <c r="HV3" s="220">
        <f t="shared" si="3"/>
        <v>2027</v>
      </c>
      <c r="HW3" s="220">
        <f t="shared" si="3"/>
        <v>2027</v>
      </c>
      <c r="HX3" s="220">
        <f t="shared" si="3"/>
        <v>2027</v>
      </c>
      <c r="HY3" s="220">
        <f t="shared" si="3"/>
        <v>2027</v>
      </c>
      <c r="HZ3" s="220">
        <f t="shared" si="3"/>
        <v>2027</v>
      </c>
      <c r="IA3" s="220">
        <f t="shared" si="3"/>
        <v>2027</v>
      </c>
      <c r="IB3" s="220">
        <f t="shared" si="3"/>
        <v>2027</v>
      </c>
      <c r="IC3" s="220">
        <f t="shared" si="3"/>
        <v>2027</v>
      </c>
      <c r="ID3" s="220">
        <f t="shared" si="3"/>
        <v>2027</v>
      </c>
      <c r="IE3" s="220">
        <f t="shared" si="3"/>
        <v>2027</v>
      </c>
      <c r="IF3" s="220">
        <f t="shared" si="3"/>
        <v>2027</v>
      </c>
      <c r="IG3" s="220">
        <f t="shared" si="3"/>
        <v>2027</v>
      </c>
      <c r="IH3" s="220">
        <f t="shared" si="3"/>
        <v>2027</v>
      </c>
      <c r="II3" s="220">
        <f t="shared" si="3"/>
        <v>2027</v>
      </c>
      <c r="IJ3" s="220">
        <f t="shared" si="3"/>
        <v>2027</v>
      </c>
      <c r="IK3" s="220">
        <f t="shared" si="3"/>
        <v>2027</v>
      </c>
      <c r="IL3" s="220">
        <f t="shared" si="3"/>
        <v>2027</v>
      </c>
      <c r="IM3" s="220">
        <f t="shared" si="3"/>
        <v>2027</v>
      </c>
      <c r="IN3" s="220">
        <f t="shared" si="3"/>
        <v>2027</v>
      </c>
      <c r="IO3" s="220">
        <f t="shared" si="3"/>
        <v>2027</v>
      </c>
      <c r="IP3" s="220">
        <f t="shared" si="3"/>
        <v>2027</v>
      </c>
      <c r="IQ3" s="220">
        <f t="shared" si="3"/>
        <v>2027</v>
      </c>
      <c r="IR3" s="220">
        <f t="shared" si="3"/>
        <v>2027</v>
      </c>
      <c r="IS3" s="220">
        <f t="shared" si="3"/>
        <v>2027</v>
      </c>
      <c r="IT3" s="220">
        <f t="shared" si="3"/>
        <v>2027</v>
      </c>
      <c r="IU3" s="220">
        <f t="shared" si="3"/>
        <v>2027</v>
      </c>
      <c r="IV3" s="220">
        <f t="shared" si="3"/>
        <v>2027</v>
      </c>
      <c r="IW3" s="220">
        <f t="shared" si="3"/>
        <v>2027</v>
      </c>
      <c r="IX3" s="220">
        <f t="shared" si="3"/>
        <v>2027</v>
      </c>
      <c r="IY3" s="220">
        <f t="shared" si="3"/>
        <v>2027</v>
      </c>
      <c r="IZ3" s="220">
        <f t="shared" si="3"/>
        <v>2027</v>
      </c>
      <c r="JA3" s="220">
        <f t="shared" ref="JA3:LL3" si="4">YEAR(JA5)</f>
        <v>2027</v>
      </c>
      <c r="JB3" s="220">
        <f t="shared" si="4"/>
        <v>2027</v>
      </c>
      <c r="JC3" s="220">
        <f t="shared" si="4"/>
        <v>2027</v>
      </c>
      <c r="JD3" s="220">
        <f t="shared" si="4"/>
        <v>2027</v>
      </c>
      <c r="JE3" s="220">
        <f t="shared" si="4"/>
        <v>2027</v>
      </c>
      <c r="JF3" s="220">
        <f t="shared" si="4"/>
        <v>2027</v>
      </c>
      <c r="JG3" s="220">
        <f t="shared" si="4"/>
        <v>2027</v>
      </c>
      <c r="JH3" s="220">
        <f t="shared" si="4"/>
        <v>2027</v>
      </c>
      <c r="JI3" s="220">
        <f t="shared" si="4"/>
        <v>2027</v>
      </c>
      <c r="JJ3" s="220">
        <f t="shared" si="4"/>
        <v>2027</v>
      </c>
      <c r="JK3" s="220">
        <f t="shared" si="4"/>
        <v>2027</v>
      </c>
      <c r="JL3" s="220">
        <f t="shared" si="4"/>
        <v>2027</v>
      </c>
      <c r="JM3" s="220">
        <f t="shared" si="4"/>
        <v>2027</v>
      </c>
      <c r="JN3" s="220">
        <f t="shared" si="4"/>
        <v>2027</v>
      </c>
      <c r="JO3" s="220">
        <f t="shared" si="4"/>
        <v>2027</v>
      </c>
      <c r="JP3" s="220">
        <f t="shared" si="4"/>
        <v>2027</v>
      </c>
      <c r="JQ3" s="220">
        <f t="shared" si="4"/>
        <v>2027</v>
      </c>
      <c r="JR3" s="220">
        <f t="shared" si="4"/>
        <v>2027</v>
      </c>
      <c r="JS3" s="220">
        <f t="shared" si="4"/>
        <v>2027</v>
      </c>
      <c r="JT3" s="220">
        <f t="shared" si="4"/>
        <v>2027</v>
      </c>
      <c r="JU3" s="220">
        <f t="shared" si="4"/>
        <v>2027</v>
      </c>
      <c r="JV3" s="220">
        <f t="shared" si="4"/>
        <v>2027</v>
      </c>
      <c r="JW3" s="220">
        <f t="shared" si="4"/>
        <v>2027</v>
      </c>
      <c r="JX3" s="220">
        <f t="shared" si="4"/>
        <v>2027</v>
      </c>
      <c r="JY3" s="220">
        <f t="shared" si="4"/>
        <v>2027</v>
      </c>
      <c r="JZ3" s="220">
        <f t="shared" si="4"/>
        <v>2027</v>
      </c>
      <c r="KA3" s="220">
        <f t="shared" si="4"/>
        <v>2027</v>
      </c>
      <c r="KB3" s="220">
        <f t="shared" si="4"/>
        <v>2027</v>
      </c>
      <c r="KC3" s="220">
        <f t="shared" si="4"/>
        <v>2027</v>
      </c>
      <c r="KD3" s="220">
        <f t="shared" si="4"/>
        <v>2027</v>
      </c>
      <c r="KE3" s="220">
        <f t="shared" si="4"/>
        <v>2027</v>
      </c>
      <c r="KF3" s="220">
        <f t="shared" si="4"/>
        <v>2027</v>
      </c>
      <c r="KG3" s="220">
        <f t="shared" si="4"/>
        <v>2027</v>
      </c>
      <c r="KH3" s="220">
        <f t="shared" si="4"/>
        <v>2027</v>
      </c>
      <c r="KI3" s="220">
        <f t="shared" si="4"/>
        <v>2027</v>
      </c>
      <c r="KJ3" s="220">
        <f t="shared" si="4"/>
        <v>2027</v>
      </c>
      <c r="KK3" s="220">
        <f t="shared" si="4"/>
        <v>2027</v>
      </c>
      <c r="KL3" s="220">
        <f t="shared" si="4"/>
        <v>2027</v>
      </c>
      <c r="KM3" s="220">
        <f t="shared" si="4"/>
        <v>2027</v>
      </c>
      <c r="KN3" s="220">
        <f t="shared" si="4"/>
        <v>2027</v>
      </c>
      <c r="KO3" s="220">
        <f t="shared" si="4"/>
        <v>2027</v>
      </c>
      <c r="KP3" s="220">
        <f t="shared" si="4"/>
        <v>2027</v>
      </c>
      <c r="KQ3" s="220">
        <f t="shared" si="4"/>
        <v>2027</v>
      </c>
      <c r="KR3" s="220">
        <f t="shared" si="4"/>
        <v>2027</v>
      </c>
      <c r="KS3" s="220">
        <f t="shared" si="4"/>
        <v>2027</v>
      </c>
      <c r="KT3" s="220">
        <f t="shared" si="4"/>
        <v>2027</v>
      </c>
      <c r="KU3" s="220">
        <f t="shared" si="4"/>
        <v>2027</v>
      </c>
      <c r="KV3" s="220">
        <f t="shared" si="4"/>
        <v>2027</v>
      </c>
      <c r="KW3" s="220">
        <f t="shared" si="4"/>
        <v>2027</v>
      </c>
      <c r="KX3" s="220">
        <f t="shared" si="4"/>
        <v>2027</v>
      </c>
      <c r="KY3" s="220">
        <f t="shared" si="4"/>
        <v>2027</v>
      </c>
      <c r="KZ3" s="220">
        <f t="shared" si="4"/>
        <v>2027</v>
      </c>
      <c r="LA3" s="220">
        <f t="shared" si="4"/>
        <v>2027</v>
      </c>
      <c r="LB3" s="220">
        <f t="shared" si="4"/>
        <v>2027</v>
      </c>
      <c r="LC3" s="220">
        <f t="shared" si="4"/>
        <v>2027</v>
      </c>
      <c r="LD3" s="220">
        <f t="shared" si="4"/>
        <v>2027</v>
      </c>
      <c r="LE3" s="220">
        <f t="shared" si="4"/>
        <v>2027</v>
      </c>
      <c r="LF3" s="220">
        <f t="shared" si="4"/>
        <v>2027</v>
      </c>
      <c r="LG3" s="220">
        <f t="shared" si="4"/>
        <v>2027</v>
      </c>
      <c r="LH3" s="220">
        <f t="shared" si="4"/>
        <v>2027</v>
      </c>
      <c r="LI3" s="220">
        <f t="shared" si="4"/>
        <v>2027</v>
      </c>
      <c r="LJ3" s="220">
        <f t="shared" si="4"/>
        <v>2027</v>
      </c>
      <c r="LK3" s="220">
        <f t="shared" si="4"/>
        <v>2027</v>
      </c>
      <c r="LL3" s="220">
        <f t="shared" si="4"/>
        <v>2027</v>
      </c>
      <c r="LM3" s="220">
        <f t="shared" ref="LM3:NX3" si="5">YEAR(LM5)</f>
        <v>2027</v>
      </c>
      <c r="LN3" s="220">
        <f t="shared" si="5"/>
        <v>2027</v>
      </c>
      <c r="LO3" s="220">
        <f t="shared" si="5"/>
        <v>2027</v>
      </c>
      <c r="LP3" s="220">
        <f t="shared" si="5"/>
        <v>2027</v>
      </c>
      <c r="LQ3" s="220">
        <f t="shared" si="5"/>
        <v>2027</v>
      </c>
      <c r="LR3" s="220">
        <f t="shared" si="5"/>
        <v>2027</v>
      </c>
      <c r="LS3" s="220">
        <f t="shared" si="5"/>
        <v>2027</v>
      </c>
      <c r="LT3" s="220">
        <f t="shared" si="5"/>
        <v>2027</v>
      </c>
      <c r="LU3" s="220">
        <f t="shared" si="5"/>
        <v>2027</v>
      </c>
      <c r="LV3" s="220">
        <f t="shared" si="5"/>
        <v>2027</v>
      </c>
      <c r="LW3" s="220">
        <f t="shared" si="5"/>
        <v>2027</v>
      </c>
      <c r="LX3" s="220">
        <f t="shared" si="5"/>
        <v>2027</v>
      </c>
      <c r="LY3" s="220">
        <f t="shared" si="5"/>
        <v>2027</v>
      </c>
      <c r="LZ3" s="220">
        <f t="shared" si="5"/>
        <v>2027</v>
      </c>
      <c r="MA3" s="220">
        <f t="shared" si="5"/>
        <v>2027</v>
      </c>
      <c r="MB3" s="220">
        <f t="shared" si="5"/>
        <v>2027</v>
      </c>
      <c r="MC3" s="220">
        <f t="shared" si="5"/>
        <v>2027</v>
      </c>
      <c r="MD3" s="220">
        <f t="shared" si="5"/>
        <v>2027</v>
      </c>
      <c r="ME3" s="220">
        <f t="shared" si="5"/>
        <v>2027</v>
      </c>
      <c r="MF3" s="220">
        <f t="shared" si="5"/>
        <v>2027</v>
      </c>
      <c r="MG3" s="220">
        <f t="shared" si="5"/>
        <v>2027</v>
      </c>
      <c r="MH3" s="220">
        <f t="shared" si="5"/>
        <v>2027</v>
      </c>
      <c r="MI3" s="220">
        <f t="shared" si="5"/>
        <v>2027</v>
      </c>
      <c r="MJ3" s="220">
        <f t="shared" si="5"/>
        <v>2027</v>
      </c>
      <c r="MK3" s="220">
        <f t="shared" si="5"/>
        <v>2027</v>
      </c>
      <c r="ML3" s="220">
        <f t="shared" si="5"/>
        <v>2027</v>
      </c>
      <c r="MM3" s="220">
        <f t="shared" si="5"/>
        <v>2027</v>
      </c>
      <c r="MN3" s="220">
        <f t="shared" si="5"/>
        <v>2027</v>
      </c>
      <c r="MO3" s="220">
        <f t="shared" si="5"/>
        <v>2027</v>
      </c>
      <c r="MP3" s="220">
        <f t="shared" si="5"/>
        <v>2027</v>
      </c>
      <c r="MQ3" s="220">
        <f t="shared" si="5"/>
        <v>2027</v>
      </c>
      <c r="MR3" s="220">
        <f t="shared" si="5"/>
        <v>2027</v>
      </c>
      <c r="MS3" s="220">
        <f t="shared" si="5"/>
        <v>2027</v>
      </c>
      <c r="MT3" s="220">
        <f t="shared" si="5"/>
        <v>2027</v>
      </c>
      <c r="MU3" s="220">
        <f t="shared" si="5"/>
        <v>2027</v>
      </c>
      <c r="MV3" s="220">
        <f t="shared" si="5"/>
        <v>2027</v>
      </c>
      <c r="MW3" s="220">
        <f t="shared" si="5"/>
        <v>2027</v>
      </c>
      <c r="MX3" s="220">
        <f t="shared" si="5"/>
        <v>2027</v>
      </c>
      <c r="MY3" s="220">
        <f t="shared" si="5"/>
        <v>2027</v>
      </c>
      <c r="MZ3" s="220">
        <f t="shared" si="5"/>
        <v>2027</v>
      </c>
      <c r="NA3" s="220">
        <f t="shared" si="5"/>
        <v>2027</v>
      </c>
      <c r="NB3" s="220">
        <f t="shared" si="5"/>
        <v>2027</v>
      </c>
      <c r="NC3" s="220">
        <f t="shared" si="5"/>
        <v>2027</v>
      </c>
      <c r="ND3" s="220">
        <f t="shared" si="5"/>
        <v>2027</v>
      </c>
      <c r="NE3" s="220">
        <f t="shared" si="5"/>
        <v>2027</v>
      </c>
      <c r="NF3" s="220">
        <f t="shared" si="5"/>
        <v>2027</v>
      </c>
      <c r="NG3" s="220">
        <f t="shared" si="5"/>
        <v>2027</v>
      </c>
      <c r="NH3" s="220">
        <f t="shared" si="5"/>
        <v>2027</v>
      </c>
      <c r="NI3" s="220">
        <f t="shared" si="5"/>
        <v>2027</v>
      </c>
      <c r="NJ3" s="220">
        <f t="shared" si="5"/>
        <v>2027</v>
      </c>
      <c r="NK3" s="220">
        <f t="shared" si="5"/>
        <v>2027</v>
      </c>
      <c r="NL3" s="220">
        <f t="shared" si="5"/>
        <v>2027</v>
      </c>
      <c r="NM3" s="220">
        <f t="shared" si="5"/>
        <v>2027</v>
      </c>
      <c r="NN3" s="220">
        <f t="shared" si="5"/>
        <v>2027</v>
      </c>
      <c r="NO3" s="220">
        <f t="shared" si="5"/>
        <v>2027</v>
      </c>
      <c r="NP3" s="220">
        <f t="shared" si="5"/>
        <v>2027</v>
      </c>
      <c r="NQ3" s="220">
        <f t="shared" si="5"/>
        <v>2027</v>
      </c>
      <c r="NR3" s="220">
        <f t="shared" si="5"/>
        <v>2027</v>
      </c>
      <c r="NS3" s="220">
        <f t="shared" si="5"/>
        <v>2027</v>
      </c>
      <c r="NT3" s="220">
        <f t="shared" si="5"/>
        <v>2027</v>
      </c>
      <c r="NU3" s="220">
        <f t="shared" si="5"/>
        <v>2027</v>
      </c>
      <c r="NV3" s="220">
        <f t="shared" si="5"/>
        <v>2027</v>
      </c>
      <c r="NW3" s="220">
        <f t="shared" si="5"/>
        <v>2027</v>
      </c>
      <c r="NX3" s="220">
        <f t="shared" si="5"/>
        <v>2027</v>
      </c>
      <c r="NY3" s="220">
        <f t="shared" ref="NY3:QI3" si="6">YEAR(NY5)</f>
        <v>2027</v>
      </c>
      <c r="NZ3" s="220">
        <f t="shared" si="6"/>
        <v>2027</v>
      </c>
      <c r="OA3" s="220">
        <f t="shared" si="6"/>
        <v>2027</v>
      </c>
      <c r="OB3" s="220">
        <f t="shared" si="6"/>
        <v>2027</v>
      </c>
      <c r="OC3" s="220">
        <f t="shared" si="6"/>
        <v>2027</v>
      </c>
      <c r="OD3" s="220">
        <f t="shared" si="6"/>
        <v>2027</v>
      </c>
      <c r="OE3" s="220">
        <f t="shared" si="6"/>
        <v>2027</v>
      </c>
      <c r="OF3" s="220">
        <f t="shared" si="6"/>
        <v>2027</v>
      </c>
      <c r="OG3" s="220">
        <f t="shared" si="6"/>
        <v>2027</v>
      </c>
      <c r="OH3" s="220">
        <f t="shared" si="6"/>
        <v>2027</v>
      </c>
      <c r="OI3" s="220">
        <f t="shared" si="6"/>
        <v>2027</v>
      </c>
      <c r="OJ3" s="220">
        <f t="shared" si="6"/>
        <v>2027</v>
      </c>
      <c r="OK3" s="220">
        <f t="shared" si="6"/>
        <v>2027</v>
      </c>
      <c r="OL3" s="220">
        <f t="shared" si="6"/>
        <v>2027</v>
      </c>
      <c r="OM3" s="220">
        <f t="shared" si="6"/>
        <v>2027</v>
      </c>
      <c r="ON3" s="220">
        <f t="shared" si="6"/>
        <v>2027</v>
      </c>
      <c r="OO3" s="220">
        <f t="shared" si="6"/>
        <v>2027</v>
      </c>
      <c r="OP3" s="220">
        <f t="shared" si="6"/>
        <v>2027</v>
      </c>
      <c r="OQ3" s="220">
        <f t="shared" si="6"/>
        <v>2027</v>
      </c>
      <c r="OR3" s="220">
        <f t="shared" si="6"/>
        <v>2027</v>
      </c>
      <c r="OS3" s="220">
        <f t="shared" si="6"/>
        <v>2027</v>
      </c>
      <c r="OT3" s="220">
        <f t="shared" si="6"/>
        <v>2027</v>
      </c>
      <c r="OU3" s="220">
        <f t="shared" si="6"/>
        <v>2027</v>
      </c>
      <c r="OV3" s="220">
        <f t="shared" si="6"/>
        <v>2027</v>
      </c>
      <c r="OW3" s="220">
        <f t="shared" si="6"/>
        <v>2027</v>
      </c>
      <c r="OX3" s="220">
        <f t="shared" si="6"/>
        <v>2027</v>
      </c>
      <c r="OY3" s="220">
        <f t="shared" si="6"/>
        <v>2028</v>
      </c>
      <c r="OZ3" s="220">
        <f t="shared" si="6"/>
        <v>2028</v>
      </c>
      <c r="PA3" s="220">
        <f t="shared" si="6"/>
        <v>2028</v>
      </c>
      <c r="PB3" s="220">
        <f t="shared" si="6"/>
        <v>2028</v>
      </c>
      <c r="PC3" s="220">
        <f t="shared" si="6"/>
        <v>2028</v>
      </c>
      <c r="PD3" s="220">
        <f t="shared" si="6"/>
        <v>2028</v>
      </c>
      <c r="PE3" s="220">
        <f t="shared" si="6"/>
        <v>2028</v>
      </c>
      <c r="PF3" s="220">
        <f t="shared" si="6"/>
        <v>2028</v>
      </c>
      <c r="PG3" s="220">
        <f t="shared" si="6"/>
        <v>2028</v>
      </c>
      <c r="PH3" s="220">
        <f t="shared" si="6"/>
        <v>2028</v>
      </c>
      <c r="PI3" s="220">
        <f t="shared" si="6"/>
        <v>2028</v>
      </c>
      <c r="PJ3" s="220">
        <f t="shared" si="6"/>
        <v>2028</v>
      </c>
      <c r="PK3" s="220">
        <f t="shared" si="6"/>
        <v>2028</v>
      </c>
      <c r="PL3" s="220">
        <f t="shared" si="6"/>
        <v>2028</v>
      </c>
      <c r="PM3" s="220">
        <f t="shared" si="6"/>
        <v>2028</v>
      </c>
      <c r="PN3" s="220">
        <f t="shared" si="6"/>
        <v>2028</v>
      </c>
      <c r="PO3" s="220">
        <f t="shared" si="6"/>
        <v>2028</v>
      </c>
      <c r="PP3" s="220">
        <f t="shared" si="6"/>
        <v>2028</v>
      </c>
      <c r="PQ3" s="220">
        <f t="shared" si="6"/>
        <v>2028</v>
      </c>
      <c r="PR3" s="220">
        <f t="shared" si="6"/>
        <v>2028</v>
      </c>
      <c r="PS3" s="220">
        <f t="shared" si="6"/>
        <v>2028</v>
      </c>
      <c r="PT3" s="220">
        <f t="shared" si="6"/>
        <v>2028</v>
      </c>
      <c r="PU3" s="220">
        <f t="shared" si="6"/>
        <v>2028</v>
      </c>
      <c r="PV3" s="220">
        <f t="shared" si="6"/>
        <v>2028</v>
      </c>
      <c r="PW3" s="220">
        <f t="shared" si="6"/>
        <v>2028</v>
      </c>
      <c r="PX3" s="220">
        <f t="shared" si="6"/>
        <v>2028</v>
      </c>
      <c r="PY3" s="220">
        <f t="shared" si="6"/>
        <v>2028</v>
      </c>
      <c r="PZ3" s="220">
        <f t="shared" si="6"/>
        <v>2028</v>
      </c>
      <c r="QA3" s="220">
        <f t="shared" si="6"/>
        <v>2028</v>
      </c>
      <c r="QB3" s="220">
        <f t="shared" si="6"/>
        <v>2028</v>
      </c>
      <c r="QC3" s="220">
        <f t="shared" si="6"/>
        <v>2028</v>
      </c>
      <c r="QD3" s="220">
        <f t="shared" si="6"/>
        <v>2028</v>
      </c>
      <c r="QE3" s="220">
        <f t="shared" si="6"/>
        <v>2028</v>
      </c>
      <c r="QF3" s="220">
        <f t="shared" si="6"/>
        <v>2028</v>
      </c>
      <c r="QG3" s="220">
        <f t="shared" si="6"/>
        <v>2028</v>
      </c>
      <c r="QH3" s="220">
        <f t="shared" si="6"/>
        <v>2028</v>
      </c>
      <c r="QI3" s="221">
        <f t="shared" si="6"/>
        <v>2028</v>
      </c>
    </row>
    <row r="4" spans="1:451" x14ac:dyDescent="0.2">
      <c r="A4" s="277"/>
      <c r="B4" s="223"/>
      <c r="C4" s="224"/>
      <c r="D4" s="224"/>
      <c r="E4" s="224"/>
      <c r="F4" s="224"/>
      <c r="G4" s="224"/>
      <c r="H4" s="224"/>
      <c r="I4" s="224"/>
      <c r="J4" s="224"/>
      <c r="K4" s="224" t="s">
        <v>267</v>
      </c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  <c r="BA4" s="224"/>
      <c r="BB4" s="224"/>
      <c r="BC4" s="224"/>
      <c r="BD4" s="224"/>
      <c r="BE4" s="224"/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  <c r="BU4" s="224"/>
      <c r="BV4" s="224"/>
      <c r="BW4" s="224"/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24"/>
      <c r="CW4" s="224"/>
      <c r="CX4" s="224"/>
      <c r="CY4" s="224"/>
      <c r="CZ4" s="224"/>
      <c r="DA4" s="224"/>
      <c r="DB4" s="224"/>
      <c r="DC4" s="224"/>
      <c r="DD4" s="224"/>
      <c r="DE4" s="224"/>
      <c r="DF4" s="224"/>
      <c r="DG4" s="224"/>
      <c r="DH4" s="224"/>
      <c r="DI4" s="224"/>
      <c r="DJ4" s="224"/>
      <c r="DK4" s="224"/>
      <c r="DL4" s="224"/>
      <c r="DM4" s="224"/>
      <c r="DN4" s="224"/>
      <c r="DO4" s="224"/>
      <c r="DP4" s="224"/>
      <c r="DQ4" s="224"/>
      <c r="DR4" s="224"/>
      <c r="DS4" s="224"/>
      <c r="DT4" s="224"/>
      <c r="DU4" s="224"/>
      <c r="DV4" s="224"/>
      <c r="DW4" s="224"/>
      <c r="DX4" s="224"/>
      <c r="DY4" s="224"/>
      <c r="DZ4" s="224"/>
      <c r="EA4" s="224"/>
      <c r="EB4" s="224"/>
      <c r="EC4" s="224"/>
      <c r="ED4" s="224"/>
      <c r="EE4" s="224"/>
      <c r="EF4" s="224"/>
      <c r="EG4" s="224"/>
      <c r="EH4" s="224"/>
      <c r="EI4" s="224"/>
      <c r="EJ4" s="224"/>
      <c r="EK4" s="224"/>
      <c r="EL4" s="224"/>
      <c r="EM4" s="224"/>
      <c r="EN4" s="224"/>
      <c r="EO4" s="224"/>
      <c r="EP4" s="224"/>
      <c r="EQ4" s="224"/>
      <c r="ER4" s="224"/>
      <c r="ES4" s="224"/>
      <c r="ET4" s="224"/>
      <c r="EU4" s="224"/>
      <c r="EV4" s="224"/>
      <c r="EW4" s="224"/>
      <c r="EX4" s="224"/>
      <c r="EY4" s="224"/>
      <c r="EZ4" s="224"/>
      <c r="FA4" s="224"/>
      <c r="FB4" s="224"/>
      <c r="FC4" s="224"/>
      <c r="FD4" s="224"/>
      <c r="FE4" s="224"/>
      <c r="FF4" s="224"/>
      <c r="FG4" s="224"/>
      <c r="FH4" s="224"/>
      <c r="FI4" s="224"/>
      <c r="FJ4" s="224"/>
      <c r="FK4" s="224"/>
      <c r="FL4" s="224"/>
      <c r="FM4" s="224"/>
      <c r="FN4" s="224"/>
      <c r="FO4" s="224"/>
      <c r="FP4" s="224"/>
      <c r="FQ4" s="224"/>
      <c r="FR4" s="224"/>
      <c r="FS4" s="224"/>
      <c r="FT4" s="224"/>
      <c r="FU4" s="224"/>
      <c r="FV4" s="224"/>
      <c r="FW4" s="224"/>
      <c r="FX4" s="224"/>
      <c r="FY4" s="224"/>
      <c r="FZ4" s="224"/>
      <c r="GA4" s="224"/>
      <c r="GB4" s="224"/>
      <c r="GC4" s="224"/>
      <c r="GD4" s="224"/>
      <c r="GE4" s="224"/>
      <c r="GF4" s="224"/>
      <c r="GG4" s="224"/>
      <c r="GH4" s="224"/>
      <c r="GI4" s="224"/>
      <c r="GJ4" s="224"/>
      <c r="GK4" s="224"/>
      <c r="GL4" s="224"/>
      <c r="GM4" s="224"/>
      <c r="GN4" s="224"/>
      <c r="GO4" s="224"/>
      <c r="GP4" s="224"/>
      <c r="GQ4" s="224"/>
      <c r="GR4" s="224"/>
      <c r="GS4" s="224"/>
      <c r="GT4" s="224"/>
      <c r="GU4" s="224"/>
      <c r="GV4" s="224"/>
      <c r="GW4" s="224"/>
      <c r="GX4" s="224"/>
      <c r="GY4" s="224"/>
      <c r="GZ4" s="224"/>
      <c r="HA4" s="224"/>
      <c r="HB4" s="224"/>
      <c r="HC4" s="224"/>
      <c r="HD4" s="224"/>
      <c r="HE4" s="224"/>
      <c r="HF4" s="224"/>
      <c r="HG4" s="224"/>
      <c r="HH4" s="224"/>
      <c r="HI4" s="224"/>
      <c r="HJ4" s="224"/>
      <c r="HK4" s="224"/>
      <c r="HL4" s="224"/>
      <c r="HM4" s="224"/>
      <c r="HN4" s="224"/>
      <c r="HO4" s="224"/>
      <c r="HP4" s="224"/>
      <c r="HQ4" s="224"/>
      <c r="HR4" s="224"/>
      <c r="HS4" s="224"/>
      <c r="HT4" s="224"/>
      <c r="HU4" s="224"/>
      <c r="HV4" s="224"/>
      <c r="HW4" s="224"/>
      <c r="HX4" s="224"/>
      <c r="HY4" s="224"/>
      <c r="HZ4" s="224"/>
      <c r="IA4" s="224"/>
      <c r="IB4" s="224"/>
      <c r="IC4" s="224"/>
      <c r="ID4" s="224"/>
      <c r="IE4" s="224"/>
      <c r="IF4" s="224"/>
      <c r="IG4" s="224"/>
      <c r="IH4" s="224"/>
      <c r="II4" s="224"/>
      <c r="IJ4" s="224"/>
      <c r="IK4" s="224"/>
      <c r="IL4" s="224"/>
      <c r="IM4" s="224"/>
      <c r="IN4" s="224"/>
      <c r="IO4" s="224"/>
      <c r="IP4" s="224"/>
      <c r="IQ4" s="224"/>
      <c r="IR4" s="224"/>
      <c r="IS4" s="224"/>
      <c r="IT4" s="224"/>
      <c r="IU4" s="224"/>
      <c r="IV4" s="224"/>
      <c r="IW4" s="224"/>
      <c r="IX4" s="224"/>
      <c r="IY4" s="224"/>
      <c r="IZ4" s="224"/>
      <c r="JA4" s="224"/>
      <c r="JB4" s="224"/>
      <c r="JC4" s="224"/>
      <c r="JD4" s="224"/>
      <c r="JE4" s="224"/>
      <c r="JF4" s="224"/>
      <c r="JG4" s="224"/>
      <c r="JH4" s="224"/>
      <c r="JI4" s="224"/>
      <c r="JJ4" s="224"/>
      <c r="JK4" s="224"/>
      <c r="JL4" s="224"/>
      <c r="JM4" s="224"/>
      <c r="JN4" s="224"/>
      <c r="JO4" s="224"/>
      <c r="JP4" s="224"/>
      <c r="JQ4" s="224"/>
      <c r="JR4" s="224"/>
      <c r="JS4" s="224"/>
      <c r="JT4" s="224"/>
      <c r="JU4" s="224"/>
      <c r="JV4" s="224"/>
      <c r="JW4" s="224"/>
      <c r="JX4" s="224"/>
      <c r="JY4" s="224"/>
      <c r="JZ4" s="224"/>
      <c r="KA4" s="224"/>
      <c r="KB4" s="224"/>
      <c r="KC4" s="224"/>
      <c r="KD4" s="224"/>
      <c r="KE4" s="224"/>
      <c r="KF4" s="224"/>
      <c r="KG4" s="224"/>
      <c r="KH4" s="224"/>
      <c r="KI4" s="224"/>
      <c r="KJ4" s="224"/>
      <c r="KK4" s="224"/>
      <c r="KL4" s="224"/>
      <c r="KM4" s="224"/>
      <c r="KN4" s="224"/>
      <c r="KO4" s="224"/>
      <c r="KP4" s="224"/>
      <c r="KQ4" s="224"/>
      <c r="KR4" s="224"/>
      <c r="KS4" s="224"/>
      <c r="KT4" s="224"/>
      <c r="KU4" s="224"/>
      <c r="KV4" s="224"/>
      <c r="KW4" s="224"/>
      <c r="KX4" s="224"/>
      <c r="KY4" s="224"/>
      <c r="KZ4" s="224"/>
      <c r="LA4" s="224"/>
      <c r="LB4" s="224"/>
      <c r="LC4" s="224"/>
      <c r="LD4" s="224"/>
      <c r="LE4" s="224"/>
      <c r="LF4" s="224"/>
      <c r="LG4" s="224"/>
      <c r="LH4" s="224"/>
      <c r="LI4" s="224"/>
      <c r="LJ4" s="224"/>
      <c r="LK4" s="224"/>
      <c r="LL4" s="224"/>
      <c r="LM4" s="224"/>
      <c r="LN4" s="224"/>
      <c r="LO4" s="224"/>
      <c r="LP4" s="224"/>
      <c r="LQ4" s="224"/>
      <c r="LR4" s="224"/>
      <c r="LS4" s="224"/>
      <c r="LT4" s="224"/>
      <c r="LU4" s="224"/>
      <c r="LV4" s="224"/>
      <c r="LW4" s="224"/>
      <c r="LX4" s="224"/>
      <c r="LY4" s="224"/>
      <c r="LZ4" s="224"/>
      <c r="MA4" s="224"/>
      <c r="MB4" s="224"/>
      <c r="MC4" s="224"/>
      <c r="MD4" s="224"/>
      <c r="ME4" s="224"/>
      <c r="MF4" s="224"/>
      <c r="MG4" s="224"/>
      <c r="MH4" s="224"/>
      <c r="MI4" s="224"/>
      <c r="MJ4" s="224"/>
      <c r="MK4" s="224"/>
      <c r="ML4" s="224"/>
      <c r="MM4" s="224"/>
      <c r="MN4" s="224"/>
      <c r="MO4" s="224"/>
      <c r="MP4" s="224"/>
      <c r="MQ4" s="224"/>
      <c r="MR4" s="224"/>
      <c r="MS4" s="224"/>
      <c r="MT4" s="224"/>
      <c r="MU4" s="224"/>
      <c r="MV4" s="224"/>
      <c r="MW4" s="224"/>
      <c r="MX4" s="224"/>
      <c r="MY4" s="224"/>
      <c r="MZ4" s="224"/>
      <c r="NA4" s="224"/>
      <c r="NB4" s="224"/>
      <c r="NC4" s="224"/>
      <c r="ND4" s="224"/>
      <c r="NE4" s="224"/>
      <c r="NF4" s="224"/>
      <c r="NG4" s="224"/>
      <c r="NH4" s="224"/>
      <c r="NI4" s="224"/>
      <c r="NJ4" s="224"/>
      <c r="NK4" s="224"/>
      <c r="NL4" s="224"/>
      <c r="NM4" s="224"/>
      <c r="NN4" s="224"/>
      <c r="NO4" s="224"/>
      <c r="NP4" s="224"/>
      <c r="NQ4" s="224"/>
      <c r="NR4" s="224"/>
      <c r="NS4" s="224"/>
      <c r="NT4" s="224"/>
      <c r="NU4" s="224"/>
      <c r="NV4" s="224"/>
      <c r="NW4" s="224"/>
      <c r="NX4" s="224"/>
      <c r="NY4" s="224"/>
      <c r="NZ4" s="224"/>
      <c r="OA4" s="224"/>
      <c r="OB4" s="224"/>
      <c r="OC4" s="224"/>
      <c r="OD4" s="224"/>
      <c r="OE4" s="224"/>
      <c r="OF4" s="224"/>
      <c r="OG4" s="224"/>
      <c r="OH4" s="224"/>
      <c r="OI4" s="224"/>
      <c r="OJ4" s="224"/>
      <c r="OK4" s="224"/>
      <c r="OL4" s="224"/>
      <c r="OM4" s="224"/>
      <c r="ON4" s="224"/>
      <c r="OO4" s="224"/>
      <c r="OP4" s="224"/>
      <c r="OQ4" s="224"/>
      <c r="OR4" s="224"/>
      <c r="OS4" s="224"/>
      <c r="OT4" s="224"/>
      <c r="OU4" s="224"/>
      <c r="OV4" s="224"/>
      <c r="OW4" s="224"/>
      <c r="OX4" s="224"/>
      <c r="OY4" s="224"/>
      <c r="OZ4" s="224"/>
      <c r="PA4" s="224"/>
      <c r="PB4" s="224"/>
      <c r="PC4" s="224"/>
      <c r="PD4" s="224"/>
      <c r="PE4" s="224"/>
      <c r="PF4" s="224"/>
      <c r="PG4" s="224"/>
      <c r="PH4" s="224"/>
      <c r="PI4" s="224"/>
      <c r="PJ4" s="224"/>
      <c r="PK4" s="224"/>
      <c r="PL4" s="224"/>
      <c r="PM4" s="224"/>
      <c r="PN4" s="224"/>
      <c r="PO4" s="224"/>
      <c r="PP4" s="224"/>
      <c r="PQ4" s="224"/>
      <c r="PR4" s="224"/>
      <c r="PS4" s="224"/>
      <c r="PT4" s="224"/>
      <c r="PU4" s="224"/>
      <c r="PV4" s="224"/>
      <c r="PW4" s="224"/>
      <c r="PX4" s="224"/>
      <c r="PY4" s="224"/>
      <c r="PZ4" s="224"/>
      <c r="QA4" s="224"/>
      <c r="QB4" s="224"/>
      <c r="QC4" s="224"/>
      <c r="QD4" s="224"/>
      <c r="QE4" s="224"/>
      <c r="QF4" s="224"/>
      <c r="QG4" s="224"/>
      <c r="QH4" s="224"/>
      <c r="QI4" s="225"/>
    </row>
    <row r="5" spans="1:451" s="229" customFormat="1" ht="45.75" customHeight="1" x14ac:dyDescent="0.2">
      <c r="A5" s="277"/>
      <c r="B5" s="226">
        <v>46272</v>
      </c>
      <c r="C5" s="227">
        <f t="shared" ref="C5:G5" si="7">+B5+1</f>
        <v>46273</v>
      </c>
      <c r="D5" s="227">
        <f t="shared" si="7"/>
        <v>46274</v>
      </c>
      <c r="E5" s="227">
        <f>+D5+1</f>
        <v>46275</v>
      </c>
      <c r="F5" s="227">
        <f t="shared" si="7"/>
        <v>46276</v>
      </c>
      <c r="G5" s="227">
        <f t="shared" si="7"/>
        <v>46277</v>
      </c>
      <c r="H5" s="227">
        <f>+G5+2</f>
        <v>46279</v>
      </c>
      <c r="I5" s="227">
        <f>+H5+1</f>
        <v>46280</v>
      </c>
      <c r="J5" s="227">
        <f t="shared" ref="J5:M5" si="8">+I5+1</f>
        <v>46281</v>
      </c>
      <c r="K5" s="227">
        <f t="shared" si="8"/>
        <v>46282</v>
      </c>
      <c r="L5" s="227">
        <f t="shared" si="8"/>
        <v>46283</v>
      </c>
      <c r="M5" s="227">
        <f t="shared" si="8"/>
        <v>46284</v>
      </c>
      <c r="N5" s="227">
        <f>+M5+2</f>
        <v>46286</v>
      </c>
      <c r="O5" s="227">
        <f>+N5+1</f>
        <v>46287</v>
      </c>
      <c r="P5" s="227">
        <f t="shared" ref="P5:S5" si="9">+O5+1</f>
        <v>46288</v>
      </c>
      <c r="Q5" s="227">
        <f t="shared" si="9"/>
        <v>46289</v>
      </c>
      <c r="R5" s="227">
        <f t="shared" si="9"/>
        <v>46290</v>
      </c>
      <c r="S5" s="227">
        <f t="shared" si="9"/>
        <v>46291</v>
      </c>
      <c r="T5" s="227">
        <f>+S5+2</f>
        <v>46293</v>
      </c>
      <c r="U5" s="227">
        <f>+T5+1</f>
        <v>46294</v>
      </c>
      <c r="V5" s="227">
        <f t="shared" ref="V5:Y5" si="10">+U5+1</f>
        <v>46295</v>
      </c>
      <c r="W5" s="227">
        <f t="shared" si="10"/>
        <v>46296</v>
      </c>
      <c r="X5" s="227">
        <f t="shared" si="10"/>
        <v>46297</v>
      </c>
      <c r="Y5" s="227">
        <f t="shared" si="10"/>
        <v>46298</v>
      </c>
      <c r="Z5" s="227">
        <f>+Y5+2</f>
        <v>46300</v>
      </c>
      <c r="AA5" s="227">
        <f>+Z5+1</f>
        <v>46301</v>
      </c>
      <c r="AB5" s="227">
        <f t="shared" ref="AB5:AE5" si="11">+AA5+1</f>
        <v>46302</v>
      </c>
      <c r="AC5" s="227">
        <f t="shared" si="11"/>
        <v>46303</v>
      </c>
      <c r="AD5" s="227">
        <f t="shared" si="11"/>
        <v>46304</v>
      </c>
      <c r="AE5" s="227">
        <f t="shared" si="11"/>
        <v>46305</v>
      </c>
      <c r="AF5" s="227">
        <f>+AE5+2</f>
        <v>46307</v>
      </c>
      <c r="AG5" s="227">
        <f>+AF5+1</f>
        <v>46308</v>
      </c>
      <c r="AH5" s="227">
        <f t="shared" ref="AH5:AK5" si="12">+AG5+1</f>
        <v>46309</v>
      </c>
      <c r="AI5" s="227">
        <f t="shared" si="12"/>
        <v>46310</v>
      </c>
      <c r="AJ5" s="227">
        <f t="shared" si="12"/>
        <v>46311</v>
      </c>
      <c r="AK5" s="227">
        <f t="shared" si="12"/>
        <v>46312</v>
      </c>
      <c r="AL5" s="227">
        <f>+AK5+2</f>
        <v>46314</v>
      </c>
      <c r="AM5" s="227">
        <f>+AL5+1</f>
        <v>46315</v>
      </c>
      <c r="AN5" s="227">
        <f t="shared" ref="AN5:AQ5" si="13">+AM5+1</f>
        <v>46316</v>
      </c>
      <c r="AO5" s="227">
        <f t="shared" si="13"/>
        <v>46317</v>
      </c>
      <c r="AP5" s="227">
        <f t="shared" si="13"/>
        <v>46318</v>
      </c>
      <c r="AQ5" s="227">
        <f t="shared" si="13"/>
        <v>46319</v>
      </c>
      <c r="AR5" s="227">
        <f>+AQ5+2</f>
        <v>46321</v>
      </c>
      <c r="AS5" s="227">
        <f>+AR5+1</f>
        <v>46322</v>
      </c>
      <c r="AT5" s="227">
        <f t="shared" ref="AT5:AW5" si="14">+AS5+1</f>
        <v>46323</v>
      </c>
      <c r="AU5" s="227">
        <f t="shared" si="14"/>
        <v>46324</v>
      </c>
      <c r="AV5" s="227">
        <f t="shared" si="14"/>
        <v>46325</v>
      </c>
      <c r="AW5" s="227">
        <f t="shared" si="14"/>
        <v>46326</v>
      </c>
      <c r="AX5" s="227">
        <f>+AW5+2</f>
        <v>46328</v>
      </c>
      <c r="AY5" s="227">
        <f>+AX5+1</f>
        <v>46329</v>
      </c>
      <c r="AZ5" s="227">
        <f t="shared" ref="AZ5:BC5" si="15">+AY5+1</f>
        <v>46330</v>
      </c>
      <c r="BA5" s="227">
        <f t="shared" si="15"/>
        <v>46331</v>
      </c>
      <c r="BB5" s="227">
        <f t="shared" si="15"/>
        <v>46332</v>
      </c>
      <c r="BC5" s="227">
        <f t="shared" si="15"/>
        <v>46333</v>
      </c>
      <c r="BD5" s="227">
        <f>+BC5+2</f>
        <v>46335</v>
      </c>
      <c r="BE5" s="227">
        <f>+BD5+1</f>
        <v>46336</v>
      </c>
      <c r="BF5" s="227">
        <f t="shared" ref="BF5:BI5" si="16">+BE5+1</f>
        <v>46337</v>
      </c>
      <c r="BG5" s="227">
        <f t="shared" si="16"/>
        <v>46338</v>
      </c>
      <c r="BH5" s="227">
        <f t="shared" si="16"/>
        <v>46339</v>
      </c>
      <c r="BI5" s="227">
        <f t="shared" si="16"/>
        <v>46340</v>
      </c>
      <c r="BJ5" s="227">
        <f>+BI5+2</f>
        <v>46342</v>
      </c>
      <c r="BK5" s="227">
        <f>+BJ5+1</f>
        <v>46343</v>
      </c>
      <c r="BL5" s="227">
        <f t="shared" ref="BL5:BO5" si="17">+BK5+1</f>
        <v>46344</v>
      </c>
      <c r="BM5" s="227">
        <f t="shared" si="17"/>
        <v>46345</v>
      </c>
      <c r="BN5" s="227">
        <f t="shared" si="17"/>
        <v>46346</v>
      </c>
      <c r="BO5" s="227">
        <f t="shared" si="17"/>
        <v>46347</v>
      </c>
      <c r="BP5" s="227">
        <f>+BO5+2</f>
        <v>46349</v>
      </c>
      <c r="BQ5" s="227">
        <f>+BP5+1</f>
        <v>46350</v>
      </c>
      <c r="BR5" s="227">
        <f t="shared" ref="BR5:BU5" si="18">+BQ5+1</f>
        <v>46351</v>
      </c>
      <c r="BS5" s="227">
        <f t="shared" si="18"/>
        <v>46352</v>
      </c>
      <c r="BT5" s="227">
        <f t="shared" si="18"/>
        <v>46353</v>
      </c>
      <c r="BU5" s="227">
        <f t="shared" si="18"/>
        <v>46354</v>
      </c>
      <c r="BV5" s="227">
        <f>+BU5+2</f>
        <v>46356</v>
      </c>
      <c r="BW5" s="227">
        <f>+BV5+1</f>
        <v>46357</v>
      </c>
      <c r="BX5" s="227">
        <f t="shared" ref="BX5:CA5" si="19">+BW5+1</f>
        <v>46358</v>
      </c>
      <c r="BY5" s="227">
        <f t="shared" si="19"/>
        <v>46359</v>
      </c>
      <c r="BZ5" s="227">
        <f t="shared" si="19"/>
        <v>46360</v>
      </c>
      <c r="CA5" s="227">
        <f t="shared" si="19"/>
        <v>46361</v>
      </c>
      <c r="CB5" s="227">
        <f>+CA5+2</f>
        <v>46363</v>
      </c>
      <c r="CC5" s="227">
        <f>+CB5+1</f>
        <v>46364</v>
      </c>
      <c r="CD5" s="227">
        <f t="shared" ref="CD5:CG5" si="20">+CC5+1</f>
        <v>46365</v>
      </c>
      <c r="CE5" s="227">
        <f t="shared" si="20"/>
        <v>46366</v>
      </c>
      <c r="CF5" s="227">
        <f t="shared" si="20"/>
        <v>46367</v>
      </c>
      <c r="CG5" s="227">
        <f t="shared" si="20"/>
        <v>46368</v>
      </c>
      <c r="CH5" s="227">
        <f>+CG5+2</f>
        <v>46370</v>
      </c>
      <c r="CI5" s="227">
        <f>+CH5+1</f>
        <v>46371</v>
      </c>
      <c r="CJ5" s="227">
        <f t="shared" ref="CJ5:CM5" si="21">+CI5+1</f>
        <v>46372</v>
      </c>
      <c r="CK5" s="227">
        <f t="shared" si="21"/>
        <v>46373</v>
      </c>
      <c r="CL5" s="227">
        <f t="shared" si="21"/>
        <v>46374</v>
      </c>
      <c r="CM5" s="227">
        <f t="shared" si="21"/>
        <v>46375</v>
      </c>
      <c r="CN5" s="227">
        <f>+CM5+2</f>
        <v>46377</v>
      </c>
      <c r="CO5" s="227">
        <f>+CN5+1</f>
        <v>46378</v>
      </c>
      <c r="CP5" s="227">
        <f t="shared" ref="CP5:CS5" si="22">+CO5+1</f>
        <v>46379</v>
      </c>
      <c r="CQ5" s="227">
        <f t="shared" si="22"/>
        <v>46380</v>
      </c>
      <c r="CR5" s="227">
        <f t="shared" si="22"/>
        <v>46381</v>
      </c>
      <c r="CS5" s="227">
        <f t="shared" si="22"/>
        <v>46382</v>
      </c>
      <c r="CT5" s="227">
        <f>+CS5+2</f>
        <v>46384</v>
      </c>
      <c r="CU5" s="227">
        <f>+CT5+1</f>
        <v>46385</v>
      </c>
      <c r="CV5" s="227">
        <f t="shared" ref="CV5:CY5" si="23">+CU5+1</f>
        <v>46386</v>
      </c>
      <c r="CW5" s="227">
        <f t="shared" si="23"/>
        <v>46387</v>
      </c>
      <c r="CX5" s="227">
        <f t="shared" si="23"/>
        <v>46388</v>
      </c>
      <c r="CY5" s="227">
        <f t="shared" si="23"/>
        <v>46389</v>
      </c>
      <c r="CZ5" s="227">
        <f>+CY5+2</f>
        <v>46391</v>
      </c>
      <c r="DA5" s="227">
        <f>+CZ5+1</f>
        <v>46392</v>
      </c>
      <c r="DB5" s="227">
        <f t="shared" ref="DB5:DE5" si="24">+DA5+1</f>
        <v>46393</v>
      </c>
      <c r="DC5" s="227">
        <f t="shared" si="24"/>
        <v>46394</v>
      </c>
      <c r="DD5" s="227">
        <f t="shared" si="24"/>
        <v>46395</v>
      </c>
      <c r="DE5" s="227">
        <f t="shared" si="24"/>
        <v>46396</v>
      </c>
      <c r="DF5" s="227">
        <f>+DE5+2</f>
        <v>46398</v>
      </c>
      <c r="DG5" s="227">
        <f>+DF5+1</f>
        <v>46399</v>
      </c>
      <c r="DH5" s="227">
        <f t="shared" ref="DH5:DK5" si="25">+DG5+1</f>
        <v>46400</v>
      </c>
      <c r="DI5" s="227">
        <f t="shared" si="25"/>
        <v>46401</v>
      </c>
      <c r="DJ5" s="227">
        <f t="shared" si="25"/>
        <v>46402</v>
      </c>
      <c r="DK5" s="227">
        <f t="shared" si="25"/>
        <v>46403</v>
      </c>
      <c r="DL5" s="227">
        <f>+DK5+2</f>
        <v>46405</v>
      </c>
      <c r="DM5" s="227">
        <f>+DL5+1</f>
        <v>46406</v>
      </c>
      <c r="DN5" s="227">
        <f t="shared" ref="DN5:DQ5" si="26">+DM5+1</f>
        <v>46407</v>
      </c>
      <c r="DO5" s="227">
        <f t="shared" si="26"/>
        <v>46408</v>
      </c>
      <c r="DP5" s="227">
        <f t="shared" si="26"/>
        <v>46409</v>
      </c>
      <c r="DQ5" s="227">
        <f t="shared" si="26"/>
        <v>46410</v>
      </c>
      <c r="DR5" s="227">
        <f>+DQ5+2</f>
        <v>46412</v>
      </c>
      <c r="DS5" s="227">
        <f>+DR5+1</f>
        <v>46413</v>
      </c>
      <c r="DT5" s="227">
        <f t="shared" ref="DT5:DW5" si="27">+DS5+1</f>
        <v>46414</v>
      </c>
      <c r="DU5" s="227">
        <f t="shared" si="27"/>
        <v>46415</v>
      </c>
      <c r="DV5" s="227">
        <f t="shared" si="27"/>
        <v>46416</v>
      </c>
      <c r="DW5" s="227">
        <f t="shared" si="27"/>
        <v>46417</v>
      </c>
      <c r="DX5" s="227">
        <f>+DW5+2</f>
        <v>46419</v>
      </c>
      <c r="DY5" s="227">
        <f>+DX5+1</f>
        <v>46420</v>
      </c>
      <c r="DZ5" s="227">
        <f t="shared" ref="DZ5:EC5" si="28">+DY5+1</f>
        <v>46421</v>
      </c>
      <c r="EA5" s="227">
        <f t="shared" si="28"/>
        <v>46422</v>
      </c>
      <c r="EB5" s="227">
        <f t="shared" si="28"/>
        <v>46423</v>
      </c>
      <c r="EC5" s="227">
        <f t="shared" si="28"/>
        <v>46424</v>
      </c>
      <c r="ED5" s="227">
        <f>+EC5+2</f>
        <v>46426</v>
      </c>
      <c r="EE5" s="227">
        <f>+ED5+1</f>
        <v>46427</v>
      </c>
      <c r="EF5" s="227">
        <f t="shared" ref="EF5:EI5" si="29">+EE5+1</f>
        <v>46428</v>
      </c>
      <c r="EG5" s="227">
        <f t="shared" si="29"/>
        <v>46429</v>
      </c>
      <c r="EH5" s="227">
        <f t="shared" si="29"/>
        <v>46430</v>
      </c>
      <c r="EI5" s="227">
        <f t="shared" si="29"/>
        <v>46431</v>
      </c>
      <c r="EJ5" s="227">
        <f>+EI5+2</f>
        <v>46433</v>
      </c>
      <c r="EK5" s="227">
        <f>+EJ5+1</f>
        <v>46434</v>
      </c>
      <c r="EL5" s="227">
        <f t="shared" ref="EL5:EO5" si="30">+EK5+1</f>
        <v>46435</v>
      </c>
      <c r="EM5" s="227">
        <f t="shared" si="30"/>
        <v>46436</v>
      </c>
      <c r="EN5" s="227">
        <f t="shared" si="30"/>
        <v>46437</v>
      </c>
      <c r="EO5" s="227">
        <f t="shared" si="30"/>
        <v>46438</v>
      </c>
      <c r="EP5" s="227">
        <f>+EO5+2</f>
        <v>46440</v>
      </c>
      <c r="EQ5" s="227">
        <f>+EP5+1</f>
        <v>46441</v>
      </c>
      <c r="ER5" s="227">
        <f t="shared" ref="ER5:EU5" si="31">+EQ5+1</f>
        <v>46442</v>
      </c>
      <c r="ES5" s="227">
        <f t="shared" si="31"/>
        <v>46443</v>
      </c>
      <c r="ET5" s="227">
        <f t="shared" si="31"/>
        <v>46444</v>
      </c>
      <c r="EU5" s="227">
        <f t="shared" si="31"/>
        <v>46445</v>
      </c>
      <c r="EV5" s="227">
        <f>+EU5+2</f>
        <v>46447</v>
      </c>
      <c r="EW5" s="227">
        <f>+EV5+1</f>
        <v>46448</v>
      </c>
      <c r="EX5" s="227">
        <f t="shared" ref="EX5:FA5" si="32">+EW5+1</f>
        <v>46449</v>
      </c>
      <c r="EY5" s="227">
        <f t="shared" si="32"/>
        <v>46450</v>
      </c>
      <c r="EZ5" s="227">
        <f t="shared" si="32"/>
        <v>46451</v>
      </c>
      <c r="FA5" s="227">
        <f t="shared" si="32"/>
        <v>46452</v>
      </c>
      <c r="FB5" s="227">
        <f>+FA5+2</f>
        <v>46454</v>
      </c>
      <c r="FC5" s="227">
        <f>+FB5+1</f>
        <v>46455</v>
      </c>
      <c r="FD5" s="227">
        <f t="shared" ref="FD5:FG5" si="33">+FC5+1</f>
        <v>46456</v>
      </c>
      <c r="FE5" s="227">
        <f t="shared" si="33"/>
        <v>46457</v>
      </c>
      <c r="FF5" s="227">
        <f t="shared" si="33"/>
        <v>46458</v>
      </c>
      <c r="FG5" s="227">
        <f t="shared" si="33"/>
        <v>46459</v>
      </c>
      <c r="FH5" s="227">
        <f>+FG5+2</f>
        <v>46461</v>
      </c>
      <c r="FI5" s="227">
        <f>+FH5+1</f>
        <v>46462</v>
      </c>
      <c r="FJ5" s="227">
        <f t="shared" ref="FJ5:FM5" si="34">+FI5+1</f>
        <v>46463</v>
      </c>
      <c r="FK5" s="227">
        <f t="shared" si="34"/>
        <v>46464</v>
      </c>
      <c r="FL5" s="227">
        <f t="shared" si="34"/>
        <v>46465</v>
      </c>
      <c r="FM5" s="227">
        <f t="shared" si="34"/>
        <v>46466</v>
      </c>
      <c r="FN5" s="227">
        <f>+FM5+2</f>
        <v>46468</v>
      </c>
      <c r="FO5" s="227">
        <f>+FN5+1</f>
        <v>46469</v>
      </c>
      <c r="FP5" s="227">
        <f t="shared" ref="FP5:FS5" si="35">+FO5+1</f>
        <v>46470</v>
      </c>
      <c r="FQ5" s="227">
        <f t="shared" si="35"/>
        <v>46471</v>
      </c>
      <c r="FR5" s="227">
        <f t="shared" si="35"/>
        <v>46472</v>
      </c>
      <c r="FS5" s="227">
        <f t="shared" si="35"/>
        <v>46473</v>
      </c>
      <c r="FT5" s="227">
        <f>+FS5+2</f>
        <v>46475</v>
      </c>
      <c r="FU5" s="227">
        <f>+FT5+1</f>
        <v>46476</v>
      </c>
      <c r="FV5" s="227">
        <f t="shared" ref="FV5:FY5" si="36">+FU5+1</f>
        <v>46477</v>
      </c>
      <c r="FW5" s="227">
        <f t="shared" si="36"/>
        <v>46478</v>
      </c>
      <c r="FX5" s="227">
        <f t="shared" si="36"/>
        <v>46479</v>
      </c>
      <c r="FY5" s="227">
        <f t="shared" si="36"/>
        <v>46480</v>
      </c>
      <c r="FZ5" s="227">
        <f>+FY5+2</f>
        <v>46482</v>
      </c>
      <c r="GA5" s="227">
        <f>+FZ5+1</f>
        <v>46483</v>
      </c>
      <c r="GB5" s="227">
        <f t="shared" ref="GB5:GE5" si="37">+GA5+1</f>
        <v>46484</v>
      </c>
      <c r="GC5" s="227">
        <f t="shared" si="37"/>
        <v>46485</v>
      </c>
      <c r="GD5" s="227">
        <f t="shared" si="37"/>
        <v>46486</v>
      </c>
      <c r="GE5" s="227">
        <f t="shared" si="37"/>
        <v>46487</v>
      </c>
      <c r="GF5" s="227">
        <f>+GE5+2</f>
        <v>46489</v>
      </c>
      <c r="GG5" s="227">
        <f>+GF5+1</f>
        <v>46490</v>
      </c>
      <c r="GH5" s="227">
        <f t="shared" ref="GH5:GK5" si="38">+GG5+1</f>
        <v>46491</v>
      </c>
      <c r="GI5" s="227">
        <f t="shared" si="38"/>
        <v>46492</v>
      </c>
      <c r="GJ5" s="227">
        <f t="shared" si="38"/>
        <v>46493</v>
      </c>
      <c r="GK5" s="227">
        <f t="shared" si="38"/>
        <v>46494</v>
      </c>
      <c r="GL5" s="227">
        <f>+GK5+2</f>
        <v>46496</v>
      </c>
      <c r="GM5" s="227">
        <f>+GL5+1</f>
        <v>46497</v>
      </c>
      <c r="GN5" s="227">
        <f t="shared" ref="GN5:GQ5" si="39">+GM5+1</f>
        <v>46498</v>
      </c>
      <c r="GO5" s="227">
        <f t="shared" si="39"/>
        <v>46499</v>
      </c>
      <c r="GP5" s="227">
        <f t="shared" si="39"/>
        <v>46500</v>
      </c>
      <c r="GQ5" s="227">
        <f t="shared" si="39"/>
        <v>46501</v>
      </c>
      <c r="GR5" s="227">
        <f>+GQ5+2</f>
        <v>46503</v>
      </c>
      <c r="GS5" s="227">
        <f>+GR5+1</f>
        <v>46504</v>
      </c>
      <c r="GT5" s="227">
        <f t="shared" ref="GT5:GW5" si="40">+GS5+1</f>
        <v>46505</v>
      </c>
      <c r="GU5" s="227">
        <f t="shared" si="40"/>
        <v>46506</v>
      </c>
      <c r="GV5" s="227">
        <f t="shared" si="40"/>
        <v>46507</v>
      </c>
      <c r="GW5" s="227">
        <f t="shared" si="40"/>
        <v>46508</v>
      </c>
      <c r="GX5" s="227">
        <f>+GW5+2</f>
        <v>46510</v>
      </c>
      <c r="GY5" s="227">
        <f>+GX5+1</f>
        <v>46511</v>
      </c>
      <c r="GZ5" s="227">
        <f t="shared" ref="GZ5:HC5" si="41">+GY5+1</f>
        <v>46512</v>
      </c>
      <c r="HA5" s="227">
        <f t="shared" si="41"/>
        <v>46513</v>
      </c>
      <c r="HB5" s="227">
        <f t="shared" si="41"/>
        <v>46514</v>
      </c>
      <c r="HC5" s="227">
        <f t="shared" si="41"/>
        <v>46515</v>
      </c>
      <c r="HD5" s="227">
        <f>+HC5+2</f>
        <v>46517</v>
      </c>
      <c r="HE5" s="227">
        <f>+HD5+1</f>
        <v>46518</v>
      </c>
      <c r="HF5" s="227">
        <f t="shared" ref="HF5:HI5" si="42">+HE5+1</f>
        <v>46519</v>
      </c>
      <c r="HG5" s="227">
        <f t="shared" si="42"/>
        <v>46520</v>
      </c>
      <c r="HH5" s="227">
        <f t="shared" si="42"/>
        <v>46521</v>
      </c>
      <c r="HI5" s="227">
        <f t="shared" si="42"/>
        <v>46522</v>
      </c>
      <c r="HJ5" s="227">
        <f>+HI5+2</f>
        <v>46524</v>
      </c>
      <c r="HK5" s="227">
        <f>+HJ5+1</f>
        <v>46525</v>
      </c>
      <c r="HL5" s="227">
        <f t="shared" ref="HL5:HO5" si="43">+HK5+1</f>
        <v>46526</v>
      </c>
      <c r="HM5" s="227">
        <f t="shared" si="43"/>
        <v>46527</v>
      </c>
      <c r="HN5" s="227">
        <f t="shared" si="43"/>
        <v>46528</v>
      </c>
      <c r="HO5" s="227">
        <f t="shared" si="43"/>
        <v>46529</v>
      </c>
      <c r="HP5" s="227">
        <f>+HO5+2</f>
        <v>46531</v>
      </c>
      <c r="HQ5" s="227">
        <f>+HP5+1</f>
        <v>46532</v>
      </c>
      <c r="HR5" s="227">
        <f t="shared" ref="HR5:HU5" si="44">+HQ5+1</f>
        <v>46533</v>
      </c>
      <c r="HS5" s="227">
        <f t="shared" si="44"/>
        <v>46534</v>
      </c>
      <c r="HT5" s="227">
        <f t="shared" si="44"/>
        <v>46535</v>
      </c>
      <c r="HU5" s="227">
        <f t="shared" si="44"/>
        <v>46536</v>
      </c>
      <c r="HV5" s="227">
        <f>+HU5+2</f>
        <v>46538</v>
      </c>
      <c r="HW5" s="227">
        <f>+HV5+1</f>
        <v>46539</v>
      </c>
      <c r="HX5" s="227">
        <f t="shared" ref="HX5:IA5" si="45">+HW5+1</f>
        <v>46540</v>
      </c>
      <c r="HY5" s="227">
        <f t="shared" si="45"/>
        <v>46541</v>
      </c>
      <c r="HZ5" s="227">
        <f t="shared" si="45"/>
        <v>46542</v>
      </c>
      <c r="IA5" s="227">
        <f t="shared" si="45"/>
        <v>46543</v>
      </c>
      <c r="IB5" s="227">
        <f>+IA5+2</f>
        <v>46545</v>
      </c>
      <c r="IC5" s="227">
        <f>+IB5+1</f>
        <v>46546</v>
      </c>
      <c r="ID5" s="227">
        <f t="shared" ref="ID5:IG5" si="46">+IC5+1</f>
        <v>46547</v>
      </c>
      <c r="IE5" s="227">
        <f t="shared" si="46"/>
        <v>46548</v>
      </c>
      <c r="IF5" s="227">
        <f t="shared" si="46"/>
        <v>46549</v>
      </c>
      <c r="IG5" s="227">
        <f t="shared" si="46"/>
        <v>46550</v>
      </c>
      <c r="IH5" s="227">
        <f>+IG5+2</f>
        <v>46552</v>
      </c>
      <c r="II5" s="227">
        <f>+IH5+1</f>
        <v>46553</v>
      </c>
      <c r="IJ5" s="227">
        <f t="shared" ref="IJ5:IM5" si="47">+II5+1</f>
        <v>46554</v>
      </c>
      <c r="IK5" s="227">
        <f t="shared" si="47"/>
        <v>46555</v>
      </c>
      <c r="IL5" s="227">
        <f t="shared" si="47"/>
        <v>46556</v>
      </c>
      <c r="IM5" s="227">
        <f t="shared" si="47"/>
        <v>46557</v>
      </c>
      <c r="IN5" s="227">
        <f>+IM5+2</f>
        <v>46559</v>
      </c>
      <c r="IO5" s="227">
        <f>+IN5+1</f>
        <v>46560</v>
      </c>
      <c r="IP5" s="227">
        <f t="shared" ref="IP5:IS5" si="48">+IO5+1</f>
        <v>46561</v>
      </c>
      <c r="IQ5" s="227">
        <f t="shared" si="48"/>
        <v>46562</v>
      </c>
      <c r="IR5" s="227">
        <f t="shared" si="48"/>
        <v>46563</v>
      </c>
      <c r="IS5" s="227">
        <f t="shared" si="48"/>
        <v>46564</v>
      </c>
      <c r="IT5" s="227">
        <f>+IS5+2</f>
        <v>46566</v>
      </c>
      <c r="IU5" s="227">
        <f>+IT5+1</f>
        <v>46567</v>
      </c>
      <c r="IV5" s="227">
        <f t="shared" ref="IV5:IY5" si="49">+IU5+1</f>
        <v>46568</v>
      </c>
      <c r="IW5" s="227">
        <f t="shared" si="49"/>
        <v>46569</v>
      </c>
      <c r="IX5" s="227">
        <f t="shared" si="49"/>
        <v>46570</v>
      </c>
      <c r="IY5" s="227">
        <f t="shared" si="49"/>
        <v>46571</v>
      </c>
      <c r="IZ5" s="227">
        <f>+IY5+2</f>
        <v>46573</v>
      </c>
      <c r="JA5" s="227">
        <f>+IZ5+1</f>
        <v>46574</v>
      </c>
      <c r="JB5" s="227">
        <f t="shared" ref="JB5:JE5" si="50">+JA5+1</f>
        <v>46575</v>
      </c>
      <c r="JC5" s="227">
        <f t="shared" si="50"/>
        <v>46576</v>
      </c>
      <c r="JD5" s="227">
        <f t="shared" si="50"/>
        <v>46577</v>
      </c>
      <c r="JE5" s="227">
        <f t="shared" si="50"/>
        <v>46578</v>
      </c>
      <c r="JF5" s="227">
        <f>+JE5+2</f>
        <v>46580</v>
      </c>
      <c r="JG5" s="227">
        <f>+JF5+1</f>
        <v>46581</v>
      </c>
      <c r="JH5" s="227">
        <f t="shared" ref="JH5:JK5" si="51">+JG5+1</f>
        <v>46582</v>
      </c>
      <c r="JI5" s="227">
        <f t="shared" si="51"/>
        <v>46583</v>
      </c>
      <c r="JJ5" s="227">
        <f t="shared" si="51"/>
        <v>46584</v>
      </c>
      <c r="JK5" s="227">
        <f t="shared" si="51"/>
        <v>46585</v>
      </c>
      <c r="JL5" s="227">
        <f>+JK5+2</f>
        <v>46587</v>
      </c>
      <c r="JM5" s="227">
        <f>+JL5+1</f>
        <v>46588</v>
      </c>
      <c r="JN5" s="227">
        <f t="shared" ref="JN5:JQ5" si="52">+JM5+1</f>
        <v>46589</v>
      </c>
      <c r="JO5" s="227">
        <f t="shared" si="52"/>
        <v>46590</v>
      </c>
      <c r="JP5" s="227">
        <f t="shared" si="52"/>
        <v>46591</v>
      </c>
      <c r="JQ5" s="227">
        <f t="shared" si="52"/>
        <v>46592</v>
      </c>
      <c r="JR5" s="227">
        <f>+JQ5+2</f>
        <v>46594</v>
      </c>
      <c r="JS5" s="227">
        <f>+JR5+1</f>
        <v>46595</v>
      </c>
      <c r="JT5" s="227">
        <f t="shared" ref="JT5:JW5" si="53">+JS5+1</f>
        <v>46596</v>
      </c>
      <c r="JU5" s="227">
        <f t="shared" si="53"/>
        <v>46597</v>
      </c>
      <c r="JV5" s="227">
        <f t="shared" si="53"/>
        <v>46598</v>
      </c>
      <c r="JW5" s="227">
        <f t="shared" si="53"/>
        <v>46599</v>
      </c>
      <c r="JX5" s="227">
        <f>+JW5+2</f>
        <v>46601</v>
      </c>
      <c r="JY5" s="227">
        <f>+JX5+1</f>
        <v>46602</v>
      </c>
      <c r="JZ5" s="227">
        <f t="shared" ref="JZ5:KC5" si="54">+JY5+1</f>
        <v>46603</v>
      </c>
      <c r="KA5" s="227">
        <f t="shared" si="54"/>
        <v>46604</v>
      </c>
      <c r="KB5" s="227">
        <f t="shared" si="54"/>
        <v>46605</v>
      </c>
      <c r="KC5" s="227">
        <f t="shared" si="54"/>
        <v>46606</v>
      </c>
      <c r="KD5" s="227">
        <f>+KC5+2</f>
        <v>46608</v>
      </c>
      <c r="KE5" s="227">
        <f>+KD5+1</f>
        <v>46609</v>
      </c>
      <c r="KF5" s="227">
        <f t="shared" ref="KF5:KI5" si="55">+KE5+1</f>
        <v>46610</v>
      </c>
      <c r="KG5" s="227">
        <f t="shared" si="55"/>
        <v>46611</v>
      </c>
      <c r="KH5" s="227">
        <f t="shared" si="55"/>
        <v>46612</v>
      </c>
      <c r="KI5" s="227">
        <f t="shared" si="55"/>
        <v>46613</v>
      </c>
      <c r="KJ5" s="227">
        <f>+KI5+2</f>
        <v>46615</v>
      </c>
      <c r="KK5" s="227">
        <f>+KJ5+1</f>
        <v>46616</v>
      </c>
      <c r="KL5" s="227">
        <f t="shared" ref="KL5:KO5" si="56">+KK5+1</f>
        <v>46617</v>
      </c>
      <c r="KM5" s="227">
        <f t="shared" si="56"/>
        <v>46618</v>
      </c>
      <c r="KN5" s="227">
        <f t="shared" si="56"/>
        <v>46619</v>
      </c>
      <c r="KO5" s="227">
        <f t="shared" si="56"/>
        <v>46620</v>
      </c>
      <c r="KP5" s="227">
        <f>+KO5+2</f>
        <v>46622</v>
      </c>
      <c r="KQ5" s="227">
        <f>+KP5+1</f>
        <v>46623</v>
      </c>
      <c r="KR5" s="227">
        <f t="shared" ref="KR5:KU5" si="57">+KQ5+1</f>
        <v>46624</v>
      </c>
      <c r="KS5" s="227">
        <f t="shared" si="57"/>
        <v>46625</v>
      </c>
      <c r="KT5" s="227">
        <f t="shared" si="57"/>
        <v>46626</v>
      </c>
      <c r="KU5" s="227">
        <f t="shared" si="57"/>
        <v>46627</v>
      </c>
      <c r="KV5" s="227">
        <f>+KU5+2</f>
        <v>46629</v>
      </c>
      <c r="KW5" s="227">
        <f>+KV5+1</f>
        <v>46630</v>
      </c>
      <c r="KX5" s="227">
        <f t="shared" ref="KX5:LA5" si="58">+KW5+1</f>
        <v>46631</v>
      </c>
      <c r="KY5" s="227">
        <f t="shared" si="58"/>
        <v>46632</v>
      </c>
      <c r="KZ5" s="227">
        <f t="shared" si="58"/>
        <v>46633</v>
      </c>
      <c r="LA5" s="227">
        <f t="shared" si="58"/>
        <v>46634</v>
      </c>
      <c r="LB5" s="227">
        <f>+LA5+2</f>
        <v>46636</v>
      </c>
      <c r="LC5" s="227">
        <f>+LB5+1</f>
        <v>46637</v>
      </c>
      <c r="LD5" s="227">
        <f t="shared" ref="LD5:LG5" si="59">+LC5+1</f>
        <v>46638</v>
      </c>
      <c r="LE5" s="227">
        <f t="shared" si="59"/>
        <v>46639</v>
      </c>
      <c r="LF5" s="227">
        <f t="shared" si="59"/>
        <v>46640</v>
      </c>
      <c r="LG5" s="227">
        <f t="shared" si="59"/>
        <v>46641</v>
      </c>
      <c r="LH5" s="227">
        <f>+LG5+2</f>
        <v>46643</v>
      </c>
      <c r="LI5" s="227">
        <f>+LH5+1</f>
        <v>46644</v>
      </c>
      <c r="LJ5" s="227">
        <f t="shared" ref="LJ5:LM5" si="60">+LI5+1</f>
        <v>46645</v>
      </c>
      <c r="LK5" s="227">
        <f t="shared" si="60"/>
        <v>46646</v>
      </c>
      <c r="LL5" s="227">
        <f t="shared" si="60"/>
        <v>46647</v>
      </c>
      <c r="LM5" s="227">
        <f t="shared" si="60"/>
        <v>46648</v>
      </c>
      <c r="LN5" s="227">
        <f>+LM5+2</f>
        <v>46650</v>
      </c>
      <c r="LO5" s="227">
        <f>+LN5+1</f>
        <v>46651</v>
      </c>
      <c r="LP5" s="227">
        <f t="shared" ref="LP5:LS5" si="61">+LO5+1</f>
        <v>46652</v>
      </c>
      <c r="LQ5" s="227">
        <f t="shared" si="61"/>
        <v>46653</v>
      </c>
      <c r="LR5" s="227">
        <f t="shared" si="61"/>
        <v>46654</v>
      </c>
      <c r="LS5" s="227">
        <f t="shared" si="61"/>
        <v>46655</v>
      </c>
      <c r="LT5" s="227">
        <f>+LS5+2</f>
        <v>46657</v>
      </c>
      <c r="LU5" s="227">
        <f>+LT5+1</f>
        <v>46658</v>
      </c>
      <c r="LV5" s="227">
        <f t="shared" ref="LV5:LY5" si="62">+LU5+1</f>
        <v>46659</v>
      </c>
      <c r="LW5" s="227">
        <f t="shared" si="62"/>
        <v>46660</v>
      </c>
      <c r="LX5" s="227">
        <f t="shared" si="62"/>
        <v>46661</v>
      </c>
      <c r="LY5" s="227">
        <f t="shared" si="62"/>
        <v>46662</v>
      </c>
      <c r="LZ5" s="227">
        <f>+LY5+2</f>
        <v>46664</v>
      </c>
      <c r="MA5" s="227">
        <f>+LZ5+1</f>
        <v>46665</v>
      </c>
      <c r="MB5" s="227">
        <f t="shared" ref="MB5:ME5" si="63">+MA5+1</f>
        <v>46666</v>
      </c>
      <c r="MC5" s="227">
        <f t="shared" si="63"/>
        <v>46667</v>
      </c>
      <c r="MD5" s="227">
        <f t="shared" si="63"/>
        <v>46668</v>
      </c>
      <c r="ME5" s="227">
        <f t="shared" si="63"/>
        <v>46669</v>
      </c>
      <c r="MF5" s="227">
        <f>+ME5+2</f>
        <v>46671</v>
      </c>
      <c r="MG5" s="227">
        <f>+MF5+1</f>
        <v>46672</v>
      </c>
      <c r="MH5" s="227">
        <f t="shared" ref="MH5:MK5" si="64">+MG5+1</f>
        <v>46673</v>
      </c>
      <c r="MI5" s="227">
        <f t="shared" si="64"/>
        <v>46674</v>
      </c>
      <c r="MJ5" s="227">
        <f t="shared" si="64"/>
        <v>46675</v>
      </c>
      <c r="MK5" s="227">
        <f t="shared" si="64"/>
        <v>46676</v>
      </c>
      <c r="ML5" s="227">
        <f>+MK5+2</f>
        <v>46678</v>
      </c>
      <c r="MM5" s="227">
        <f>+ML5+1</f>
        <v>46679</v>
      </c>
      <c r="MN5" s="227">
        <f t="shared" ref="MN5:MQ5" si="65">+MM5+1</f>
        <v>46680</v>
      </c>
      <c r="MO5" s="227">
        <f t="shared" si="65"/>
        <v>46681</v>
      </c>
      <c r="MP5" s="227">
        <f t="shared" si="65"/>
        <v>46682</v>
      </c>
      <c r="MQ5" s="227">
        <f t="shared" si="65"/>
        <v>46683</v>
      </c>
      <c r="MR5" s="227">
        <f>+MQ5+2</f>
        <v>46685</v>
      </c>
      <c r="MS5" s="227">
        <f>+MR5+1</f>
        <v>46686</v>
      </c>
      <c r="MT5" s="227">
        <f t="shared" ref="MT5:MW5" si="66">+MS5+1</f>
        <v>46687</v>
      </c>
      <c r="MU5" s="227">
        <f t="shared" si="66"/>
        <v>46688</v>
      </c>
      <c r="MV5" s="227">
        <f t="shared" si="66"/>
        <v>46689</v>
      </c>
      <c r="MW5" s="227">
        <f t="shared" si="66"/>
        <v>46690</v>
      </c>
      <c r="MX5" s="227">
        <f>+MW5+2</f>
        <v>46692</v>
      </c>
      <c r="MY5" s="227">
        <f>+MX5+1</f>
        <v>46693</v>
      </c>
      <c r="MZ5" s="227">
        <f t="shared" ref="MZ5:NC5" si="67">+MY5+1</f>
        <v>46694</v>
      </c>
      <c r="NA5" s="227">
        <f t="shared" si="67"/>
        <v>46695</v>
      </c>
      <c r="NB5" s="227">
        <f t="shared" si="67"/>
        <v>46696</v>
      </c>
      <c r="NC5" s="227">
        <f t="shared" si="67"/>
        <v>46697</v>
      </c>
      <c r="ND5" s="227">
        <f>+NC5+2</f>
        <v>46699</v>
      </c>
      <c r="NE5" s="227">
        <f>+ND5+1</f>
        <v>46700</v>
      </c>
      <c r="NF5" s="227">
        <f t="shared" ref="NF5:NI5" si="68">+NE5+1</f>
        <v>46701</v>
      </c>
      <c r="NG5" s="227">
        <f t="shared" si="68"/>
        <v>46702</v>
      </c>
      <c r="NH5" s="227">
        <f t="shared" si="68"/>
        <v>46703</v>
      </c>
      <c r="NI5" s="227">
        <f t="shared" si="68"/>
        <v>46704</v>
      </c>
      <c r="NJ5" s="227">
        <f>+NI5+2</f>
        <v>46706</v>
      </c>
      <c r="NK5" s="227">
        <f>+NJ5+1</f>
        <v>46707</v>
      </c>
      <c r="NL5" s="227">
        <f t="shared" ref="NL5:NO5" si="69">+NK5+1</f>
        <v>46708</v>
      </c>
      <c r="NM5" s="227">
        <f t="shared" si="69"/>
        <v>46709</v>
      </c>
      <c r="NN5" s="227">
        <f t="shared" si="69"/>
        <v>46710</v>
      </c>
      <c r="NO5" s="227">
        <f t="shared" si="69"/>
        <v>46711</v>
      </c>
      <c r="NP5" s="227">
        <f>+NO5+2</f>
        <v>46713</v>
      </c>
      <c r="NQ5" s="227">
        <f>+NP5+1</f>
        <v>46714</v>
      </c>
      <c r="NR5" s="227">
        <f t="shared" ref="NR5:NU5" si="70">+NQ5+1</f>
        <v>46715</v>
      </c>
      <c r="NS5" s="227">
        <f t="shared" si="70"/>
        <v>46716</v>
      </c>
      <c r="NT5" s="227">
        <f t="shared" si="70"/>
        <v>46717</v>
      </c>
      <c r="NU5" s="227">
        <f t="shared" si="70"/>
        <v>46718</v>
      </c>
      <c r="NV5" s="227">
        <f>+NU5+2</f>
        <v>46720</v>
      </c>
      <c r="NW5" s="227">
        <f>+NV5+1</f>
        <v>46721</v>
      </c>
      <c r="NX5" s="227">
        <f t="shared" ref="NX5:OA5" si="71">+NW5+1</f>
        <v>46722</v>
      </c>
      <c r="NY5" s="227">
        <f t="shared" si="71"/>
        <v>46723</v>
      </c>
      <c r="NZ5" s="227">
        <f t="shared" si="71"/>
        <v>46724</v>
      </c>
      <c r="OA5" s="227">
        <f t="shared" si="71"/>
        <v>46725</v>
      </c>
      <c r="OB5" s="227">
        <f>+OA5+2</f>
        <v>46727</v>
      </c>
      <c r="OC5" s="227">
        <f>+OB5+1</f>
        <v>46728</v>
      </c>
      <c r="OD5" s="227">
        <f t="shared" ref="OD5:OG5" si="72">+OC5+1</f>
        <v>46729</v>
      </c>
      <c r="OE5" s="227">
        <f t="shared" si="72"/>
        <v>46730</v>
      </c>
      <c r="OF5" s="227">
        <f t="shared" si="72"/>
        <v>46731</v>
      </c>
      <c r="OG5" s="227">
        <f t="shared" si="72"/>
        <v>46732</v>
      </c>
      <c r="OH5" s="227">
        <f>+OG5+2</f>
        <v>46734</v>
      </c>
      <c r="OI5" s="227">
        <f>+OH5+1</f>
        <v>46735</v>
      </c>
      <c r="OJ5" s="227">
        <f t="shared" ref="OJ5:OM5" si="73">+OI5+1</f>
        <v>46736</v>
      </c>
      <c r="OK5" s="227">
        <f t="shared" si="73"/>
        <v>46737</v>
      </c>
      <c r="OL5" s="227">
        <f t="shared" si="73"/>
        <v>46738</v>
      </c>
      <c r="OM5" s="227">
        <f t="shared" si="73"/>
        <v>46739</v>
      </c>
      <c r="ON5" s="227">
        <f>+OM5+2</f>
        <v>46741</v>
      </c>
      <c r="OO5" s="227">
        <f>+ON5+1</f>
        <v>46742</v>
      </c>
      <c r="OP5" s="227">
        <f t="shared" ref="OP5:OS5" si="74">+OO5+1</f>
        <v>46743</v>
      </c>
      <c r="OQ5" s="227">
        <f t="shared" si="74"/>
        <v>46744</v>
      </c>
      <c r="OR5" s="227">
        <f t="shared" si="74"/>
        <v>46745</v>
      </c>
      <c r="OS5" s="227">
        <f t="shared" si="74"/>
        <v>46746</v>
      </c>
      <c r="OT5" s="227">
        <f>+OS5+2</f>
        <v>46748</v>
      </c>
      <c r="OU5" s="227">
        <f>+OT5+1</f>
        <v>46749</v>
      </c>
      <c r="OV5" s="227">
        <f t="shared" ref="OV5:OY5" si="75">+OU5+1</f>
        <v>46750</v>
      </c>
      <c r="OW5" s="227">
        <f t="shared" si="75"/>
        <v>46751</v>
      </c>
      <c r="OX5" s="227">
        <f t="shared" si="75"/>
        <v>46752</v>
      </c>
      <c r="OY5" s="227">
        <f t="shared" si="75"/>
        <v>46753</v>
      </c>
      <c r="OZ5" s="227">
        <f>+OY5+2</f>
        <v>46755</v>
      </c>
      <c r="PA5" s="227">
        <f>+OZ5+1</f>
        <v>46756</v>
      </c>
      <c r="PB5" s="227">
        <f t="shared" ref="PB5:PE5" si="76">+PA5+1</f>
        <v>46757</v>
      </c>
      <c r="PC5" s="227">
        <f t="shared" si="76"/>
        <v>46758</v>
      </c>
      <c r="PD5" s="227">
        <f t="shared" si="76"/>
        <v>46759</v>
      </c>
      <c r="PE5" s="227">
        <f t="shared" si="76"/>
        <v>46760</v>
      </c>
      <c r="PF5" s="227">
        <f>+PE5+2</f>
        <v>46762</v>
      </c>
      <c r="PG5" s="227">
        <f>+PF5+1</f>
        <v>46763</v>
      </c>
      <c r="PH5" s="227">
        <f t="shared" ref="PH5:PK5" si="77">+PG5+1</f>
        <v>46764</v>
      </c>
      <c r="PI5" s="227">
        <f t="shared" si="77"/>
        <v>46765</v>
      </c>
      <c r="PJ5" s="227">
        <f t="shared" si="77"/>
        <v>46766</v>
      </c>
      <c r="PK5" s="227">
        <f t="shared" si="77"/>
        <v>46767</v>
      </c>
      <c r="PL5" s="227">
        <f>+PK5+2</f>
        <v>46769</v>
      </c>
      <c r="PM5" s="227">
        <f>+PL5+1</f>
        <v>46770</v>
      </c>
      <c r="PN5" s="227">
        <f t="shared" ref="PN5:PQ5" si="78">+PM5+1</f>
        <v>46771</v>
      </c>
      <c r="PO5" s="227">
        <f t="shared" si="78"/>
        <v>46772</v>
      </c>
      <c r="PP5" s="227">
        <f t="shared" si="78"/>
        <v>46773</v>
      </c>
      <c r="PQ5" s="227">
        <f t="shared" si="78"/>
        <v>46774</v>
      </c>
      <c r="PR5" s="227">
        <f>+PQ5+2</f>
        <v>46776</v>
      </c>
      <c r="PS5" s="227">
        <f>+PR5+1</f>
        <v>46777</v>
      </c>
      <c r="PT5" s="227">
        <f t="shared" ref="PT5:PW5" si="79">+PS5+1</f>
        <v>46778</v>
      </c>
      <c r="PU5" s="227">
        <f t="shared" si="79"/>
        <v>46779</v>
      </c>
      <c r="PV5" s="227">
        <f t="shared" si="79"/>
        <v>46780</v>
      </c>
      <c r="PW5" s="227">
        <f t="shared" si="79"/>
        <v>46781</v>
      </c>
      <c r="PX5" s="227">
        <f>+PW5+2</f>
        <v>46783</v>
      </c>
      <c r="PY5" s="227">
        <f>+PX5+1</f>
        <v>46784</v>
      </c>
      <c r="PZ5" s="227">
        <f t="shared" ref="PZ5:QC5" si="80">+PY5+1</f>
        <v>46785</v>
      </c>
      <c r="QA5" s="227">
        <f t="shared" si="80"/>
        <v>46786</v>
      </c>
      <c r="QB5" s="227">
        <f t="shared" si="80"/>
        <v>46787</v>
      </c>
      <c r="QC5" s="227">
        <f t="shared" si="80"/>
        <v>46788</v>
      </c>
      <c r="QD5" s="227">
        <f>+QC5+2</f>
        <v>46790</v>
      </c>
      <c r="QE5" s="227">
        <f>+QD5+1</f>
        <v>46791</v>
      </c>
      <c r="QF5" s="227">
        <f t="shared" ref="QF5:QI5" si="81">+QE5+1</f>
        <v>46792</v>
      </c>
      <c r="QG5" s="227">
        <f t="shared" si="81"/>
        <v>46793</v>
      </c>
      <c r="QH5" s="227">
        <f t="shared" si="81"/>
        <v>46794</v>
      </c>
      <c r="QI5" s="228">
        <f t="shared" si="81"/>
        <v>46795</v>
      </c>
    </row>
    <row r="6" spans="1:451" ht="24" customHeight="1" thickBot="1" x14ac:dyDescent="0.25">
      <c r="A6" s="278"/>
      <c r="B6" s="230" t="str">
        <f>UPPER(TEXT(B5,"ddd"))</f>
        <v>LUN</v>
      </c>
      <c r="C6" s="231" t="str">
        <f>UPPER(TEXT(C5,"ddd"))</f>
        <v>MAR</v>
      </c>
      <c r="D6" s="231" t="str">
        <f t="shared" ref="D6:BO6" si="82">UPPER(TEXT(D5,"ddd"))</f>
        <v>MIÉ</v>
      </c>
      <c r="E6" s="231" t="str">
        <f t="shared" si="82"/>
        <v>JUE</v>
      </c>
      <c r="F6" s="231" t="str">
        <f t="shared" si="82"/>
        <v>VIE</v>
      </c>
      <c r="G6" s="231" t="str">
        <f t="shared" si="82"/>
        <v>SÁB</v>
      </c>
      <c r="H6" s="231" t="str">
        <f t="shared" si="82"/>
        <v>LUN</v>
      </c>
      <c r="I6" s="231" t="str">
        <f t="shared" si="82"/>
        <v>MAR</v>
      </c>
      <c r="J6" s="231" t="str">
        <f t="shared" si="82"/>
        <v>MIÉ</v>
      </c>
      <c r="K6" s="231" t="str">
        <f t="shared" si="82"/>
        <v>JUE</v>
      </c>
      <c r="L6" s="231" t="str">
        <f t="shared" si="82"/>
        <v>VIE</v>
      </c>
      <c r="M6" s="231" t="str">
        <f t="shared" si="82"/>
        <v>SÁB</v>
      </c>
      <c r="N6" s="231" t="str">
        <f t="shared" si="82"/>
        <v>LUN</v>
      </c>
      <c r="O6" s="231" t="str">
        <f t="shared" si="82"/>
        <v>MAR</v>
      </c>
      <c r="P6" s="231" t="str">
        <f t="shared" si="82"/>
        <v>MIÉ</v>
      </c>
      <c r="Q6" s="231" t="str">
        <f t="shared" si="82"/>
        <v>JUE</v>
      </c>
      <c r="R6" s="231" t="str">
        <f t="shared" si="82"/>
        <v>VIE</v>
      </c>
      <c r="S6" s="231" t="str">
        <f t="shared" si="82"/>
        <v>SÁB</v>
      </c>
      <c r="T6" s="231" t="str">
        <f t="shared" si="82"/>
        <v>LUN</v>
      </c>
      <c r="U6" s="231" t="str">
        <f t="shared" si="82"/>
        <v>MAR</v>
      </c>
      <c r="V6" s="231" t="str">
        <f t="shared" si="82"/>
        <v>MIÉ</v>
      </c>
      <c r="W6" s="231" t="str">
        <f t="shared" si="82"/>
        <v>JUE</v>
      </c>
      <c r="X6" s="231" t="str">
        <f t="shared" si="82"/>
        <v>VIE</v>
      </c>
      <c r="Y6" s="231" t="str">
        <f t="shared" si="82"/>
        <v>SÁB</v>
      </c>
      <c r="Z6" s="231" t="str">
        <f t="shared" si="82"/>
        <v>LUN</v>
      </c>
      <c r="AA6" s="231" t="str">
        <f t="shared" si="82"/>
        <v>MAR</v>
      </c>
      <c r="AB6" s="231" t="str">
        <f t="shared" si="82"/>
        <v>MIÉ</v>
      </c>
      <c r="AC6" s="231" t="str">
        <f t="shared" si="82"/>
        <v>JUE</v>
      </c>
      <c r="AD6" s="231" t="str">
        <f t="shared" si="82"/>
        <v>VIE</v>
      </c>
      <c r="AE6" s="231" t="str">
        <f t="shared" si="82"/>
        <v>SÁB</v>
      </c>
      <c r="AF6" s="231" t="str">
        <f t="shared" si="82"/>
        <v>LUN</v>
      </c>
      <c r="AG6" s="231" t="str">
        <f t="shared" si="82"/>
        <v>MAR</v>
      </c>
      <c r="AH6" s="231" t="str">
        <f t="shared" si="82"/>
        <v>MIÉ</v>
      </c>
      <c r="AI6" s="231" t="str">
        <f t="shared" si="82"/>
        <v>JUE</v>
      </c>
      <c r="AJ6" s="231" t="str">
        <f t="shared" si="82"/>
        <v>VIE</v>
      </c>
      <c r="AK6" s="231" t="str">
        <f t="shared" si="82"/>
        <v>SÁB</v>
      </c>
      <c r="AL6" s="231" t="str">
        <f t="shared" si="82"/>
        <v>LUN</v>
      </c>
      <c r="AM6" s="231" t="str">
        <f t="shared" si="82"/>
        <v>MAR</v>
      </c>
      <c r="AN6" s="231" t="str">
        <f t="shared" si="82"/>
        <v>MIÉ</v>
      </c>
      <c r="AO6" s="231" t="str">
        <f t="shared" si="82"/>
        <v>JUE</v>
      </c>
      <c r="AP6" s="231" t="str">
        <f t="shared" si="82"/>
        <v>VIE</v>
      </c>
      <c r="AQ6" s="231" t="str">
        <f t="shared" si="82"/>
        <v>SÁB</v>
      </c>
      <c r="AR6" s="231" t="str">
        <f t="shared" si="82"/>
        <v>LUN</v>
      </c>
      <c r="AS6" s="231" t="str">
        <f t="shared" si="82"/>
        <v>MAR</v>
      </c>
      <c r="AT6" s="231" t="str">
        <f t="shared" si="82"/>
        <v>MIÉ</v>
      </c>
      <c r="AU6" s="231" t="str">
        <f t="shared" si="82"/>
        <v>JUE</v>
      </c>
      <c r="AV6" s="231" t="str">
        <f t="shared" si="82"/>
        <v>VIE</v>
      </c>
      <c r="AW6" s="231" t="str">
        <f t="shared" si="82"/>
        <v>SÁB</v>
      </c>
      <c r="AX6" s="231" t="str">
        <f t="shared" si="82"/>
        <v>LUN</v>
      </c>
      <c r="AY6" s="231" t="str">
        <f t="shared" si="82"/>
        <v>MAR</v>
      </c>
      <c r="AZ6" s="231" t="str">
        <f t="shared" si="82"/>
        <v>MIÉ</v>
      </c>
      <c r="BA6" s="231" t="str">
        <f t="shared" si="82"/>
        <v>JUE</v>
      </c>
      <c r="BB6" s="231" t="str">
        <f t="shared" si="82"/>
        <v>VIE</v>
      </c>
      <c r="BC6" s="231" t="str">
        <f t="shared" si="82"/>
        <v>SÁB</v>
      </c>
      <c r="BD6" s="231" t="str">
        <f t="shared" si="82"/>
        <v>LUN</v>
      </c>
      <c r="BE6" s="231" t="str">
        <f t="shared" si="82"/>
        <v>MAR</v>
      </c>
      <c r="BF6" s="231" t="str">
        <f t="shared" si="82"/>
        <v>MIÉ</v>
      </c>
      <c r="BG6" s="231" t="str">
        <f t="shared" si="82"/>
        <v>JUE</v>
      </c>
      <c r="BH6" s="231" t="str">
        <f t="shared" si="82"/>
        <v>VIE</v>
      </c>
      <c r="BI6" s="231" t="str">
        <f t="shared" si="82"/>
        <v>SÁB</v>
      </c>
      <c r="BJ6" s="231" t="str">
        <f t="shared" si="82"/>
        <v>LUN</v>
      </c>
      <c r="BK6" s="231" t="str">
        <f t="shared" si="82"/>
        <v>MAR</v>
      </c>
      <c r="BL6" s="231" t="str">
        <f t="shared" si="82"/>
        <v>MIÉ</v>
      </c>
      <c r="BM6" s="231" t="str">
        <f t="shared" si="82"/>
        <v>JUE</v>
      </c>
      <c r="BN6" s="231" t="str">
        <f t="shared" si="82"/>
        <v>VIE</v>
      </c>
      <c r="BO6" s="231" t="str">
        <f t="shared" si="82"/>
        <v>SÁB</v>
      </c>
      <c r="BP6" s="231" t="str">
        <f t="shared" ref="BP6:EA6" si="83">UPPER(TEXT(BP5,"ddd"))</f>
        <v>LUN</v>
      </c>
      <c r="BQ6" s="231" t="str">
        <f t="shared" si="83"/>
        <v>MAR</v>
      </c>
      <c r="BR6" s="231" t="str">
        <f t="shared" si="83"/>
        <v>MIÉ</v>
      </c>
      <c r="BS6" s="231" t="str">
        <f t="shared" si="83"/>
        <v>JUE</v>
      </c>
      <c r="BT6" s="231" t="str">
        <f t="shared" si="83"/>
        <v>VIE</v>
      </c>
      <c r="BU6" s="231" t="str">
        <f t="shared" si="83"/>
        <v>SÁB</v>
      </c>
      <c r="BV6" s="231" t="str">
        <f t="shared" si="83"/>
        <v>LUN</v>
      </c>
      <c r="BW6" s="231" t="str">
        <f t="shared" si="83"/>
        <v>MAR</v>
      </c>
      <c r="BX6" s="231" t="str">
        <f t="shared" si="83"/>
        <v>MIÉ</v>
      </c>
      <c r="BY6" s="231" t="str">
        <f t="shared" si="83"/>
        <v>JUE</v>
      </c>
      <c r="BZ6" s="231" t="str">
        <f t="shared" si="83"/>
        <v>VIE</v>
      </c>
      <c r="CA6" s="231" t="str">
        <f t="shared" si="83"/>
        <v>SÁB</v>
      </c>
      <c r="CB6" s="231" t="str">
        <f t="shared" si="83"/>
        <v>LUN</v>
      </c>
      <c r="CC6" s="231" t="str">
        <f t="shared" si="83"/>
        <v>MAR</v>
      </c>
      <c r="CD6" s="231" t="str">
        <f t="shared" si="83"/>
        <v>MIÉ</v>
      </c>
      <c r="CE6" s="231" t="str">
        <f t="shared" si="83"/>
        <v>JUE</v>
      </c>
      <c r="CF6" s="231" t="str">
        <f t="shared" si="83"/>
        <v>VIE</v>
      </c>
      <c r="CG6" s="231" t="str">
        <f t="shared" si="83"/>
        <v>SÁB</v>
      </c>
      <c r="CH6" s="231" t="str">
        <f t="shared" si="83"/>
        <v>LUN</v>
      </c>
      <c r="CI6" s="231" t="str">
        <f t="shared" si="83"/>
        <v>MAR</v>
      </c>
      <c r="CJ6" s="231" t="str">
        <f t="shared" si="83"/>
        <v>MIÉ</v>
      </c>
      <c r="CK6" s="231" t="str">
        <f t="shared" si="83"/>
        <v>JUE</v>
      </c>
      <c r="CL6" s="231" t="str">
        <f t="shared" si="83"/>
        <v>VIE</v>
      </c>
      <c r="CM6" s="231" t="str">
        <f t="shared" si="83"/>
        <v>SÁB</v>
      </c>
      <c r="CN6" s="231" t="str">
        <f t="shared" si="83"/>
        <v>LUN</v>
      </c>
      <c r="CO6" s="231" t="str">
        <f t="shared" si="83"/>
        <v>MAR</v>
      </c>
      <c r="CP6" s="231" t="str">
        <f t="shared" si="83"/>
        <v>MIÉ</v>
      </c>
      <c r="CQ6" s="231" t="str">
        <f t="shared" si="83"/>
        <v>JUE</v>
      </c>
      <c r="CR6" s="231" t="str">
        <f t="shared" si="83"/>
        <v>VIE</v>
      </c>
      <c r="CS6" s="231" t="str">
        <f t="shared" si="83"/>
        <v>SÁB</v>
      </c>
      <c r="CT6" s="231" t="str">
        <f t="shared" si="83"/>
        <v>LUN</v>
      </c>
      <c r="CU6" s="231" t="str">
        <f t="shared" si="83"/>
        <v>MAR</v>
      </c>
      <c r="CV6" s="231" t="str">
        <f t="shared" si="83"/>
        <v>MIÉ</v>
      </c>
      <c r="CW6" s="231" t="str">
        <f t="shared" si="83"/>
        <v>JUE</v>
      </c>
      <c r="CX6" s="231" t="str">
        <f t="shared" si="83"/>
        <v>VIE</v>
      </c>
      <c r="CY6" s="231" t="str">
        <f t="shared" si="83"/>
        <v>SÁB</v>
      </c>
      <c r="CZ6" s="231" t="str">
        <f t="shared" si="83"/>
        <v>LUN</v>
      </c>
      <c r="DA6" s="231" t="str">
        <f t="shared" si="83"/>
        <v>MAR</v>
      </c>
      <c r="DB6" s="231" t="str">
        <f t="shared" si="83"/>
        <v>MIÉ</v>
      </c>
      <c r="DC6" s="231" t="str">
        <f t="shared" si="83"/>
        <v>JUE</v>
      </c>
      <c r="DD6" s="231" t="str">
        <f t="shared" si="83"/>
        <v>VIE</v>
      </c>
      <c r="DE6" s="231" t="str">
        <f t="shared" si="83"/>
        <v>SÁB</v>
      </c>
      <c r="DF6" s="231" t="str">
        <f t="shared" si="83"/>
        <v>LUN</v>
      </c>
      <c r="DG6" s="231" t="str">
        <f t="shared" si="83"/>
        <v>MAR</v>
      </c>
      <c r="DH6" s="231" t="str">
        <f t="shared" si="83"/>
        <v>MIÉ</v>
      </c>
      <c r="DI6" s="231" t="str">
        <f t="shared" si="83"/>
        <v>JUE</v>
      </c>
      <c r="DJ6" s="231" t="str">
        <f t="shared" si="83"/>
        <v>VIE</v>
      </c>
      <c r="DK6" s="231" t="str">
        <f t="shared" si="83"/>
        <v>SÁB</v>
      </c>
      <c r="DL6" s="231" t="str">
        <f t="shared" si="83"/>
        <v>LUN</v>
      </c>
      <c r="DM6" s="231" t="str">
        <f t="shared" si="83"/>
        <v>MAR</v>
      </c>
      <c r="DN6" s="231" t="str">
        <f t="shared" si="83"/>
        <v>MIÉ</v>
      </c>
      <c r="DO6" s="231" t="str">
        <f t="shared" si="83"/>
        <v>JUE</v>
      </c>
      <c r="DP6" s="231" t="str">
        <f t="shared" si="83"/>
        <v>VIE</v>
      </c>
      <c r="DQ6" s="231" t="str">
        <f t="shared" si="83"/>
        <v>SÁB</v>
      </c>
      <c r="DR6" s="231" t="str">
        <f t="shared" si="83"/>
        <v>LUN</v>
      </c>
      <c r="DS6" s="231" t="str">
        <f t="shared" si="83"/>
        <v>MAR</v>
      </c>
      <c r="DT6" s="231" t="str">
        <f t="shared" si="83"/>
        <v>MIÉ</v>
      </c>
      <c r="DU6" s="231" t="str">
        <f t="shared" si="83"/>
        <v>JUE</v>
      </c>
      <c r="DV6" s="231" t="str">
        <f t="shared" si="83"/>
        <v>VIE</v>
      </c>
      <c r="DW6" s="231" t="str">
        <f t="shared" si="83"/>
        <v>SÁB</v>
      </c>
      <c r="DX6" s="231" t="str">
        <f t="shared" si="83"/>
        <v>LUN</v>
      </c>
      <c r="DY6" s="231" t="str">
        <f t="shared" si="83"/>
        <v>MAR</v>
      </c>
      <c r="DZ6" s="231" t="str">
        <f t="shared" si="83"/>
        <v>MIÉ</v>
      </c>
      <c r="EA6" s="231" t="str">
        <f t="shared" si="83"/>
        <v>JUE</v>
      </c>
      <c r="EB6" s="231" t="str">
        <f t="shared" ref="EB6:GM6" si="84">UPPER(TEXT(EB5,"ddd"))</f>
        <v>VIE</v>
      </c>
      <c r="EC6" s="231" t="str">
        <f t="shared" si="84"/>
        <v>SÁB</v>
      </c>
      <c r="ED6" s="231" t="str">
        <f t="shared" si="84"/>
        <v>LUN</v>
      </c>
      <c r="EE6" s="231" t="str">
        <f t="shared" si="84"/>
        <v>MAR</v>
      </c>
      <c r="EF6" s="231" t="str">
        <f t="shared" si="84"/>
        <v>MIÉ</v>
      </c>
      <c r="EG6" s="231" t="str">
        <f t="shared" si="84"/>
        <v>JUE</v>
      </c>
      <c r="EH6" s="231" t="str">
        <f t="shared" si="84"/>
        <v>VIE</v>
      </c>
      <c r="EI6" s="231" t="str">
        <f t="shared" si="84"/>
        <v>SÁB</v>
      </c>
      <c r="EJ6" s="231" t="str">
        <f t="shared" si="84"/>
        <v>LUN</v>
      </c>
      <c r="EK6" s="231" t="str">
        <f t="shared" si="84"/>
        <v>MAR</v>
      </c>
      <c r="EL6" s="231" t="str">
        <f t="shared" si="84"/>
        <v>MIÉ</v>
      </c>
      <c r="EM6" s="231" t="str">
        <f t="shared" si="84"/>
        <v>JUE</v>
      </c>
      <c r="EN6" s="231" t="str">
        <f t="shared" si="84"/>
        <v>VIE</v>
      </c>
      <c r="EO6" s="231" t="str">
        <f t="shared" si="84"/>
        <v>SÁB</v>
      </c>
      <c r="EP6" s="231" t="str">
        <f t="shared" si="84"/>
        <v>LUN</v>
      </c>
      <c r="EQ6" s="231" t="str">
        <f t="shared" si="84"/>
        <v>MAR</v>
      </c>
      <c r="ER6" s="231" t="str">
        <f t="shared" si="84"/>
        <v>MIÉ</v>
      </c>
      <c r="ES6" s="231" t="str">
        <f t="shared" si="84"/>
        <v>JUE</v>
      </c>
      <c r="ET6" s="231" t="str">
        <f t="shared" si="84"/>
        <v>VIE</v>
      </c>
      <c r="EU6" s="231" t="str">
        <f t="shared" si="84"/>
        <v>SÁB</v>
      </c>
      <c r="EV6" s="231" t="str">
        <f t="shared" si="84"/>
        <v>LUN</v>
      </c>
      <c r="EW6" s="231" t="str">
        <f t="shared" si="84"/>
        <v>MAR</v>
      </c>
      <c r="EX6" s="231" t="str">
        <f t="shared" si="84"/>
        <v>MIÉ</v>
      </c>
      <c r="EY6" s="231" t="str">
        <f t="shared" si="84"/>
        <v>JUE</v>
      </c>
      <c r="EZ6" s="231" t="str">
        <f t="shared" si="84"/>
        <v>VIE</v>
      </c>
      <c r="FA6" s="231" t="str">
        <f t="shared" si="84"/>
        <v>SÁB</v>
      </c>
      <c r="FB6" s="231" t="str">
        <f t="shared" si="84"/>
        <v>LUN</v>
      </c>
      <c r="FC6" s="231" t="str">
        <f t="shared" si="84"/>
        <v>MAR</v>
      </c>
      <c r="FD6" s="231" t="str">
        <f t="shared" si="84"/>
        <v>MIÉ</v>
      </c>
      <c r="FE6" s="231" t="str">
        <f t="shared" si="84"/>
        <v>JUE</v>
      </c>
      <c r="FF6" s="231" t="str">
        <f t="shared" si="84"/>
        <v>VIE</v>
      </c>
      <c r="FG6" s="231" t="str">
        <f t="shared" si="84"/>
        <v>SÁB</v>
      </c>
      <c r="FH6" s="231" t="str">
        <f t="shared" si="84"/>
        <v>LUN</v>
      </c>
      <c r="FI6" s="231" t="str">
        <f t="shared" si="84"/>
        <v>MAR</v>
      </c>
      <c r="FJ6" s="231" t="str">
        <f t="shared" si="84"/>
        <v>MIÉ</v>
      </c>
      <c r="FK6" s="231" t="str">
        <f t="shared" si="84"/>
        <v>JUE</v>
      </c>
      <c r="FL6" s="231" t="str">
        <f t="shared" si="84"/>
        <v>VIE</v>
      </c>
      <c r="FM6" s="231" t="str">
        <f t="shared" si="84"/>
        <v>SÁB</v>
      </c>
      <c r="FN6" s="231" t="str">
        <f t="shared" si="84"/>
        <v>LUN</v>
      </c>
      <c r="FO6" s="231" t="str">
        <f t="shared" si="84"/>
        <v>MAR</v>
      </c>
      <c r="FP6" s="231" t="str">
        <f t="shared" si="84"/>
        <v>MIÉ</v>
      </c>
      <c r="FQ6" s="231" t="str">
        <f t="shared" si="84"/>
        <v>JUE</v>
      </c>
      <c r="FR6" s="231" t="str">
        <f t="shared" si="84"/>
        <v>VIE</v>
      </c>
      <c r="FS6" s="231" t="str">
        <f t="shared" si="84"/>
        <v>SÁB</v>
      </c>
      <c r="FT6" s="231" t="str">
        <f t="shared" si="84"/>
        <v>LUN</v>
      </c>
      <c r="FU6" s="231" t="str">
        <f t="shared" si="84"/>
        <v>MAR</v>
      </c>
      <c r="FV6" s="231" t="str">
        <f t="shared" si="84"/>
        <v>MIÉ</v>
      </c>
      <c r="FW6" s="231" t="str">
        <f t="shared" si="84"/>
        <v>JUE</v>
      </c>
      <c r="FX6" s="231" t="str">
        <f t="shared" si="84"/>
        <v>VIE</v>
      </c>
      <c r="FY6" s="231" t="str">
        <f t="shared" si="84"/>
        <v>SÁB</v>
      </c>
      <c r="FZ6" s="231" t="str">
        <f t="shared" si="84"/>
        <v>LUN</v>
      </c>
      <c r="GA6" s="231" t="str">
        <f t="shared" si="84"/>
        <v>MAR</v>
      </c>
      <c r="GB6" s="231" t="str">
        <f t="shared" si="84"/>
        <v>MIÉ</v>
      </c>
      <c r="GC6" s="231" t="str">
        <f t="shared" si="84"/>
        <v>JUE</v>
      </c>
      <c r="GD6" s="231" t="str">
        <f t="shared" si="84"/>
        <v>VIE</v>
      </c>
      <c r="GE6" s="231" t="str">
        <f t="shared" si="84"/>
        <v>SÁB</v>
      </c>
      <c r="GF6" s="231" t="str">
        <f t="shared" si="84"/>
        <v>LUN</v>
      </c>
      <c r="GG6" s="231" t="str">
        <f t="shared" si="84"/>
        <v>MAR</v>
      </c>
      <c r="GH6" s="231" t="str">
        <f t="shared" si="84"/>
        <v>MIÉ</v>
      </c>
      <c r="GI6" s="231" t="str">
        <f t="shared" si="84"/>
        <v>JUE</v>
      </c>
      <c r="GJ6" s="231" t="str">
        <f t="shared" si="84"/>
        <v>VIE</v>
      </c>
      <c r="GK6" s="231" t="str">
        <f t="shared" si="84"/>
        <v>SÁB</v>
      </c>
      <c r="GL6" s="231" t="str">
        <f t="shared" si="84"/>
        <v>LUN</v>
      </c>
      <c r="GM6" s="231" t="str">
        <f t="shared" si="84"/>
        <v>MAR</v>
      </c>
      <c r="GN6" s="231" t="str">
        <f t="shared" ref="GN6:IY6" si="85">UPPER(TEXT(GN5,"ddd"))</f>
        <v>MIÉ</v>
      </c>
      <c r="GO6" s="231" t="str">
        <f t="shared" si="85"/>
        <v>JUE</v>
      </c>
      <c r="GP6" s="231" t="str">
        <f t="shared" si="85"/>
        <v>VIE</v>
      </c>
      <c r="GQ6" s="231" t="str">
        <f t="shared" si="85"/>
        <v>SÁB</v>
      </c>
      <c r="GR6" s="231" t="str">
        <f t="shared" si="85"/>
        <v>LUN</v>
      </c>
      <c r="GS6" s="231" t="str">
        <f t="shared" si="85"/>
        <v>MAR</v>
      </c>
      <c r="GT6" s="231" t="str">
        <f t="shared" si="85"/>
        <v>MIÉ</v>
      </c>
      <c r="GU6" s="231" t="str">
        <f t="shared" si="85"/>
        <v>JUE</v>
      </c>
      <c r="GV6" s="231" t="str">
        <f t="shared" si="85"/>
        <v>VIE</v>
      </c>
      <c r="GW6" s="231" t="str">
        <f t="shared" si="85"/>
        <v>SÁB</v>
      </c>
      <c r="GX6" s="231" t="str">
        <f t="shared" si="85"/>
        <v>LUN</v>
      </c>
      <c r="GY6" s="231" t="str">
        <f t="shared" si="85"/>
        <v>MAR</v>
      </c>
      <c r="GZ6" s="231" t="str">
        <f t="shared" si="85"/>
        <v>MIÉ</v>
      </c>
      <c r="HA6" s="231" t="str">
        <f t="shared" si="85"/>
        <v>JUE</v>
      </c>
      <c r="HB6" s="231" t="str">
        <f t="shared" si="85"/>
        <v>VIE</v>
      </c>
      <c r="HC6" s="231" t="str">
        <f t="shared" si="85"/>
        <v>SÁB</v>
      </c>
      <c r="HD6" s="231" t="str">
        <f t="shared" si="85"/>
        <v>LUN</v>
      </c>
      <c r="HE6" s="231" t="str">
        <f t="shared" si="85"/>
        <v>MAR</v>
      </c>
      <c r="HF6" s="231" t="str">
        <f t="shared" si="85"/>
        <v>MIÉ</v>
      </c>
      <c r="HG6" s="231" t="str">
        <f t="shared" si="85"/>
        <v>JUE</v>
      </c>
      <c r="HH6" s="231" t="str">
        <f t="shared" si="85"/>
        <v>VIE</v>
      </c>
      <c r="HI6" s="231" t="str">
        <f t="shared" si="85"/>
        <v>SÁB</v>
      </c>
      <c r="HJ6" s="231" t="str">
        <f t="shared" si="85"/>
        <v>LUN</v>
      </c>
      <c r="HK6" s="231" t="str">
        <f t="shared" si="85"/>
        <v>MAR</v>
      </c>
      <c r="HL6" s="231" t="str">
        <f t="shared" si="85"/>
        <v>MIÉ</v>
      </c>
      <c r="HM6" s="231" t="str">
        <f t="shared" si="85"/>
        <v>JUE</v>
      </c>
      <c r="HN6" s="231" t="str">
        <f t="shared" si="85"/>
        <v>VIE</v>
      </c>
      <c r="HO6" s="231" t="str">
        <f t="shared" si="85"/>
        <v>SÁB</v>
      </c>
      <c r="HP6" s="231" t="str">
        <f t="shared" si="85"/>
        <v>LUN</v>
      </c>
      <c r="HQ6" s="231" t="str">
        <f t="shared" si="85"/>
        <v>MAR</v>
      </c>
      <c r="HR6" s="231" t="str">
        <f t="shared" si="85"/>
        <v>MIÉ</v>
      </c>
      <c r="HS6" s="231" t="str">
        <f t="shared" si="85"/>
        <v>JUE</v>
      </c>
      <c r="HT6" s="231" t="str">
        <f t="shared" si="85"/>
        <v>VIE</v>
      </c>
      <c r="HU6" s="231" t="str">
        <f t="shared" si="85"/>
        <v>SÁB</v>
      </c>
      <c r="HV6" s="231" t="str">
        <f t="shared" si="85"/>
        <v>LUN</v>
      </c>
      <c r="HW6" s="231" t="str">
        <f t="shared" si="85"/>
        <v>MAR</v>
      </c>
      <c r="HX6" s="231" t="str">
        <f t="shared" si="85"/>
        <v>MIÉ</v>
      </c>
      <c r="HY6" s="231" t="str">
        <f t="shared" si="85"/>
        <v>JUE</v>
      </c>
      <c r="HZ6" s="231" t="str">
        <f t="shared" si="85"/>
        <v>VIE</v>
      </c>
      <c r="IA6" s="231" t="str">
        <f t="shared" si="85"/>
        <v>SÁB</v>
      </c>
      <c r="IB6" s="231" t="str">
        <f t="shared" si="85"/>
        <v>LUN</v>
      </c>
      <c r="IC6" s="231" t="str">
        <f t="shared" si="85"/>
        <v>MAR</v>
      </c>
      <c r="ID6" s="231" t="str">
        <f t="shared" si="85"/>
        <v>MIÉ</v>
      </c>
      <c r="IE6" s="231" t="str">
        <f t="shared" si="85"/>
        <v>JUE</v>
      </c>
      <c r="IF6" s="231" t="str">
        <f t="shared" si="85"/>
        <v>VIE</v>
      </c>
      <c r="IG6" s="231" t="str">
        <f t="shared" si="85"/>
        <v>SÁB</v>
      </c>
      <c r="IH6" s="231" t="str">
        <f t="shared" si="85"/>
        <v>LUN</v>
      </c>
      <c r="II6" s="231" t="str">
        <f t="shared" si="85"/>
        <v>MAR</v>
      </c>
      <c r="IJ6" s="231" t="str">
        <f t="shared" si="85"/>
        <v>MIÉ</v>
      </c>
      <c r="IK6" s="231" t="str">
        <f t="shared" si="85"/>
        <v>JUE</v>
      </c>
      <c r="IL6" s="231" t="str">
        <f t="shared" si="85"/>
        <v>VIE</v>
      </c>
      <c r="IM6" s="231" t="str">
        <f t="shared" si="85"/>
        <v>SÁB</v>
      </c>
      <c r="IN6" s="231" t="str">
        <f t="shared" si="85"/>
        <v>LUN</v>
      </c>
      <c r="IO6" s="231" t="str">
        <f t="shared" si="85"/>
        <v>MAR</v>
      </c>
      <c r="IP6" s="231" t="str">
        <f t="shared" si="85"/>
        <v>MIÉ</v>
      </c>
      <c r="IQ6" s="231" t="str">
        <f t="shared" si="85"/>
        <v>JUE</v>
      </c>
      <c r="IR6" s="231" t="str">
        <f t="shared" si="85"/>
        <v>VIE</v>
      </c>
      <c r="IS6" s="231" t="str">
        <f t="shared" si="85"/>
        <v>SÁB</v>
      </c>
      <c r="IT6" s="231" t="str">
        <f t="shared" si="85"/>
        <v>LUN</v>
      </c>
      <c r="IU6" s="231" t="str">
        <f t="shared" si="85"/>
        <v>MAR</v>
      </c>
      <c r="IV6" s="231" t="str">
        <f t="shared" si="85"/>
        <v>MIÉ</v>
      </c>
      <c r="IW6" s="231" t="str">
        <f t="shared" si="85"/>
        <v>JUE</v>
      </c>
      <c r="IX6" s="231" t="str">
        <f t="shared" si="85"/>
        <v>VIE</v>
      </c>
      <c r="IY6" s="231" t="str">
        <f t="shared" si="85"/>
        <v>SÁB</v>
      </c>
      <c r="IZ6" s="231" t="str">
        <f t="shared" ref="IZ6:LK6" si="86">UPPER(TEXT(IZ5,"ddd"))</f>
        <v>LUN</v>
      </c>
      <c r="JA6" s="231" t="str">
        <f t="shared" si="86"/>
        <v>MAR</v>
      </c>
      <c r="JB6" s="231" t="str">
        <f t="shared" si="86"/>
        <v>MIÉ</v>
      </c>
      <c r="JC6" s="231" t="str">
        <f t="shared" si="86"/>
        <v>JUE</v>
      </c>
      <c r="JD6" s="231" t="str">
        <f t="shared" si="86"/>
        <v>VIE</v>
      </c>
      <c r="JE6" s="231" t="str">
        <f t="shared" si="86"/>
        <v>SÁB</v>
      </c>
      <c r="JF6" s="231" t="str">
        <f t="shared" si="86"/>
        <v>LUN</v>
      </c>
      <c r="JG6" s="231" t="str">
        <f t="shared" si="86"/>
        <v>MAR</v>
      </c>
      <c r="JH6" s="231" t="str">
        <f t="shared" si="86"/>
        <v>MIÉ</v>
      </c>
      <c r="JI6" s="231" t="str">
        <f t="shared" si="86"/>
        <v>JUE</v>
      </c>
      <c r="JJ6" s="231" t="str">
        <f t="shared" si="86"/>
        <v>VIE</v>
      </c>
      <c r="JK6" s="231" t="str">
        <f t="shared" si="86"/>
        <v>SÁB</v>
      </c>
      <c r="JL6" s="231" t="str">
        <f t="shared" si="86"/>
        <v>LUN</v>
      </c>
      <c r="JM6" s="231" t="str">
        <f t="shared" si="86"/>
        <v>MAR</v>
      </c>
      <c r="JN6" s="231" t="str">
        <f t="shared" si="86"/>
        <v>MIÉ</v>
      </c>
      <c r="JO6" s="231" t="str">
        <f t="shared" si="86"/>
        <v>JUE</v>
      </c>
      <c r="JP6" s="231" t="str">
        <f t="shared" si="86"/>
        <v>VIE</v>
      </c>
      <c r="JQ6" s="231" t="str">
        <f t="shared" si="86"/>
        <v>SÁB</v>
      </c>
      <c r="JR6" s="231" t="str">
        <f t="shared" si="86"/>
        <v>LUN</v>
      </c>
      <c r="JS6" s="231" t="str">
        <f t="shared" si="86"/>
        <v>MAR</v>
      </c>
      <c r="JT6" s="231" t="str">
        <f t="shared" si="86"/>
        <v>MIÉ</v>
      </c>
      <c r="JU6" s="231" t="str">
        <f t="shared" si="86"/>
        <v>JUE</v>
      </c>
      <c r="JV6" s="231" t="str">
        <f t="shared" si="86"/>
        <v>VIE</v>
      </c>
      <c r="JW6" s="231" t="str">
        <f t="shared" si="86"/>
        <v>SÁB</v>
      </c>
      <c r="JX6" s="231" t="str">
        <f t="shared" si="86"/>
        <v>LUN</v>
      </c>
      <c r="JY6" s="231" t="str">
        <f t="shared" si="86"/>
        <v>MAR</v>
      </c>
      <c r="JZ6" s="231" t="str">
        <f t="shared" si="86"/>
        <v>MIÉ</v>
      </c>
      <c r="KA6" s="231" t="str">
        <f t="shared" si="86"/>
        <v>JUE</v>
      </c>
      <c r="KB6" s="231" t="str">
        <f t="shared" si="86"/>
        <v>VIE</v>
      </c>
      <c r="KC6" s="231" t="str">
        <f t="shared" si="86"/>
        <v>SÁB</v>
      </c>
      <c r="KD6" s="231" t="str">
        <f t="shared" si="86"/>
        <v>LUN</v>
      </c>
      <c r="KE6" s="231" t="str">
        <f t="shared" si="86"/>
        <v>MAR</v>
      </c>
      <c r="KF6" s="231" t="str">
        <f t="shared" si="86"/>
        <v>MIÉ</v>
      </c>
      <c r="KG6" s="231" t="str">
        <f t="shared" si="86"/>
        <v>JUE</v>
      </c>
      <c r="KH6" s="231" t="str">
        <f t="shared" si="86"/>
        <v>VIE</v>
      </c>
      <c r="KI6" s="231" t="str">
        <f t="shared" si="86"/>
        <v>SÁB</v>
      </c>
      <c r="KJ6" s="231" t="str">
        <f t="shared" si="86"/>
        <v>LUN</v>
      </c>
      <c r="KK6" s="231" t="str">
        <f t="shared" si="86"/>
        <v>MAR</v>
      </c>
      <c r="KL6" s="231" t="str">
        <f t="shared" si="86"/>
        <v>MIÉ</v>
      </c>
      <c r="KM6" s="231" t="str">
        <f t="shared" si="86"/>
        <v>JUE</v>
      </c>
      <c r="KN6" s="231" t="str">
        <f t="shared" si="86"/>
        <v>VIE</v>
      </c>
      <c r="KO6" s="231" t="str">
        <f t="shared" si="86"/>
        <v>SÁB</v>
      </c>
      <c r="KP6" s="231" t="str">
        <f t="shared" si="86"/>
        <v>LUN</v>
      </c>
      <c r="KQ6" s="231" t="str">
        <f t="shared" si="86"/>
        <v>MAR</v>
      </c>
      <c r="KR6" s="231" t="str">
        <f t="shared" si="86"/>
        <v>MIÉ</v>
      </c>
      <c r="KS6" s="231" t="str">
        <f t="shared" si="86"/>
        <v>JUE</v>
      </c>
      <c r="KT6" s="231" t="str">
        <f t="shared" si="86"/>
        <v>VIE</v>
      </c>
      <c r="KU6" s="231" t="str">
        <f t="shared" si="86"/>
        <v>SÁB</v>
      </c>
      <c r="KV6" s="231" t="str">
        <f t="shared" si="86"/>
        <v>LUN</v>
      </c>
      <c r="KW6" s="231" t="str">
        <f t="shared" si="86"/>
        <v>MAR</v>
      </c>
      <c r="KX6" s="231" t="str">
        <f t="shared" si="86"/>
        <v>MIÉ</v>
      </c>
      <c r="KY6" s="231" t="str">
        <f t="shared" si="86"/>
        <v>JUE</v>
      </c>
      <c r="KZ6" s="231" t="str">
        <f t="shared" si="86"/>
        <v>VIE</v>
      </c>
      <c r="LA6" s="231" t="str">
        <f t="shared" si="86"/>
        <v>SÁB</v>
      </c>
      <c r="LB6" s="231" t="str">
        <f t="shared" si="86"/>
        <v>LUN</v>
      </c>
      <c r="LC6" s="231" t="str">
        <f t="shared" si="86"/>
        <v>MAR</v>
      </c>
      <c r="LD6" s="231" t="str">
        <f t="shared" si="86"/>
        <v>MIÉ</v>
      </c>
      <c r="LE6" s="231" t="str">
        <f t="shared" si="86"/>
        <v>JUE</v>
      </c>
      <c r="LF6" s="231" t="str">
        <f t="shared" si="86"/>
        <v>VIE</v>
      </c>
      <c r="LG6" s="231" t="str">
        <f t="shared" si="86"/>
        <v>SÁB</v>
      </c>
      <c r="LH6" s="231" t="str">
        <f t="shared" si="86"/>
        <v>LUN</v>
      </c>
      <c r="LI6" s="231" t="str">
        <f t="shared" si="86"/>
        <v>MAR</v>
      </c>
      <c r="LJ6" s="231" t="str">
        <f t="shared" si="86"/>
        <v>MIÉ</v>
      </c>
      <c r="LK6" s="231" t="str">
        <f t="shared" si="86"/>
        <v>JUE</v>
      </c>
      <c r="LL6" s="231" t="str">
        <f t="shared" ref="LL6:NJ6" si="87">UPPER(TEXT(LL5,"ddd"))</f>
        <v>VIE</v>
      </c>
      <c r="LM6" s="231" t="str">
        <f t="shared" si="87"/>
        <v>SÁB</v>
      </c>
      <c r="LN6" s="231" t="str">
        <f t="shared" si="87"/>
        <v>LUN</v>
      </c>
      <c r="LO6" s="231" t="str">
        <f t="shared" si="87"/>
        <v>MAR</v>
      </c>
      <c r="LP6" s="231" t="str">
        <f t="shared" si="87"/>
        <v>MIÉ</v>
      </c>
      <c r="LQ6" s="231" t="str">
        <f t="shared" si="87"/>
        <v>JUE</v>
      </c>
      <c r="LR6" s="231" t="str">
        <f t="shared" si="87"/>
        <v>VIE</v>
      </c>
      <c r="LS6" s="231" t="str">
        <f t="shared" si="87"/>
        <v>SÁB</v>
      </c>
      <c r="LT6" s="231" t="str">
        <f t="shared" si="87"/>
        <v>LUN</v>
      </c>
      <c r="LU6" s="231" t="str">
        <f t="shared" si="87"/>
        <v>MAR</v>
      </c>
      <c r="LV6" s="231" t="str">
        <f t="shared" si="87"/>
        <v>MIÉ</v>
      </c>
      <c r="LW6" s="231" t="str">
        <f t="shared" si="87"/>
        <v>JUE</v>
      </c>
      <c r="LX6" s="231" t="str">
        <f t="shared" si="87"/>
        <v>VIE</v>
      </c>
      <c r="LY6" s="231" t="str">
        <f t="shared" si="87"/>
        <v>SÁB</v>
      </c>
      <c r="LZ6" s="231" t="str">
        <f t="shared" si="87"/>
        <v>LUN</v>
      </c>
      <c r="MA6" s="231" t="str">
        <f t="shared" si="87"/>
        <v>MAR</v>
      </c>
      <c r="MB6" s="231" t="str">
        <f t="shared" si="87"/>
        <v>MIÉ</v>
      </c>
      <c r="MC6" s="231" t="str">
        <f t="shared" si="87"/>
        <v>JUE</v>
      </c>
      <c r="MD6" s="231" t="str">
        <f t="shared" si="87"/>
        <v>VIE</v>
      </c>
      <c r="ME6" s="231" t="str">
        <f t="shared" si="87"/>
        <v>SÁB</v>
      </c>
      <c r="MF6" s="231" t="str">
        <f t="shared" si="87"/>
        <v>LUN</v>
      </c>
      <c r="MG6" s="231" t="str">
        <f t="shared" si="87"/>
        <v>MAR</v>
      </c>
      <c r="MH6" s="231" t="str">
        <f t="shared" si="87"/>
        <v>MIÉ</v>
      </c>
      <c r="MI6" s="231" t="str">
        <f t="shared" si="87"/>
        <v>JUE</v>
      </c>
      <c r="MJ6" s="231" t="str">
        <f t="shared" si="87"/>
        <v>VIE</v>
      </c>
      <c r="MK6" s="231" t="str">
        <f t="shared" si="87"/>
        <v>SÁB</v>
      </c>
      <c r="ML6" s="231" t="str">
        <f t="shared" si="87"/>
        <v>LUN</v>
      </c>
      <c r="MM6" s="231" t="str">
        <f t="shared" si="87"/>
        <v>MAR</v>
      </c>
      <c r="MN6" s="231" t="str">
        <f t="shared" si="87"/>
        <v>MIÉ</v>
      </c>
      <c r="MO6" s="231" t="str">
        <f t="shared" si="87"/>
        <v>JUE</v>
      </c>
      <c r="MP6" s="231" t="str">
        <f t="shared" si="87"/>
        <v>VIE</v>
      </c>
      <c r="MQ6" s="231" t="str">
        <f t="shared" si="87"/>
        <v>SÁB</v>
      </c>
      <c r="MR6" s="231" t="str">
        <f t="shared" si="87"/>
        <v>LUN</v>
      </c>
      <c r="MS6" s="231" t="str">
        <f t="shared" si="87"/>
        <v>MAR</v>
      </c>
      <c r="MT6" s="231" t="str">
        <f t="shared" si="87"/>
        <v>MIÉ</v>
      </c>
      <c r="MU6" s="231" t="str">
        <f t="shared" si="87"/>
        <v>JUE</v>
      </c>
      <c r="MV6" s="231" t="str">
        <f t="shared" si="87"/>
        <v>VIE</v>
      </c>
      <c r="MW6" s="231" t="str">
        <f t="shared" si="87"/>
        <v>SÁB</v>
      </c>
      <c r="MX6" s="231" t="str">
        <f t="shared" si="87"/>
        <v>LUN</v>
      </c>
      <c r="MY6" s="231" t="str">
        <f t="shared" si="87"/>
        <v>MAR</v>
      </c>
      <c r="MZ6" s="231" t="str">
        <f t="shared" si="87"/>
        <v>MIÉ</v>
      </c>
      <c r="NA6" s="231" t="str">
        <f t="shared" si="87"/>
        <v>JUE</v>
      </c>
      <c r="NB6" s="231" t="str">
        <f t="shared" si="87"/>
        <v>VIE</v>
      </c>
      <c r="NC6" s="231" t="str">
        <f t="shared" si="87"/>
        <v>SÁB</v>
      </c>
      <c r="ND6" s="231" t="str">
        <f t="shared" si="87"/>
        <v>LUN</v>
      </c>
      <c r="NE6" s="231" t="str">
        <f t="shared" si="87"/>
        <v>MAR</v>
      </c>
      <c r="NF6" s="231" t="str">
        <f t="shared" si="87"/>
        <v>MIÉ</v>
      </c>
      <c r="NG6" s="231" t="str">
        <f t="shared" si="87"/>
        <v>JUE</v>
      </c>
      <c r="NH6" s="231" t="str">
        <f t="shared" si="87"/>
        <v>VIE</v>
      </c>
      <c r="NI6" s="231" t="str">
        <f t="shared" si="87"/>
        <v>SÁB</v>
      </c>
      <c r="NJ6" s="231" t="str">
        <f t="shared" si="87"/>
        <v>LUN</v>
      </c>
      <c r="NK6" s="231" t="str">
        <f>UPPER(TEXT(NK5,"ddd"))</f>
        <v>MAR</v>
      </c>
      <c r="NL6" s="231" t="str">
        <f>UPPER(TEXT(NL5,"ddd"))</f>
        <v>MIÉ</v>
      </c>
      <c r="NM6" s="231" t="str">
        <f t="shared" ref="NM6:PX6" si="88">UPPER(TEXT(NM5,"ddd"))</f>
        <v>JUE</v>
      </c>
      <c r="NN6" s="231" t="str">
        <f t="shared" si="88"/>
        <v>VIE</v>
      </c>
      <c r="NO6" s="231" t="str">
        <f t="shared" si="88"/>
        <v>SÁB</v>
      </c>
      <c r="NP6" s="231" t="str">
        <f t="shared" si="88"/>
        <v>LUN</v>
      </c>
      <c r="NQ6" s="231" t="str">
        <f t="shared" si="88"/>
        <v>MAR</v>
      </c>
      <c r="NR6" s="231" t="str">
        <f t="shared" si="88"/>
        <v>MIÉ</v>
      </c>
      <c r="NS6" s="231" t="str">
        <f t="shared" si="88"/>
        <v>JUE</v>
      </c>
      <c r="NT6" s="231" t="str">
        <f t="shared" si="88"/>
        <v>VIE</v>
      </c>
      <c r="NU6" s="231" t="str">
        <f t="shared" si="88"/>
        <v>SÁB</v>
      </c>
      <c r="NV6" s="231" t="str">
        <f t="shared" si="88"/>
        <v>LUN</v>
      </c>
      <c r="NW6" s="231" t="str">
        <f t="shared" si="88"/>
        <v>MAR</v>
      </c>
      <c r="NX6" s="231" t="str">
        <f t="shared" si="88"/>
        <v>MIÉ</v>
      </c>
      <c r="NY6" s="231" t="str">
        <f t="shared" si="88"/>
        <v>JUE</v>
      </c>
      <c r="NZ6" s="231" t="str">
        <f t="shared" si="88"/>
        <v>VIE</v>
      </c>
      <c r="OA6" s="231" t="str">
        <f t="shared" si="88"/>
        <v>SÁB</v>
      </c>
      <c r="OB6" s="231" t="str">
        <f t="shared" si="88"/>
        <v>LUN</v>
      </c>
      <c r="OC6" s="231" t="str">
        <f t="shared" si="88"/>
        <v>MAR</v>
      </c>
      <c r="OD6" s="231" t="str">
        <f t="shared" si="88"/>
        <v>MIÉ</v>
      </c>
      <c r="OE6" s="231" t="str">
        <f t="shared" si="88"/>
        <v>JUE</v>
      </c>
      <c r="OF6" s="231" t="str">
        <f t="shared" si="88"/>
        <v>VIE</v>
      </c>
      <c r="OG6" s="231" t="str">
        <f t="shared" si="88"/>
        <v>SÁB</v>
      </c>
      <c r="OH6" s="231" t="str">
        <f t="shared" si="88"/>
        <v>LUN</v>
      </c>
      <c r="OI6" s="231" t="str">
        <f t="shared" si="88"/>
        <v>MAR</v>
      </c>
      <c r="OJ6" s="231" t="str">
        <f t="shared" si="88"/>
        <v>MIÉ</v>
      </c>
      <c r="OK6" s="231" t="str">
        <f t="shared" si="88"/>
        <v>JUE</v>
      </c>
      <c r="OL6" s="231" t="str">
        <f t="shared" si="88"/>
        <v>VIE</v>
      </c>
      <c r="OM6" s="231" t="str">
        <f t="shared" si="88"/>
        <v>SÁB</v>
      </c>
      <c r="ON6" s="231" t="str">
        <f t="shared" si="88"/>
        <v>LUN</v>
      </c>
      <c r="OO6" s="231" t="str">
        <f t="shared" si="88"/>
        <v>MAR</v>
      </c>
      <c r="OP6" s="231" t="str">
        <f t="shared" si="88"/>
        <v>MIÉ</v>
      </c>
      <c r="OQ6" s="231" t="str">
        <f t="shared" si="88"/>
        <v>JUE</v>
      </c>
      <c r="OR6" s="231" t="str">
        <f t="shared" si="88"/>
        <v>VIE</v>
      </c>
      <c r="OS6" s="231" t="str">
        <f t="shared" si="88"/>
        <v>SÁB</v>
      </c>
      <c r="OT6" s="231" t="str">
        <f t="shared" si="88"/>
        <v>LUN</v>
      </c>
      <c r="OU6" s="231" t="str">
        <f t="shared" si="88"/>
        <v>MAR</v>
      </c>
      <c r="OV6" s="231" t="str">
        <f t="shared" si="88"/>
        <v>MIÉ</v>
      </c>
      <c r="OW6" s="231" t="str">
        <f t="shared" si="88"/>
        <v>JUE</v>
      </c>
      <c r="OX6" s="231" t="str">
        <f t="shared" si="88"/>
        <v>VIE</v>
      </c>
      <c r="OY6" s="231" t="str">
        <f t="shared" si="88"/>
        <v>SÁB</v>
      </c>
      <c r="OZ6" s="231" t="str">
        <f t="shared" si="88"/>
        <v>LUN</v>
      </c>
      <c r="PA6" s="231" t="str">
        <f t="shared" si="88"/>
        <v>MAR</v>
      </c>
      <c r="PB6" s="231" t="str">
        <f t="shared" si="88"/>
        <v>MIÉ</v>
      </c>
      <c r="PC6" s="231" t="str">
        <f t="shared" si="88"/>
        <v>JUE</v>
      </c>
      <c r="PD6" s="231" t="str">
        <f t="shared" si="88"/>
        <v>VIE</v>
      </c>
      <c r="PE6" s="231" t="str">
        <f t="shared" si="88"/>
        <v>SÁB</v>
      </c>
      <c r="PF6" s="231" t="str">
        <f t="shared" si="88"/>
        <v>LUN</v>
      </c>
      <c r="PG6" s="231" t="str">
        <f t="shared" si="88"/>
        <v>MAR</v>
      </c>
      <c r="PH6" s="231" t="str">
        <f t="shared" si="88"/>
        <v>MIÉ</v>
      </c>
      <c r="PI6" s="231" t="str">
        <f t="shared" si="88"/>
        <v>JUE</v>
      </c>
      <c r="PJ6" s="231" t="str">
        <f t="shared" si="88"/>
        <v>VIE</v>
      </c>
      <c r="PK6" s="231" t="str">
        <f t="shared" si="88"/>
        <v>SÁB</v>
      </c>
      <c r="PL6" s="231" t="str">
        <f t="shared" si="88"/>
        <v>LUN</v>
      </c>
      <c r="PM6" s="231" t="str">
        <f t="shared" si="88"/>
        <v>MAR</v>
      </c>
      <c r="PN6" s="231" t="str">
        <f t="shared" si="88"/>
        <v>MIÉ</v>
      </c>
      <c r="PO6" s="231" t="str">
        <f t="shared" si="88"/>
        <v>JUE</v>
      </c>
      <c r="PP6" s="231" t="str">
        <f t="shared" si="88"/>
        <v>VIE</v>
      </c>
      <c r="PQ6" s="231" t="str">
        <f t="shared" si="88"/>
        <v>SÁB</v>
      </c>
      <c r="PR6" s="231" t="str">
        <f t="shared" si="88"/>
        <v>LUN</v>
      </c>
      <c r="PS6" s="231" t="str">
        <f t="shared" si="88"/>
        <v>MAR</v>
      </c>
      <c r="PT6" s="231" t="str">
        <f t="shared" si="88"/>
        <v>MIÉ</v>
      </c>
      <c r="PU6" s="231" t="str">
        <f t="shared" si="88"/>
        <v>JUE</v>
      </c>
      <c r="PV6" s="231" t="str">
        <f t="shared" si="88"/>
        <v>VIE</v>
      </c>
      <c r="PW6" s="231" t="str">
        <f t="shared" si="88"/>
        <v>SÁB</v>
      </c>
      <c r="PX6" s="231" t="str">
        <f t="shared" si="88"/>
        <v>LUN</v>
      </c>
      <c r="PY6" s="231" t="str">
        <f t="shared" ref="PY6:QH6" si="89">UPPER(TEXT(PY5,"ddd"))</f>
        <v>MAR</v>
      </c>
      <c r="PZ6" s="231" t="str">
        <f t="shared" si="89"/>
        <v>MIÉ</v>
      </c>
      <c r="QA6" s="231" t="str">
        <f t="shared" si="89"/>
        <v>JUE</v>
      </c>
      <c r="QB6" s="231" t="str">
        <f t="shared" si="89"/>
        <v>VIE</v>
      </c>
      <c r="QC6" s="231" t="str">
        <f t="shared" si="89"/>
        <v>SÁB</v>
      </c>
      <c r="QD6" s="231" t="str">
        <f t="shared" si="89"/>
        <v>LUN</v>
      </c>
      <c r="QE6" s="231" t="str">
        <f t="shared" si="89"/>
        <v>MAR</v>
      </c>
      <c r="QF6" s="231" t="str">
        <f t="shared" si="89"/>
        <v>MIÉ</v>
      </c>
      <c r="QG6" s="231" t="str">
        <f t="shared" si="89"/>
        <v>JUE</v>
      </c>
      <c r="QH6" s="231" t="str">
        <f t="shared" si="89"/>
        <v>VIE</v>
      </c>
      <c r="QI6" s="232" t="str">
        <f>UPPER(TEXT(QI5,"ddd"))</f>
        <v>SÁB</v>
      </c>
    </row>
    <row r="7" spans="1:451" s="238" customFormat="1" ht="18" customHeight="1" x14ac:dyDescent="0.2">
      <c r="A7" s="233"/>
      <c r="B7" s="234"/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6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  <c r="AP7" s="235"/>
      <c r="AQ7" s="235"/>
      <c r="AR7" s="236"/>
      <c r="AS7" s="235"/>
      <c r="AT7" s="235"/>
      <c r="AU7" s="235"/>
      <c r="AV7" s="235"/>
      <c r="AW7" s="235"/>
      <c r="AX7" s="235"/>
      <c r="AY7" s="235"/>
      <c r="AZ7" s="235"/>
      <c r="BA7" s="235"/>
      <c r="BB7" s="235"/>
      <c r="BC7" s="235"/>
      <c r="BD7" s="235"/>
      <c r="BE7" s="235"/>
      <c r="BF7" s="235"/>
      <c r="BG7" s="235"/>
      <c r="BH7" s="235"/>
      <c r="BI7" s="235"/>
      <c r="BJ7" s="235"/>
      <c r="BK7" s="235"/>
      <c r="BL7" s="235"/>
      <c r="BM7" s="235"/>
      <c r="BN7" s="235"/>
      <c r="BO7" s="235"/>
      <c r="BP7" s="235"/>
      <c r="BQ7" s="235"/>
      <c r="BR7" s="235"/>
      <c r="BS7" s="235"/>
      <c r="BT7" s="235"/>
      <c r="BU7" s="235"/>
      <c r="BV7" s="235"/>
      <c r="BW7" s="235"/>
      <c r="BX7" s="235"/>
      <c r="BY7" s="235"/>
      <c r="BZ7" s="235"/>
      <c r="CA7" s="235"/>
      <c r="CB7" s="235"/>
      <c r="CC7" s="236"/>
      <c r="CD7" s="236"/>
      <c r="CE7" s="235"/>
      <c r="CF7" s="235"/>
      <c r="CG7" s="235"/>
      <c r="CH7" s="235"/>
      <c r="CI7" s="235"/>
      <c r="CJ7" s="235"/>
      <c r="CK7" s="235"/>
      <c r="CL7" s="235"/>
      <c r="CM7" s="235"/>
      <c r="CN7" s="235"/>
      <c r="CO7" s="235"/>
      <c r="CP7" s="235"/>
      <c r="CQ7" s="235"/>
      <c r="CR7" s="236"/>
      <c r="CS7" s="235"/>
      <c r="CT7" s="235"/>
      <c r="CU7" s="235"/>
      <c r="CV7" s="235"/>
      <c r="CW7" s="235"/>
      <c r="CX7" s="236"/>
      <c r="CY7" s="235"/>
      <c r="CZ7" s="235"/>
      <c r="DA7" s="235"/>
      <c r="DB7" s="235"/>
      <c r="DC7" s="235"/>
      <c r="DD7" s="235"/>
      <c r="DE7" s="235"/>
      <c r="DF7" s="235"/>
      <c r="DG7" s="235"/>
      <c r="DH7" s="235"/>
      <c r="DI7" s="235"/>
      <c r="DJ7" s="235"/>
      <c r="DK7" s="235"/>
      <c r="DL7" s="235"/>
      <c r="DM7" s="235"/>
      <c r="DN7" s="235"/>
      <c r="DO7" s="235"/>
      <c r="DP7" s="235"/>
      <c r="DQ7" s="235"/>
      <c r="DR7" s="235"/>
      <c r="DS7" s="235"/>
      <c r="DT7" s="235"/>
      <c r="DU7" s="235"/>
      <c r="DV7" s="235"/>
      <c r="DW7" s="235"/>
      <c r="DX7" s="235"/>
      <c r="DY7" s="235"/>
      <c r="DZ7" s="235"/>
      <c r="EA7" s="235"/>
      <c r="EB7" s="235"/>
      <c r="EC7" s="235"/>
      <c r="ED7" s="235"/>
      <c r="EE7" s="235"/>
      <c r="EF7" s="235"/>
      <c r="EG7" s="235"/>
      <c r="EH7" s="235"/>
      <c r="EI7" s="235"/>
      <c r="EJ7" s="235"/>
      <c r="EK7" s="235"/>
      <c r="EL7" s="235"/>
      <c r="EM7" s="235"/>
      <c r="EN7" s="235"/>
      <c r="EO7" s="235"/>
      <c r="EP7" s="235"/>
      <c r="EQ7" s="235"/>
      <c r="ER7" s="235"/>
      <c r="ES7" s="235"/>
      <c r="ET7" s="235"/>
      <c r="EU7" s="235"/>
      <c r="EV7" s="235"/>
      <c r="EW7" s="235"/>
      <c r="EX7" s="235"/>
      <c r="EY7" s="235"/>
      <c r="EZ7" s="235"/>
      <c r="FA7" s="235"/>
      <c r="FB7" s="235"/>
      <c r="FC7" s="235"/>
      <c r="FD7" s="235"/>
      <c r="FE7" s="235"/>
      <c r="FF7" s="235"/>
      <c r="FG7" s="235"/>
      <c r="FH7" s="235"/>
      <c r="FI7" s="235"/>
      <c r="FJ7" s="235"/>
      <c r="FK7" s="235"/>
      <c r="FL7" s="235"/>
      <c r="FM7" s="235"/>
      <c r="FN7" s="235"/>
      <c r="FO7" s="235"/>
      <c r="FP7" s="235"/>
      <c r="FQ7" s="236"/>
      <c r="FR7" s="236"/>
      <c r="FS7" s="235"/>
      <c r="FT7" s="235"/>
      <c r="FU7" s="235"/>
      <c r="FV7" s="235"/>
      <c r="FW7" s="235"/>
      <c r="FX7" s="235"/>
      <c r="FY7" s="235"/>
      <c r="FZ7" s="235"/>
      <c r="GA7" s="235"/>
      <c r="GB7" s="235"/>
      <c r="GC7" s="235"/>
      <c r="GD7" s="235"/>
      <c r="GE7" s="235"/>
      <c r="GF7" s="235"/>
      <c r="GG7" s="235"/>
      <c r="GH7" s="235"/>
      <c r="GI7" s="235"/>
      <c r="GJ7" s="235"/>
      <c r="GK7" s="235"/>
      <c r="GL7" s="235"/>
      <c r="GM7" s="235"/>
      <c r="GN7" s="235"/>
      <c r="GO7" s="235"/>
      <c r="GP7" s="235"/>
      <c r="GQ7" s="235"/>
      <c r="GR7" s="235"/>
      <c r="GS7" s="235"/>
      <c r="GT7" s="235"/>
      <c r="GU7" s="235"/>
      <c r="GV7" s="235"/>
      <c r="GW7" s="236"/>
      <c r="GX7" s="235"/>
      <c r="GY7" s="235"/>
      <c r="GZ7" s="235"/>
      <c r="HA7" s="235"/>
      <c r="HB7" s="235"/>
      <c r="HC7" s="235"/>
      <c r="HD7" s="235"/>
      <c r="HE7" s="235"/>
      <c r="HF7" s="235"/>
      <c r="HG7" s="235"/>
      <c r="HH7" s="235"/>
      <c r="HI7" s="235"/>
      <c r="HJ7" s="235"/>
      <c r="HK7" s="235"/>
      <c r="HL7" s="235"/>
      <c r="HM7" s="235"/>
      <c r="HN7" s="235"/>
      <c r="HO7" s="235"/>
      <c r="HP7" s="235"/>
      <c r="HQ7" s="235"/>
      <c r="HR7" s="235"/>
      <c r="HS7" s="235"/>
      <c r="HT7" s="235"/>
      <c r="HU7" s="235"/>
      <c r="HV7" s="235"/>
      <c r="HW7" s="235"/>
      <c r="HX7" s="235"/>
      <c r="HY7" s="235"/>
      <c r="HZ7" s="235"/>
      <c r="IA7" s="235"/>
      <c r="IB7" s="235"/>
      <c r="IC7" s="235"/>
      <c r="ID7" s="235"/>
      <c r="IE7" s="235"/>
      <c r="IF7" s="235"/>
      <c r="IG7" s="235"/>
      <c r="IH7" s="235"/>
      <c r="II7" s="235"/>
      <c r="IJ7" s="235"/>
      <c r="IK7" s="235"/>
      <c r="IL7" s="235"/>
      <c r="IM7" s="235"/>
      <c r="IN7" s="235"/>
      <c r="IO7" s="235"/>
      <c r="IP7" s="235"/>
      <c r="IQ7" s="235"/>
      <c r="IR7" s="235"/>
      <c r="IS7" s="235"/>
      <c r="IT7" s="235"/>
      <c r="IU7" s="235"/>
      <c r="IV7" s="236"/>
      <c r="IW7" s="235"/>
      <c r="IX7" s="235"/>
      <c r="IY7" s="235"/>
      <c r="IZ7" s="235"/>
      <c r="JA7" s="235"/>
      <c r="JB7" s="235"/>
      <c r="JC7" s="235"/>
      <c r="JD7" s="235"/>
      <c r="JE7" s="235"/>
      <c r="JF7" s="235"/>
      <c r="JG7" s="235"/>
      <c r="JH7" s="235"/>
      <c r="JI7" s="235"/>
      <c r="JJ7" s="235"/>
      <c r="JK7" s="235"/>
      <c r="JL7" s="235"/>
      <c r="JM7" s="235"/>
      <c r="JN7" s="235"/>
      <c r="JO7" s="235"/>
      <c r="JP7" s="236"/>
      <c r="JQ7" s="235"/>
      <c r="JR7" s="235"/>
      <c r="JS7" s="235"/>
      <c r="JT7" s="236"/>
      <c r="JU7" s="236"/>
      <c r="JV7" s="235"/>
      <c r="JW7" s="235"/>
      <c r="JX7" s="235"/>
      <c r="JY7" s="235"/>
      <c r="JZ7" s="235"/>
      <c r="KA7" s="235"/>
      <c r="KB7" s="236"/>
      <c r="KC7" s="235"/>
      <c r="KD7" s="235"/>
      <c r="KE7" s="235"/>
      <c r="KF7" s="235"/>
      <c r="KG7" s="235"/>
      <c r="KH7" s="235"/>
      <c r="KI7" s="235"/>
      <c r="KJ7" s="235"/>
      <c r="KK7" s="235"/>
      <c r="KL7" s="235"/>
      <c r="KM7" s="235"/>
      <c r="KN7" s="235"/>
      <c r="KO7" s="235"/>
      <c r="KP7" s="235"/>
      <c r="KQ7" s="235"/>
      <c r="KR7" s="235"/>
      <c r="KS7" s="235"/>
      <c r="KT7" s="235"/>
      <c r="KU7" s="235"/>
      <c r="KV7" s="236"/>
      <c r="KW7" s="235"/>
      <c r="KX7" s="235"/>
      <c r="KY7" s="235"/>
      <c r="KZ7" s="235"/>
      <c r="LA7" s="235"/>
      <c r="LB7" s="235"/>
      <c r="LC7" s="235"/>
      <c r="LD7" s="235"/>
      <c r="LE7" s="235"/>
      <c r="LF7" s="235"/>
      <c r="LG7" s="235"/>
      <c r="LH7" s="235"/>
      <c r="LI7" s="235"/>
      <c r="LJ7" s="235"/>
      <c r="LK7" s="235"/>
      <c r="LL7" s="235"/>
      <c r="LM7" s="235"/>
      <c r="LN7" s="235"/>
      <c r="LO7" s="235"/>
      <c r="LP7" s="235"/>
      <c r="LQ7" s="235"/>
      <c r="LR7" s="235"/>
      <c r="LS7" s="235"/>
      <c r="LT7" s="235"/>
      <c r="LU7" s="235"/>
      <c r="LV7" s="235"/>
      <c r="LW7" s="235"/>
      <c r="LX7" s="235"/>
      <c r="LY7" s="235"/>
      <c r="LZ7" s="235"/>
      <c r="MA7" s="235"/>
      <c r="MB7" s="235"/>
      <c r="MC7" s="235"/>
      <c r="MD7" s="236"/>
      <c r="ME7" s="235"/>
      <c r="MF7" s="235"/>
      <c r="MG7" s="235"/>
      <c r="MH7" s="235"/>
      <c r="MI7" s="235"/>
      <c r="MJ7" s="235"/>
      <c r="MK7" s="235"/>
      <c r="ML7" s="235"/>
      <c r="MM7" s="235"/>
      <c r="MN7" s="235"/>
      <c r="MO7" s="235"/>
      <c r="MP7" s="235"/>
      <c r="MQ7" s="235"/>
      <c r="MR7" s="235"/>
      <c r="MS7" s="235"/>
      <c r="MT7" s="235"/>
      <c r="MU7" s="235"/>
      <c r="MV7" s="235"/>
      <c r="MW7" s="235"/>
      <c r="MX7" s="236"/>
      <c r="MY7" s="235"/>
      <c r="MZ7" s="235"/>
      <c r="NA7" s="235"/>
      <c r="NB7" s="235"/>
      <c r="NC7" s="235"/>
      <c r="ND7" s="235"/>
      <c r="NE7" s="235"/>
      <c r="NF7" s="235"/>
      <c r="NG7" s="235"/>
      <c r="NH7" s="235"/>
      <c r="NI7" s="235"/>
      <c r="NJ7" s="235"/>
      <c r="NK7" s="235"/>
      <c r="NL7" s="235"/>
      <c r="NM7" s="235"/>
      <c r="NN7" s="235"/>
      <c r="NO7" s="235"/>
      <c r="NP7" s="235"/>
      <c r="NQ7" s="235"/>
      <c r="NR7" s="235"/>
      <c r="NS7" s="235"/>
      <c r="NT7" s="235"/>
      <c r="NU7" s="235"/>
      <c r="NV7" s="235"/>
      <c r="NW7" s="235"/>
      <c r="NX7" s="235"/>
      <c r="NY7" s="235"/>
      <c r="NZ7" s="235"/>
      <c r="OA7" s="235"/>
      <c r="OB7" s="235"/>
      <c r="OC7" s="235"/>
      <c r="OD7" s="236"/>
      <c r="OE7" s="236"/>
      <c r="OF7" s="235"/>
      <c r="OG7" s="235"/>
      <c r="OH7" s="235"/>
      <c r="OI7" s="235"/>
      <c r="OJ7" s="235"/>
      <c r="OK7" s="235"/>
      <c r="OL7" s="235"/>
      <c r="OM7" s="235"/>
      <c r="ON7" s="235"/>
      <c r="OO7" s="235"/>
      <c r="OP7" s="235"/>
      <c r="OQ7" s="235"/>
      <c r="OR7" s="235"/>
      <c r="OS7" s="236"/>
      <c r="OT7" s="235"/>
      <c r="OU7" s="235"/>
      <c r="OV7" s="235"/>
      <c r="OW7" s="235"/>
      <c r="OX7" s="235"/>
      <c r="OY7" s="236"/>
      <c r="OZ7" s="235"/>
      <c r="PA7" s="235"/>
      <c r="PB7" s="235"/>
      <c r="PC7" s="235"/>
      <c r="PD7" s="235"/>
      <c r="PE7" s="235"/>
      <c r="PF7" s="235"/>
      <c r="PG7" s="235"/>
      <c r="PH7" s="235"/>
      <c r="PI7" s="235"/>
      <c r="PJ7" s="235"/>
      <c r="PK7" s="235"/>
      <c r="PL7" s="235"/>
      <c r="PM7" s="235"/>
      <c r="PN7" s="235"/>
      <c r="PO7" s="235"/>
      <c r="PP7" s="235"/>
      <c r="PQ7" s="235"/>
      <c r="PR7" s="235"/>
      <c r="PS7" s="235"/>
      <c r="PT7" s="235"/>
      <c r="PU7" s="235"/>
      <c r="PV7" s="235"/>
      <c r="PW7" s="235"/>
      <c r="PX7" s="235"/>
      <c r="PY7" s="235"/>
      <c r="PZ7" s="235"/>
      <c r="QA7" s="235"/>
      <c r="QB7" s="235"/>
      <c r="QC7" s="235"/>
      <c r="QD7" s="235"/>
      <c r="QE7" s="235"/>
      <c r="QF7" s="235"/>
      <c r="QG7" s="235"/>
      <c r="QH7" s="235"/>
      <c r="QI7" s="237"/>
    </row>
    <row r="8" spans="1:451" ht="18" customHeight="1" x14ac:dyDescent="0.2">
      <c r="A8" s="239" t="s">
        <v>268</v>
      </c>
      <c r="B8" s="240"/>
      <c r="C8" s="241"/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1"/>
      <c r="V8" s="241"/>
      <c r="W8" s="241"/>
      <c r="X8" s="241"/>
      <c r="Y8" s="242"/>
      <c r="Z8" s="242"/>
      <c r="AA8" s="242"/>
      <c r="AB8" s="242"/>
      <c r="AC8" s="243"/>
      <c r="AD8" s="242"/>
      <c r="AE8" s="242"/>
      <c r="AF8" s="242"/>
      <c r="AG8" s="242"/>
      <c r="AH8" s="242"/>
      <c r="AI8" s="242"/>
      <c r="AJ8" s="242"/>
      <c r="AK8" s="242"/>
      <c r="AL8" s="242"/>
      <c r="AM8" s="242"/>
      <c r="AN8" s="242"/>
      <c r="AO8" s="242"/>
      <c r="AP8" s="242"/>
      <c r="AQ8" s="242"/>
      <c r="AR8" s="243"/>
      <c r="AS8" s="242"/>
      <c r="AT8" s="242"/>
      <c r="AU8" s="242"/>
      <c r="AV8" s="242"/>
      <c r="AW8" s="242"/>
      <c r="AX8" s="242"/>
      <c r="AY8" s="242"/>
      <c r="AZ8" s="242"/>
      <c r="BA8" s="242"/>
      <c r="BB8" s="242"/>
      <c r="BC8" s="242"/>
      <c r="BD8" s="242"/>
      <c r="BE8" s="242"/>
      <c r="BF8" s="242"/>
      <c r="BG8" s="242"/>
      <c r="BH8" s="242"/>
      <c r="BI8" s="242"/>
      <c r="BJ8" s="242"/>
      <c r="BK8" s="242"/>
      <c r="BL8" s="242"/>
      <c r="BM8" s="242"/>
      <c r="BN8" s="242"/>
      <c r="BO8" s="242"/>
      <c r="BP8" s="242"/>
      <c r="BQ8" s="242"/>
      <c r="BR8" s="242"/>
      <c r="BS8" s="242"/>
      <c r="BT8" s="242"/>
      <c r="BU8" s="242"/>
      <c r="BV8" s="242"/>
      <c r="BW8" s="242"/>
      <c r="BX8" s="242"/>
      <c r="BY8" s="242"/>
      <c r="BZ8" s="242"/>
      <c r="CA8" s="242"/>
      <c r="CB8" s="242"/>
      <c r="CC8" s="243"/>
      <c r="CD8" s="243"/>
      <c r="CE8" s="242"/>
      <c r="CF8" s="242"/>
      <c r="CG8" s="242"/>
      <c r="CH8" s="242"/>
      <c r="CI8" s="242"/>
      <c r="CJ8" s="242"/>
      <c r="CK8" s="242"/>
      <c r="CL8" s="242"/>
      <c r="CM8" s="242"/>
      <c r="CN8" s="242"/>
      <c r="CO8" s="242"/>
      <c r="CP8" s="242"/>
      <c r="CQ8" s="242"/>
      <c r="CR8" s="243"/>
      <c r="CS8" s="242"/>
      <c r="CT8" s="242"/>
      <c r="CU8" s="242"/>
      <c r="CV8" s="242"/>
      <c r="CW8" s="242"/>
      <c r="CX8" s="243"/>
      <c r="CY8" s="242"/>
      <c r="CZ8" s="242"/>
      <c r="DA8" s="242"/>
      <c r="DB8" s="242"/>
      <c r="DC8" s="242"/>
      <c r="DD8" s="242"/>
      <c r="DE8" s="242"/>
      <c r="DF8" s="242"/>
      <c r="DG8" s="242"/>
      <c r="DH8" s="242"/>
      <c r="DI8" s="242"/>
      <c r="DJ8" s="242"/>
      <c r="DK8" s="242"/>
      <c r="DL8" s="242"/>
      <c r="DM8" s="242"/>
      <c r="DN8" s="242"/>
      <c r="DO8" s="242"/>
      <c r="DP8" s="242"/>
      <c r="DQ8" s="242"/>
      <c r="DR8" s="242"/>
      <c r="DS8" s="242"/>
      <c r="DT8" s="242"/>
      <c r="DU8" s="242"/>
      <c r="DV8" s="242"/>
      <c r="DW8" s="242"/>
      <c r="DX8" s="242"/>
      <c r="DY8" s="242"/>
      <c r="DZ8" s="242"/>
      <c r="EA8" s="242"/>
      <c r="EB8" s="242"/>
      <c r="EC8" s="242"/>
      <c r="ED8" s="242"/>
      <c r="EE8" s="242"/>
      <c r="EF8" s="242"/>
      <c r="EG8" s="242"/>
      <c r="EH8" s="242"/>
      <c r="EI8" s="242"/>
      <c r="EJ8" s="242"/>
      <c r="EK8" s="242"/>
      <c r="EL8" s="242"/>
      <c r="EM8" s="242"/>
      <c r="EN8" s="242"/>
      <c r="EO8" s="242"/>
      <c r="EP8" s="242"/>
      <c r="EQ8" s="242"/>
      <c r="ER8" s="242"/>
      <c r="ES8" s="242"/>
      <c r="ET8" s="242"/>
      <c r="EU8" s="242"/>
      <c r="EV8" s="242"/>
      <c r="EW8" s="242"/>
      <c r="EX8" s="242"/>
      <c r="EY8" s="242"/>
      <c r="EZ8" s="242"/>
      <c r="FA8" s="242"/>
      <c r="FB8" s="242"/>
      <c r="FC8" s="242"/>
      <c r="FD8" s="242"/>
      <c r="FE8" s="242"/>
      <c r="FF8" s="242"/>
      <c r="FG8" s="242"/>
      <c r="FH8" s="242"/>
      <c r="FI8" s="242"/>
      <c r="FJ8" s="242"/>
      <c r="FK8" s="242"/>
      <c r="FL8" s="242"/>
      <c r="FM8" s="242"/>
      <c r="FN8" s="242"/>
      <c r="FO8" s="242"/>
      <c r="FP8" s="242"/>
      <c r="FQ8" s="243"/>
      <c r="FR8" s="243"/>
      <c r="FS8" s="242"/>
      <c r="FT8" s="242"/>
      <c r="FU8" s="242"/>
      <c r="FV8" s="242"/>
      <c r="FW8" s="242"/>
      <c r="FX8" s="242"/>
      <c r="FY8" s="242"/>
      <c r="FZ8" s="242"/>
      <c r="GA8" s="242"/>
      <c r="GB8" s="242"/>
      <c r="GC8" s="242"/>
      <c r="GD8" s="242"/>
      <c r="GE8" s="242"/>
      <c r="GF8" s="242"/>
      <c r="GG8" s="242"/>
      <c r="GH8" s="242"/>
      <c r="GI8" s="242"/>
      <c r="GJ8" s="242"/>
      <c r="GK8" s="242"/>
      <c r="GL8" s="242"/>
      <c r="GM8" s="242"/>
      <c r="GN8" s="242"/>
      <c r="GO8" s="242"/>
      <c r="GP8" s="242"/>
      <c r="GQ8" s="242"/>
      <c r="GR8" s="242"/>
      <c r="GS8" s="242"/>
      <c r="GT8" s="242"/>
      <c r="GU8" s="242"/>
      <c r="GV8" s="242"/>
      <c r="GW8" s="243"/>
      <c r="GX8" s="242"/>
      <c r="GY8" s="242"/>
      <c r="GZ8" s="242"/>
      <c r="HA8" s="242"/>
      <c r="HB8" s="242"/>
      <c r="HC8" s="242"/>
      <c r="HD8" s="242"/>
      <c r="HE8" s="242"/>
      <c r="HF8" s="242"/>
      <c r="HG8" s="242"/>
      <c r="HH8" s="242"/>
      <c r="HI8" s="242"/>
      <c r="HJ8" s="242"/>
      <c r="HK8" s="242"/>
      <c r="HL8" s="242"/>
      <c r="HM8" s="242"/>
      <c r="HN8" s="242"/>
      <c r="HO8" s="242"/>
      <c r="HP8" s="242"/>
      <c r="HQ8" s="242"/>
      <c r="HR8" s="242"/>
      <c r="HS8" s="242"/>
      <c r="HT8" s="242"/>
      <c r="HU8" s="242"/>
      <c r="HV8" s="242"/>
      <c r="HW8" s="242"/>
      <c r="HX8" s="242"/>
      <c r="HY8" s="242"/>
      <c r="HZ8" s="242"/>
      <c r="IA8" s="242"/>
      <c r="IB8" s="242"/>
      <c r="IC8" s="242"/>
      <c r="ID8" s="242"/>
      <c r="IE8" s="242"/>
      <c r="IF8" s="242"/>
      <c r="IG8" s="242"/>
      <c r="IH8" s="242"/>
      <c r="II8" s="242"/>
      <c r="IJ8" s="242"/>
      <c r="IK8" s="242"/>
      <c r="IL8" s="242"/>
      <c r="IM8" s="242"/>
      <c r="IN8" s="242"/>
      <c r="IO8" s="242"/>
      <c r="IP8" s="242"/>
      <c r="IQ8" s="242"/>
      <c r="IR8" s="242"/>
      <c r="IS8" s="242"/>
      <c r="IT8" s="242"/>
      <c r="IU8" s="242"/>
      <c r="IV8" s="243"/>
      <c r="IW8" s="242"/>
      <c r="IX8" s="242"/>
      <c r="IY8" s="242"/>
      <c r="IZ8" s="242"/>
      <c r="JA8" s="242"/>
      <c r="JB8" s="242"/>
      <c r="JC8" s="242"/>
      <c r="JD8" s="242"/>
      <c r="JE8" s="242"/>
      <c r="JF8" s="242"/>
      <c r="JG8" s="242"/>
      <c r="JH8" s="242"/>
      <c r="JI8" s="242"/>
      <c r="JJ8" s="242"/>
      <c r="JK8" s="242"/>
      <c r="JL8" s="242"/>
      <c r="JM8" s="242"/>
      <c r="JN8" s="242"/>
      <c r="JO8" s="242"/>
      <c r="JP8" s="243"/>
      <c r="JQ8" s="242"/>
      <c r="JR8" s="242"/>
      <c r="JS8" s="242"/>
      <c r="JT8" s="243"/>
      <c r="JU8" s="243"/>
      <c r="JV8" s="242"/>
      <c r="JW8" s="242"/>
      <c r="JX8" s="242"/>
      <c r="JY8" s="242"/>
      <c r="JZ8" s="242"/>
      <c r="KA8" s="242"/>
      <c r="KB8" s="243"/>
      <c r="KC8" s="242"/>
      <c r="KD8" s="242"/>
      <c r="KE8" s="242"/>
      <c r="KF8" s="242"/>
      <c r="KG8" s="242"/>
      <c r="KH8" s="242"/>
      <c r="KI8" s="242"/>
      <c r="KJ8" s="242"/>
      <c r="KK8" s="242"/>
      <c r="KL8" s="242"/>
      <c r="KM8" s="242"/>
      <c r="KN8" s="242"/>
      <c r="KO8" s="242"/>
      <c r="KP8" s="242"/>
      <c r="KQ8" s="242"/>
      <c r="KR8" s="242"/>
      <c r="KS8" s="242"/>
      <c r="KT8" s="242"/>
      <c r="KU8" s="242"/>
      <c r="KV8" s="243"/>
      <c r="KW8" s="242"/>
      <c r="KX8" s="242"/>
      <c r="KY8" s="242"/>
      <c r="KZ8" s="242"/>
      <c r="LA8" s="242"/>
      <c r="LB8" s="242"/>
      <c r="LC8" s="242"/>
      <c r="LD8" s="242"/>
      <c r="LE8" s="242"/>
      <c r="LF8" s="242"/>
      <c r="LG8" s="242"/>
      <c r="LH8" s="242"/>
      <c r="LI8" s="242"/>
      <c r="LJ8" s="242"/>
      <c r="LK8" s="242"/>
      <c r="LL8" s="242"/>
      <c r="LM8" s="242"/>
      <c r="LN8" s="242"/>
      <c r="LO8" s="242"/>
      <c r="LP8" s="242"/>
      <c r="LQ8" s="242"/>
      <c r="LR8" s="242"/>
      <c r="LS8" s="242"/>
      <c r="LT8" s="242"/>
      <c r="LU8" s="242"/>
      <c r="LV8" s="242"/>
      <c r="LW8" s="242"/>
      <c r="LX8" s="242"/>
      <c r="LY8" s="242"/>
      <c r="LZ8" s="242"/>
      <c r="MA8" s="242"/>
      <c r="MB8" s="242"/>
      <c r="MC8" s="242"/>
      <c r="MD8" s="243"/>
      <c r="ME8" s="242"/>
      <c r="MF8" s="242"/>
      <c r="MG8" s="242"/>
      <c r="MH8" s="242"/>
      <c r="MI8" s="242"/>
      <c r="MJ8" s="242"/>
      <c r="MK8" s="242"/>
      <c r="ML8" s="242"/>
      <c r="MM8" s="242"/>
      <c r="MN8" s="242"/>
      <c r="MO8" s="242"/>
      <c r="MP8" s="242"/>
      <c r="MQ8" s="242"/>
      <c r="MR8" s="242"/>
      <c r="MS8" s="242"/>
      <c r="MT8" s="242"/>
      <c r="MU8" s="242"/>
      <c r="MV8" s="242"/>
      <c r="MW8" s="242"/>
      <c r="MX8" s="243"/>
      <c r="MY8" s="242"/>
      <c r="MZ8" s="242"/>
      <c r="NA8" s="242"/>
      <c r="NB8" s="242"/>
      <c r="NC8" s="242"/>
      <c r="ND8" s="242"/>
      <c r="NE8" s="242"/>
      <c r="NF8" s="242"/>
      <c r="NG8" s="242"/>
      <c r="NH8" s="242"/>
      <c r="NI8" s="242"/>
      <c r="NJ8" s="242"/>
      <c r="NK8" s="242"/>
      <c r="NL8" s="242"/>
      <c r="NM8" s="242"/>
      <c r="NN8" s="242"/>
      <c r="NO8" s="242"/>
      <c r="NP8" s="242"/>
      <c r="NQ8" s="242"/>
      <c r="NR8" s="242"/>
      <c r="NS8" s="242"/>
      <c r="NT8" s="242"/>
      <c r="NU8" s="242"/>
      <c r="NV8" s="242"/>
      <c r="NW8" s="242"/>
      <c r="NX8" s="242"/>
      <c r="NY8" s="242"/>
      <c r="NZ8" s="242"/>
      <c r="OA8" s="242"/>
      <c r="OB8" s="242"/>
      <c r="OC8" s="242"/>
      <c r="OD8" s="243"/>
      <c r="OE8" s="243"/>
      <c r="OF8" s="242"/>
      <c r="OG8" s="242"/>
      <c r="OH8" s="242"/>
      <c r="OI8" s="242"/>
      <c r="OJ8" s="242"/>
      <c r="OK8" s="242"/>
      <c r="OL8" s="242"/>
      <c r="OM8" s="242"/>
      <c r="ON8" s="242"/>
      <c r="OO8" s="242"/>
      <c r="OP8" s="242"/>
      <c r="OQ8" s="242"/>
      <c r="OR8" s="242"/>
      <c r="OS8" s="243"/>
      <c r="OT8" s="242"/>
      <c r="OU8" s="242"/>
      <c r="OV8" s="242"/>
      <c r="OW8" s="242"/>
      <c r="OX8" s="242"/>
      <c r="OY8" s="243"/>
      <c r="OZ8" s="242"/>
      <c r="PA8" s="242"/>
      <c r="PB8" s="242"/>
      <c r="PC8" s="242"/>
      <c r="PD8" s="242"/>
      <c r="PE8" s="242"/>
      <c r="PF8" s="242"/>
      <c r="PG8" s="242"/>
      <c r="PH8" s="242"/>
      <c r="PI8" s="242"/>
      <c r="PJ8" s="242"/>
      <c r="PK8" s="242"/>
      <c r="PL8" s="242"/>
      <c r="PM8" s="242"/>
      <c r="PN8" s="242"/>
      <c r="PO8" s="242"/>
      <c r="PP8" s="242"/>
      <c r="PQ8" s="242"/>
      <c r="PR8" s="242"/>
      <c r="PS8" s="242"/>
      <c r="PT8" s="242"/>
      <c r="PU8" s="242"/>
      <c r="PV8" s="242"/>
      <c r="PW8" s="242"/>
      <c r="PX8" s="242"/>
      <c r="PY8" s="242"/>
      <c r="PZ8" s="242"/>
      <c r="QA8" s="242"/>
      <c r="QB8" s="242"/>
      <c r="QC8" s="242"/>
      <c r="QD8" s="242"/>
      <c r="QE8" s="242"/>
      <c r="QF8" s="242"/>
      <c r="QG8" s="242"/>
      <c r="QH8" s="242"/>
      <c r="QI8" s="244"/>
    </row>
    <row r="9" spans="1:451" ht="18" customHeight="1" x14ac:dyDescent="0.2">
      <c r="A9" s="239" t="s">
        <v>269</v>
      </c>
      <c r="B9" s="245"/>
      <c r="C9" s="242"/>
      <c r="D9" s="242"/>
      <c r="E9" s="242"/>
      <c r="F9" s="242"/>
      <c r="G9" s="242"/>
      <c r="H9" s="242"/>
      <c r="I9" s="242"/>
      <c r="J9" s="242"/>
      <c r="K9" s="242"/>
      <c r="L9" s="242"/>
      <c r="M9" s="242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2"/>
      <c r="Z9" s="242"/>
      <c r="AA9" s="242"/>
      <c r="AB9" s="242"/>
      <c r="AC9" s="243"/>
      <c r="AD9" s="242"/>
      <c r="AE9" s="242"/>
      <c r="AF9" s="242"/>
      <c r="AG9" s="242"/>
      <c r="AH9" s="242"/>
      <c r="AI9" s="242"/>
      <c r="AJ9" s="242"/>
      <c r="AK9" s="242"/>
      <c r="AL9" s="242"/>
      <c r="AM9" s="242"/>
      <c r="AN9" s="242"/>
      <c r="AO9" s="242"/>
      <c r="AP9" s="242"/>
      <c r="AQ9" s="242"/>
      <c r="AR9" s="243"/>
      <c r="AS9" s="242"/>
      <c r="AT9" s="242"/>
      <c r="AU9" s="242"/>
      <c r="AV9" s="242"/>
      <c r="AW9" s="242"/>
      <c r="AX9" s="242"/>
      <c r="AY9" s="242"/>
      <c r="AZ9" s="242"/>
      <c r="BA9" s="242"/>
      <c r="BB9" s="242"/>
      <c r="BC9" s="242"/>
      <c r="BD9" s="242"/>
      <c r="BE9" s="242"/>
      <c r="BF9" s="242"/>
      <c r="BG9" s="242"/>
      <c r="BH9" s="242"/>
      <c r="BI9" s="242"/>
      <c r="BJ9" s="242"/>
      <c r="BK9" s="242"/>
      <c r="BL9" s="242"/>
      <c r="BM9" s="242"/>
      <c r="BN9" s="242"/>
      <c r="BO9" s="242"/>
      <c r="BP9" s="242"/>
      <c r="BQ9" s="242"/>
      <c r="BR9" s="242"/>
      <c r="BS9" s="242"/>
      <c r="BT9" s="242"/>
      <c r="BU9" s="242"/>
      <c r="BV9" s="242"/>
      <c r="BW9" s="242"/>
      <c r="BX9" s="242"/>
      <c r="BY9" s="242"/>
      <c r="BZ9" s="242"/>
      <c r="CA9" s="242"/>
      <c r="CB9" s="242"/>
      <c r="CC9" s="243"/>
      <c r="CD9" s="243"/>
      <c r="CE9" s="242"/>
      <c r="CF9" s="242"/>
      <c r="CG9" s="242"/>
      <c r="CH9" s="242"/>
      <c r="CI9" s="242"/>
      <c r="CJ9" s="242"/>
      <c r="CK9" s="242"/>
      <c r="CL9" s="242"/>
      <c r="CM9" s="242"/>
      <c r="CN9" s="242"/>
      <c r="CO9" s="242"/>
      <c r="CP9" s="242"/>
      <c r="CQ9" s="242"/>
      <c r="CR9" s="243"/>
      <c r="CS9" s="242"/>
      <c r="CT9" s="242"/>
      <c r="CU9" s="242"/>
      <c r="CV9" s="242"/>
      <c r="CW9" s="242"/>
      <c r="CX9" s="243"/>
      <c r="CY9" s="242"/>
      <c r="CZ9" s="242"/>
      <c r="DA9" s="242"/>
      <c r="DB9" s="242"/>
      <c r="DC9" s="242"/>
      <c r="DD9" s="242"/>
      <c r="DE9" s="242"/>
      <c r="DF9" s="242"/>
      <c r="DG9" s="242"/>
      <c r="DH9" s="242"/>
      <c r="DI9" s="242"/>
      <c r="DJ9" s="242"/>
      <c r="DK9" s="242"/>
      <c r="DL9" s="242"/>
      <c r="DM9" s="242"/>
      <c r="DN9" s="242"/>
      <c r="DO9" s="242"/>
      <c r="DP9" s="242"/>
      <c r="DQ9" s="242"/>
      <c r="DR9" s="242"/>
      <c r="DS9" s="242"/>
      <c r="DT9" s="242"/>
      <c r="DU9" s="242"/>
      <c r="DV9" s="242"/>
      <c r="DW9" s="242"/>
      <c r="DX9" s="242"/>
      <c r="DY9" s="242"/>
      <c r="DZ9" s="242"/>
      <c r="EA9" s="242"/>
      <c r="EB9" s="242"/>
      <c r="EC9" s="242"/>
      <c r="ED9" s="242"/>
      <c r="EE9" s="242"/>
      <c r="EF9" s="242"/>
      <c r="EG9" s="242"/>
      <c r="EH9" s="242"/>
      <c r="EI9" s="242"/>
      <c r="EJ9" s="242"/>
      <c r="EK9" s="242"/>
      <c r="EL9" s="242"/>
      <c r="EM9" s="242"/>
      <c r="EN9" s="242"/>
      <c r="EO9" s="242"/>
      <c r="EP9" s="242"/>
      <c r="EQ9" s="242"/>
      <c r="ER9" s="242"/>
      <c r="ES9" s="242"/>
      <c r="ET9" s="242"/>
      <c r="EU9" s="242"/>
      <c r="EV9" s="242"/>
      <c r="EW9" s="242"/>
      <c r="EX9" s="242"/>
      <c r="EY9" s="242"/>
      <c r="EZ9" s="242"/>
      <c r="FA9" s="242"/>
      <c r="FB9" s="242"/>
      <c r="FC9" s="242"/>
      <c r="FD9" s="242"/>
      <c r="FE9" s="242"/>
      <c r="FF9" s="242"/>
      <c r="FG9" s="242"/>
      <c r="FH9" s="242"/>
      <c r="FI9" s="242"/>
      <c r="FJ9" s="242"/>
      <c r="FK9" s="242"/>
      <c r="FL9" s="242"/>
      <c r="FM9" s="242"/>
      <c r="FN9" s="242"/>
      <c r="FO9" s="242"/>
      <c r="FP9" s="242"/>
      <c r="FQ9" s="243"/>
      <c r="FR9" s="243"/>
      <c r="FS9" s="242"/>
      <c r="FT9" s="242"/>
      <c r="FU9" s="242"/>
      <c r="FV9" s="242"/>
      <c r="FW9" s="242"/>
      <c r="FX9" s="242"/>
      <c r="FY9" s="242"/>
      <c r="FZ9" s="242"/>
      <c r="GA9" s="242"/>
      <c r="GB9" s="242"/>
      <c r="GC9" s="242"/>
      <c r="GD9" s="242"/>
      <c r="GE9" s="242"/>
      <c r="GF9" s="242"/>
      <c r="GG9" s="242"/>
      <c r="GH9" s="242"/>
      <c r="GI9" s="242"/>
      <c r="GJ9" s="242"/>
      <c r="GK9" s="242"/>
      <c r="GL9" s="242"/>
      <c r="GM9" s="242"/>
      <c r="GN9" s="242"/>
      <c r="GO9" s="242"/>
      <c r="GP9" s="242"/>
      <c r="GQ9" s="242"/>
      <c r="GR9" s="242"/>
      <c r="GS9" s="242"/>
      <c r="GT9" s="242"/>
      <c r="GU9" s="242"/>
      <c r="GV9" s="242"/>
      <c r="GW9" s="243"/>
      <c r="GX9" s="242"/>
      <c r="GY9" s="242"/>
      <c r="GZ9" s="242"/>
      <c r="HA9" s="242"/>
      <c r="HB9" s="242"/>
      <c r="HC9" s="242"/>
      <c r="HD9" s="242"/>
      <c r="HE9" s="242"/>
      <c r="HF9" s="242"/>
      <c r="HG9" s="242"/>
      <c r="HH9" s="242"/>
      <c r="HI9" s="242"/>
      <c r="HJ9" s="242"/>
      <c r="HK9" s="242"/>
      <c r="HL9" s="242"/>
      <c r="HM9" s="242"/>
      <c r="HN9" s="242"/>
      <c r="HO9" s="242"/>
      <c r="HP9" s="242"/>
      <c r="HQ9" s="242"/>
      <c r="HR9" s="242"/>
      <c r="HS9" s="242"/>
      <c r="HT9" s="242"/>
      <c r="HU9" s="242"/>
      <c r="HV9" s="242"/>
      <c r="HW9" s="242"/>
      <c r="HX9" s="242"/>
      <c r="HY9" s="242"/>
      <c r="HZ9" s="242"/>
      <c r="IA9" s="242"/>
      <c r="IB9" s="242"/>
      <c r="IC9" s="242"/>
      <c r="ID9" s="242"/>
      <c r="IE9" s="242"/>
      <c r="IF9" s="242"/>
      <c r="IG9" s="242"/>
      <c r="IH9" s="242"/>
      <c r="II9" s="242"/>
      <c r="IJ9" s="242"/>
      <c r="IK9" s="242"/>
      <c r="IL9" s="242"/>
      <c r="IM9" s="242"/>
      <c r="IN9" s="242"/>
      <c r="IO9" s="242"/>
      <c r="IP9" s="242"/>
      <c r="IQ9" s="242"/>
      <c r="IR9" s="242"/>
      <c r="IS9" s="242"/>
      <c r="IT9" s="242"/>
      <c r="IU9" s="242"/>
      <c r="IV9" s="243"/>
      <c r="IW9" s="242"/>
      <c r="IX9" s="242"/>
      <c r="IY9" s="242"/>
      <c r="IZ9" s="242"/>
      <c r="JA9" s="242"/>
      <c r="JB9" s="242"/>
      <c r="JC9" s="242"/>
      <c r="JD9" s="242"/>
      <c r="JE9" s="242"/>
      <c r="JF9" s="242"/>
      <c r="JG9" s="242"/>
      <c r="JH9" s="242"/>
      <c r="JI9" s="242"/>
      <c r="JJ9" s="242"/>
      <c r="JK9" s="242"/>
      <c r="JL9" s="242"/>
      <c r="JM9" s="242"/>
      <c r="JN9" s="242"/>
      <c r="JO9" s="242"/>
      <c r="JP9" s="243"/>
      <c r="JQ9" s="242"/>
      <c r="JR9" s="242"/>
      <c r="JS9" s="242"/>
      <c r="JT9" s="243"/>
      <c r="JU9" s="243"/>
      <c r="JV9" s="242"/>
      <c r="JW9" s="242"/>
      <c r="JX9" s="242"/>
      <c r="JY9" s="242"/>
      <c r="JZ9" s="242"/>
      <c r="KA9" s="242"/>
      <c r="KB9" s="243"/>
      <c r="KC9" s="242"/>
      <c r="KD9" s="242"/>
      <c r="KE9" s="242"/>
      <c r="KF9" s="242"/>
      <c r="KG9" s="242"/>
      <c r="KH9" s="242"/>
      <c r="KI9" s="242"/>
      <c r="KJ9" s="242"/>
      <c r="KK9" s="242"/>
      <c r="KL9" s="242"/>
      <c r="KM9" s="242"/>
      <c r="KN9" s="242"/>
      <c r="KO9" s="242"/>
      <c r="KP9" s="242"/>
      <c r="KQ9" s="242"/>
      <c r="KR9" s="242"/>
      <c r="KS9" s="242"/>
      <c r="KT9" s="242"/>
      <c r="KU9" s="242"/>
      <c r="KV9" s="243"/>
      <c r="KW9" s="242"/>
      <c r="KX9" s="242"/>
      <c r="KY9" s="242"/>
      <c r="KZ9" s="242"/>
      <c r="LA9" s="242"/>
      <c r="LB9" s="242"/>
      <c r="LC9" s="242"/>
      <c r="LD9" s="242"/>
      <c r="LE9" s="242"/>
      <c r="LF9" s="242"/>
      <c r="LG9" s="242"/>
      <c r="LH9" s="242"/>
      <c r="LI9" s="242"/>
      <c r="LJ9" s="242"/>
      <c r="LK9" s="242"/>
      <c r="LL9" s="242"/>
      <c r="LM9" s="242"/>
      <c r="LN9" s="242"/>
      <c r="LO9" s="242"/>
      <c r="LP9" s="242"/>
      <c r="LQ9" s="242"/>
      <c r="LR9" s="242"/>
      <c r="LS9" s="242"/>
      <c r="LT9" s="242"/>
      <c r="LU9" s="242"/>
      <c r="LV9" s="242"/>
      <c r="LW9" s="242"/>
      <c r="LX9" s="242"/>
      <c r="LY9" s="242"/>
      <c r="LZ9" s="242"/>
      <c r="MA9" s="242"/>
      <c r="MB9" s="242"/>
      <c r="MC9" s="242"/>
      <c r="MD9" s="243"/>
      <c r="ME9" s="242"/>
      <c r="MF9" s="242"/>
      <c r="MG9" s="242"/>
      <c r="MH9" s="242"/>
      <c r="MI9" s="242"/>
      <c r="MJ9" s="242"/>
      <c r="MK9" s="242"/>
      <c r="ML9" s="242"/>
      <c r="MM9" s="242"/>
      <c r="MN9" s="242"/>
      <c r="MO9" s="242"/>
      <c r="MP9" s="242"/>
      <c r="MQ9" s="242"/>
      <c r="MR9" s="242"/>
      <c r="MS9" s="242"/>
      <c r="MT9" s="242"/>
      <c r="MU9" s="242"/>
      <c r="MV9" s="242"/>
      <c r="MW9" s="242"/>
      <c r="MX9" s="243"/>
      <c r="MY9" s="242"/>
      <c r="MZ9" s="242"/>
      <c r="NA9" s="242"/>
      <c r="NB9" s="242"/>
      <c r="NC9" s="242"/>
      <c r="ND9" s="242"/>
      <c r="NE9" s="242"/>
      <c r="NF9" s="242"/>
      <c r="NG9" s="242"/>
      <c r="NH9" s="242"/>
      <c r="NI9" s="242"/>
      <c r="NJ9" s="242"/>
      <c r="NK9" s="242"/>
      <c r="NL9" s="242"/>
      <c r="NM9" s="242"/>
      <c r="NN9" s="242"/>
      <c r="NO9" s="242"/>
      <c r="NP9" s="242"/>
      <c r="NQ9" s="242"/>
      <c r="NR9" s="242"/>
      <c r="NS9" s="242"/>
      <c r="NT9" s="242"/>
      <c r="NU9" s="242"/>
      <c r="NV9" s="242"/>
      <c r="NW9" s="242"/>
      <c r="NX9" s="242"/>
      <c r="NY9" s="242"/>
      <c r="NZ9" s="242"/>
      <c r="OA9" s="242"/>
      <c r="OB9" s="242"/>
      <c r="OC9" s="242"/>
      <c r="OD9" s="243"/>
      <c r="OE9" s="243"/>
      <c r="OF9" s="242"/>
      <c r="OG9" s="242"/>
      <c r="OH9" s="242"/>
      <c r="OI9" s="242"/>
      <c r="OJ9" s="242"/>
      <c r="OK9" s="242"/>
      <c r="OL9" s="242"/>
      <c r="OM9" s="242"/>
      <c r="ON9" s="242"/>
      <c r="OO9" s="242"/>
      <c r="OP9" s="242"/>
      <c r="OQ9" s="242"/>
      <c r="OR9" s="242"/>
      <c r="OS9" s="243"/>
      <c r="OT9" s="242"/>
      <c r="OU9" s="242"/>
      <c r="OV9" s="242"/>
      <c r="OW9" s="242"/>
      <c r="OX9" s="242"/>
      <c r="OY9" s="243"/>
      <c r="OZ9" s="242"/>
      <c r="PA9" s="242"/>
      <c r="PB9" s="242"/>
      <c r="PC9" s="242"/>
      <c r="PD9" s="242"/>
      <c r="PE9" s="242"/>
      <c r="PF9" s="242"/>
      <c r="PG9" s="242"/>
      <c r="PH9" s="242"/>
      <c r="PI9" s="242"/>
      <c r="PJ9" s="242"/>
      <c r="PK9" s="242"/>
      <c r="PL9" s="242"/>
      <c r="PM9" s="242"/>
      <c r="PN9" s="242"/>
      <c r="PO9" s="242"/>
      <c r="PP9" s="242"/>
      <c r="PQ9" s="242"/>
      <c r="PR9" s="242"/>
      <c r="PS9" s="242"/>
      <c r="PT9" s="242"/>
      <c r="PU9" s="242"/>
      <c r="PV9" s="242"/>
      <c r="PW9" s="242"/>
      <c r="PX9" s="242"/>
      <c r="PY9" s="242"/>
      <c r="PZ9" s="242"/>
      <c r="QA9" s="242"/>
      <c r="QB9" s="242"/>
      <c r="QC9" s="242"/>
      <c r="QD9" s="242"/>
      <c r="QE9" s="242"/>
      <c r="QF9" s="242"/>
      <c r="QG9" s="242"/>
      <c r="QH9" s="242"/>
      <c r="QI9" s="244"/>
    </row>
    <row r="10" spans="1:451" ht="18" customHeight="1" x14ac:dyDescent="0.2">
      <c r="A10" s="239" t="s">
        <v>270</v>
      </c>
      <c r="B10" s="245"/>
      <c r="C10" s="242"/>
      <c r="D10" s="242"/>
      <c r="E10" s="242"/>
      <c r="F10" s="242"/>
      <c r="G10" s="242"/>
      <c r="H10" s="242"/>
      <c r="I10" s="242"/>
      <c r="J10" s="242"/>
      <c r="K10" s="241"/>
      <c r="L10" s="241"/>
      <c r="M10" s="241"/>
      <c r="N10" s="242"/>
      <c r="O10" s="242"/>
      <c r="P10" s="242"/>
      <c r="Q10" s="242"/>
      <c r="R10" s="242"/>
      <c r="S10" s="242"/>
      <c r="T10" s="242"/>
      <c r="U10" s="242"/>
      <c r="V10" s="242"/>
      <c r="W10" s="242"/>
      <c r="X10" s="242"/>
      <c r="Y10" s="242"/>
      <c r="Z10" s="242"/>
      <c r="AA10" s="242"/>
      <c r="AB10" s="242"/>
      <c r="AC10" s="243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3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2"/>
      <c r="BM10" s="242"/>
      <c r="BN10" s="242"/>
      <c r="BO10" s="242"/>
      <c r="BP10" s="242"/>
      <c r="BQ10" s="242"/>
      <c r="BR10" s="242"/>
      <c r="BS10" s="242"/>
      <c r="BT10" s="242"/>
      <c r="BU10" s="242"/>
      <c r="BV10" s="242"/>
      <c r="BW10" s="242"/>
      <c r="BX10" s="242"/>
      <c r="BY10" s="242"/>
      <c r="BZ10" s="242"/>
      <c r="CA10" s="242"/>
      <c r="CB10" s="242"/>
      <c r="CC10" s="243"/>
      <c r="CD10" s="243"/>
      <c r="CE10" s="242"/>
      <c r="CF10" s="242"/>
      <c r="CG10" s="242"/>
      <c r="CH10" s="242"/>
      <c r="CI10" s="242"/>
      <c r="CJ10" s="242"/>
      <c r="CK10" s="242"/>
      <c r="CL10" s="242"/>
      <c r="CM10" s="242"/>
      <c r="CN10" s="242"/>
      <c r="CO10" s="242"/>
      <c r="CP10" s="242"/>
      <c r="CQ10" s="242"/>
      <c r="CR10" s="243"/>
      <c r="CS10" s="242"/>
      <c r="CT10" s="242"/>
      <c r="CU10" s="242"/>
      <c r="CV10" s="242"/>
      <c r="CW10" s="242"/>
      <c r="CX10" s="243"/>
      <c r="CY10" s="242"/>
      <c r="CZ10" s="242"/>
      <c r="DA10" s="242"/>
      <c r="DB10" s="242"/>
      <c r="DC10" s="242"/>
      <c r="DD10" s="242"/>
      <c r="DE10" s="242"/>
      <c r="DF10" s="242"/>
      <c r="DG10" s="242"/>
      <c r="DH10" s="242"/>
      <c r="DI10" s="242"/>
      <c r="DJ10" s="242"/>
      <c r="DK10" s="242"/>
      <c r="DL10" s="242"/>
      <c r="DM10" s="242"/>
      <c r="DN10" s="242"/>
      <c r="DO10" s="242"/>
      <c r="DP10" s="242"/>
      <c r="DQ10" s="242"/>
      <c r="DR10" s="242"/>
      <c r="DS10" s="242"/>
      <c r="DT10" s="242"/>
      <c r="DU10" s="242"/>
      <c r="DV10" s="242"/>
      <c r="DW10" s="242"/>
      <c r="DX10" s="242"/>
      <c r="DY10" s="242"/>
      <c r="DZ10" s="242"/>
      <c r="EA10" s="242"/>
      <c r="EB10" s="242"/>
      <c r="EC10" s="242"/>
      <c r="ED10" s="242"/>
      <c r="EE10" s="242"/>
      <c r="EF10" s="242"/>
      <c r="EG10" s="242"/>
      <c r="EH10" s="242"/>
      <c r="EI10" s="242"/>
      <c r="EJ10" s="242"/>
      <c r="EK10" s="242"/>
      <c r="EL10" s="242"/>
      <c r="EM10" s="242"/>
      <c r="EN10" s="242"/>
      <c r="EO10" s="242"/>
      <c r="EP10" s="242"/>
      <c r="EQ10" s="242"/>
      <c r="ER10" s="242"/>
      <c r="ES10" s="242"/>
      <c r="ET10" s="242"/>
      <c r="EU10" s="242"/>
      <c r="EV10" s="242"/>
      <c r="EW10" s="242"/>
      <c r="EX10" s="242"/>
      <c r="EY10" s="242"/>
      <c r="EZ10" s="242"/>
      <c r="FA10" s="242"/>
      <c r="FB10" s="242"/>
      <c r="FC10" s="242"/>
      <c r="FD10" s="242"/>
      <c r="FE10" s="242"/>
      <c r="FF10" s="242"/>
      <c r="FG10" s="242"/>
      <c r="FH10" s="242"/>
      <c r="FI10" s="242"/>
      <c r="FJ10" s="242"/>
      <c r="FK10" s="242"/>
      <c r="FL10" s="242"/>
      <c r="FM10" s="242"/>
      <c r="FN10" s="242"/>
      <c r="FO10" s="242"/>
      <c r="FP10" s="242"/>
      <c r="FQ10" s="243"/>
      <c r="FR10" s="243"/>
      <c r="FS10" s="242"/>
      <c r="FT10" s="242"/>
      <c r="FU10" s="242"/>
      <c r="FV10" s="242"/>
      <c r="FW10" s="242"/>
      <c r="FX10" s="242"/>
      <c r="FY10" s="242"/>
      <c r="FZ10" s="242"/>
      <c r="GA10" s="242"/>
      <c r="GB10" s="242"/>
      <c r="GC10" s="242"/>
      <c r="GD10" s="242"/>
      <c r="GE10" s="242"/>
      <c r="GF10" s="242"/>
      <c r="GG10" s="242"/>
      <c r="GH10" s="242"/>
      <c r="GI10" s="242"/>
      <c r="GJ10" s="242"/>
      <c r="GK10" s="242"/>
      <c r="GL10" s="242"/>
      <c r="GM10" s="242"/>
      <c r="GN10" s="242"/>
      <c r="GO10" s="242"/>
      <c r="GP10" s="242"/>
      <c r="GQ10" s="242"/>
      <c r="GR10" s="242"/>
      <c r="GS10" s="242"/>
      <c r="GT10" s="242"/>
      <c r="GU10" s="242"/>
      <c r="GV10" s="242"/>
      <c r="GW10" s="243"/>
      <c r="GX10" s="242"/>
      <c r="GY10" s="242"/>
      <c r="GZ10" s="242"/>
      <c r="HA10" s="242"/>
      <c r="HB10" s="242"/>
      <c r="HC10" s="242"/>
      <c r="HD10" s="242"/>
      <c r="HE10" s="242"/>
      <c r="HF10" s="242"/>
      <c r="HG10" s="242"/>
      <c r="HH10" s="242"/>
      <c r="HI10" s="242"/>
      <c r="HJ10" s="242"/>
      <c r="HK10" s="242"/>
      <c r="HL10" s="242"/>
      <c r="HM10" s="242"/>
      <c r="HN10" s="242"/>
      <c r="HO10" s="242"/>
      <c r="HP10" s="242"/>
      <c r="HQ10" s="242"/>
      <c r="HR10" s="242"/>
      <c r="HS10" s="242"/>
      <c r="HT10" s="242"/>
      <c r="HU10" s="242"/>
      <c r="HV10" s="242"/>
      <c r="HW10" s="242"/>
      <c r="HX10" s="242"/>
      <c r="HY10" s="242"/>
      <c r="HZ10" s="242"/>
      <c r="IA10" s="242"/>
      <c r="IB10" s="242"/>
      <c r="IC10" s="242"/>
      <c r="ID10" s="242"/>
      <c r="IE10" s="242"/>
      <c r="IF10" s="242"/>
      <c r="IG10" s="242"/>
      <c r="IH10" s="242"/>
      <c r="II10" s="242"/>
      <c r="IJ10" s="242"/>
      <c r="IK10" s="242"/>
      <c r="IL10" s="242"/>
      <c r="IM10" s="242"/>
      <c r="IN10" s="242"/>
      <c r="IO10" s="242"/>
      <c r="IP10" s="242"/>
      <c r="IQ10" s="242"/>
      <c r="IR10" s="242"/>
      <c r="IS10" s="242"/>
      <c r="IT10" s="242"/>
      <c r="IU10" s="242"/>
      <c r="IV10" s="243"/>
      <c r="IW10" s="242"/>
      <c r="IX10" s="242"/>
      <c r="IY10" s="242"/>
      <c r="IZ10" s="242"/>
      <c r="JA10" s="242"/>
      <c r="JB10" s="242"/>
      <c r="JC10" s="242"/>
      <c r="JD10" s="242"/>
      <c r="JE10" s="242"/>
      <c r="JF10" s="242"/>
      <c r="JG10" s="242"/>
      <c r="JH10" s="242"/>
      <c r="JI10" s="242"/>
      <c r="JJ10" s="242"/>
      <c r="JK10" s="242"/>
      <c r="JL10" s="242"/>
      <c r="JM10" s="242"/>
      <c r="JN10" s="242"/>
      <c r="JO10" s="242"/>
      <c r="JP10" s="243"/>
      <c r="JQ10" s="242"/>
      <c r="JR10" s="242"/>
      <c r="JS10" s="242"/>
      <c r="JT10" s="243"/>
      <c r="JU10" s="243"/>
      <c r="JV10" s="242"/>
      <c r="JW10" s="242"/>
      <c r="JX10" s="242"/>
      <c r="JY10" s="242"/>
      <c r="JZ10" s="242"/>
      <c r="KA10" s="242"/>
      <c r="KB10" s="243"/>
      <c r="KC10" s="242"/>
      <c r="KD10" s="242"/>
      <c r="KE10" s="242"/>
      <c r="KF10" s="242"/>
      <c r="KG10" s="242"/>
      <c r="KH10" s="242"/>
      <c r="KI10" s="242"/>
      <c r="KJ10" s="242"/>
      <c r="KK10" s="242"/>
      <c r="KL10" s="242"/>
      <c r="KM10" s="242"/>
      <c r="KN10" s="242"/>
      <c r="KO10" s="242"/>
      <c r="KP10" s="242"/>
      <c r="KQ10" s="242"/>
      <c r="KR10" s="242"/>
      <c r="KS10" s="242"/>
      <c r="KT10" s="242"/>
      <c r="KU10" s="242"/>
      <c r="KV10" s="243"/>
      <c r="KW10" s="242"/>
      <c r="KX10" s="242"/>
      <c r="KY10" s="242"/>
      <c r="KZ10" s="242"/>
      <c r="LA10" s="242"/>
      <c r="LB10" s="242"/>
      <c r="LC10" s="242"/>
      <c r="LD10" s="242"/>
      <c r="LE10" s="242"/>
      <c r="LF10" s="242"/>
      <c r="LG10" s="242"/>
      <c r="LH10" s="242"/>
      <c r="LI10" s="242"/>
      <c r="LJ10" s="242"/>
      <c r="LK10" s="242"/>
      <c r="LL10" s="242"/>
      <c r="LM10" s="242"/>
      <c r="LN10" s="242"/>
      <c r="LO10" s="242"/>
      <c r="LP10" s="242"/>
      <c r="LQ10" s="242"/>
      <c r="LR10" s="242"/>
      <c r="LS10" s="242"/>
      <c r="LT10" s="242"/>
      <c r="LU10" s="242"/>
      <c r="LV10" s="242"/>
      <c r="LW10" s="242"/>
      <c r="LX10" s="242"/>
      <c r="LY10" s="242"/>
      <c r="LZ10" s="242"/>
      <c r="MA10" s="242"/>
      <c r="MB10" s="242"/>
      <c r="MC10" s="242"/>
      <c r="MD10" s="243"/>
      <c r="ME10" s="242"/>
      <c r="MF10" s="242"/>
      <c r="MG10" s="242"/>
      <c r="MH10" s="242"/>
      <c r="MI10" s="242"/>
      <c r="MJ10" s="242"/>
      <c r="MK10" s="242"/>
      <c r="ML10" s="242"/>
      <c r="MM10" s="242"/>
      <c r="MN10" s="242"/>
      <c r="MO10" s="242"/>
      <c r="MP10" s="242"/>
      <c r="MQ10" s="242"/>
      <c r="MR10" s="242"/>
      <c r="MS10" s="242"/>
      <c r="MT10" s="242"/>
      <c r="MU10" s="242"/>
      <c r="MV10" s="242"/>
      <c r="MW10" s="242"/>
      <c r="MX10" s="243"/>
      <c r="MY10" s="242"/>
      <c r="MZ10" s="242"/>
      <c r="NA10" s="242"/>
      <c r="NB10" s="242"/>
      <c r="NC10" s="242"/>
      <c r="ND10" s="242"/>
      <c r="NE10" s="242"/>
      <c r="NF10" s="242"/>
      <c r="NG10" s="242"/>
      <c r="NH10" s="242"/>
      <c r="NI10" s="242"/>
      <c r="NJ10" s="242"/>
      <c r="NK10" s="242"/>
      <c r="NL10" s="242"/>
      <c r="NM10" s="242"/>
      <c r="NN10" s="242"/>
      <c r="NO10" s="242"/>
      <c r="NP10" s="242"/>
      <c r="NQ10" s="242"/>
      <c r="NR10" s="242"/>
      <c r="NS10" s="242"/>
      <c r="NT10" s="242"/>
      <c r="NU10" s="242"/>
      <c r="NV10" s="242"/>
      <c r="NW10" s="242"/>
      <c r="NX10" s="242"/>
      <c r="NY10" s="242"/>
      <c r="NZ10" s="242"/>
      <c r="OA10" s="242"/>
      <c r="OB10" s="242"/>
      <c r="OC10" s="242"/>
      <c r="OD10" s="243"/>
      <c r="OE10" s="243"/>
      <c r="OF10" s="242"/>
      <c r="OG10" s="242"/>
      <c r="OH10" s="242"/>
      <c r="OI10" s="242"/>
      <c r="OJ10" s="242"/>
      <c r="OK10" s="242"/>
      <c r="OL10" s="242"/>
      <c r="OM10" s="242"/>
      <c r="ON10" s="242"/>
      <c r="OO10" s="242"/>
      <c r="OP10" s="242"/>
      <c r="OQ10" s="242"/>
      <c r="OR10" s="242"/>
      <c r="OS10" s="243"/>
      <c r="OT10" s="242"/>
      <c r="OU10" s="242"/>
      <c r="OV10" s="242"/>
      <c r="OW10" s="242"/>
      <c r="OX10" s="242"/>
      <c r="OY10" s="243"/>
      <c r="OZ10" s="242"/>
      <c r="PA10" s="242"/>
      <c r="PB10" s="242"/>
      <c r="PC10" s="242"/>
      <c r="PD10" s="242"/>
      <c r="PE10" s="242"/>
      <c r="PF10" s="242"/>
      <c r="PG10" s="242"/>
      <c r="PH10" s="242"/>
      <c r="PI10" s="242"/>
      <c r="PJ10" s="242"/>
      <c r="PK10" s="242"/>
      <c r="PL10" s="242"/>
      <c r="PM10" s="242"/>
      <c r="PN10" s="242"/>
      <c r="PO10" s="242"/>
      <c r="PP10" s="242"/>
      <c r="PQ10" s="242"/>
      <c r="PR10" s="242"/>
      <c r="PS10" s="242"/>
      <c r="PT10" s="242"/>
      <c r="PU10" s="242"/>
      <c r="PV10" s="242"/>
      <c r="PW10" s="242"/>
      <c r="PX10" s="242"/>
      <c r="PY10" s="242"/>
      <c r="PZ10" s="242"/>
      <c r="QA10" s="242"/>
      <c r="QB10" s="242"/>
      <c r="QC10" s="242"/>
      <c r="QD10" s="242"/>
      <c r="QE10" s="242"/>
      <c r="QF10" s="242"/>
      <c r="QG10" s="242"/>
      <c r="QH10" s="242"/>
      <c r="QI10" s="244"/>
    </row>
    <row r="11" spans="1:451" ht="18" customHeight="1" x14ac:dyDescent="0.2">
      <c r="A11" s="239" t="s">
        <v>271</v>
      </c>
      <c r="B11" s="245"/>
      <c r="C11" s="242"/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  <c r="Y11" s="242"/>
      <c r="Z11" s="242"/>
      <c r="AA11" s="242"/>
      <c r="AB11" s="242"/>
      <c r="AC11" s="243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3"/>
      <c r="AS11" s="242"/>
      <c r="AT11" s="242"/>
      <c r="AU11" s="242"/>
      <c r="AV11" s="242"/>
      <c r="AW11" s="242"/>
      <c r="AX11" s="242"/>
      <c r="AY11" s="242"/>
      <c r="AZ11" s="242"/>
      <c r="BA11" s="242"/>
      <c r="BB11" s="242"/>
      <c r="BC11" s="242"/>
      <c r="BD11" s="242"/>
      <c r="BE11" s="242"/>
      <c r="BF11" s="242"/>
      <c r="BG11" s="242"/>
      <c r="BH11" s="242"/>
      <c r="BI11" s="242"/>
      <c r="BJ11" s="242"/>
      <c r="BK11" s="242"/>
      <c r="BL11" s="242"/>
      <c r="BM11" s="242"/>
      <c r="BN11" s="242"/>
      <c r="BO11" s="242"/>
      <c r="BP11" s="242"/>
      <c r="BQ11" s="242"/>
      <c r="BR11" s="242"/>
      <c r="BS11" s="242"/>
      <c r="BT11" s="242"/>
      <c r="BU11" s="242"/>
      <c r="BV11" s="242"/>
      <c r="BW11" s="242"/>
      <c r="BX11" s="242"/>
      <c r="BY11" s="242"/>
      <c r="BZ11" s="242"/>
      <c r="CA11" s="242"/>
      <c r="CB11" s="242"/>
      <c r="CC11" s="243"/>
      <c r="CD11" s="243"/>
      <c r="CE11" s="242"/>
      <c r="CF11" s="242"/>
      <c r="CG11" s="242"/>
      <c r="CH11" s="242"/>
      <c r="CI11" s="242"/>
      <c r="CJ11" s="242"/>
      <c r="CK11" s="242"/>
      <c r="CL11" s="242"/>
      <c r="CM11" s="242"/>
      <c r="CN11" s="242"/>
      <c r="CO11" s="242"/>
      <c r="CP11" s="242"/>
      <c r="CQ11" s="242"/>
      <c r="CR11" s="243"/>
      <c r="CS11" s="242"/>
      <c r="CT11" s="242"/>
      <c r="CU11" s="242"/>
      <c r="CV11" s="242"/>
      <c r="CW11" s="242"/>
      <c r="CX11" s="243"/>
      <c r="CY11" s="242"/>
      <c r="CZ11" s="242"/>
      <c r="DA11" s="242"/>
      <c r="DB11" s="242"/>
      <c r="DC11" s="242"/>
      <c r="DD11" s="242"/>
      <c r="DE11" s="242"/>
      <c r="DF11" s="242"/>
      <c r="DG11" s="242"/>
      <c r="DH11" s="242"/>
      <c r="DI11" s="242"/>
      <c r="DJ11" s="242"/>
      <c r="DK11" s="242"/>
      <c r="DL11" s="242"/>
      <c r="DM11" s="242"/>
      <c r="DN11" s="242"/>
      <c r="DO11" s="242"/>
      <c r="DP11" s="242"/>
      <c r="DQ11" s="242"/>
      <c r="DR11" s="242"/>
      <c r="DS11" s="242"/>
      <c r="DT11" s="242"/>
      <c r="DU11" s="242"/>
      <c r="DV11" s="242"/>
      <c r="DW11" s="242"/>
      <c r="DX11" s="242"/>
      <c r="DY11" s="242"/>
      <c r="DZ11" s="242"/>
      <c r="EA11" s="242"/>
      <c r="EB11" s="242"/>
      <c r="EC11" s="242"/>
      <c r="ED11" s="242"/>
      <c r="EE11" s="242"/>
      <c r="EF11" s="242"/>
      <c r="EG11" s="242"/>
      <c r="EH11" s="242"/>
      <c r="EI11" s="242"/>
      <c r="EJ11" s="242"/>
      <c r="EK11" s="242"/>
      <c r="EL11" s="242"/>
      <c r="EM11" s="242"/>
      <c r="EN11" s="242"/>
      <c r="EO11" s="242"/>
      <c r="EP11" s="242"/>
      <c r="EQ11" s="242"/>
      <c r="ER11" s="242"/>
      <c r="ES11" s="242"/>
      <c r="ET11" s="242"/>
      <c r="EU11" s="242"/>
      <c r="EV11" s="242"/>
      <c r="EW11" s="242"/>
      <c r="EX11" s="242"/>
      <c r="EY11" s="242"/>
      <c r="EZ11" s="242"/>
      <c r="FA11" s="242"/>
      <c r="FB11" s="242"/>
      <c r="FC11" s="242"/>
      <c r="FD11" s="242"/>
      <c r="FE11" s="242"/>
      <c r="FF11" s="242"/>
      <c r="FG11" s="242"/>
      <c r="FH11" s="242"/>
      <c r="FI11" s="242"/>
      <c r="FJ11" s="242"/>
      <c r="FK11" s="242"/>
      <c r="FL11" s="242"/>
      <c r="FM11" s="242"/>
      <c r="FN11" s="242"/>
      <c r="FO11" s="242"/>
      <c r="FP11" s="242"/>
      <c r="FQ11" s="243"/>
      <c r="FR11" s="243"/>
      <c r="FS11" s="242"/>
      <c r="FT11" s="242"/>
      <c r="FU11" s="242"/>
      <c r="FV11" s="242"/>
      <c r="FW11" s="242"/>
      <c r="FX11" s="242"/>
      <c r="FY11" s="242"/>
      <c r="FZ11" s="242"/>
      <c r="GA11" s="242"/>
      <c r="GB11" s="242"/>
      <c r="GC11" s="242"/>
      <c r="GD11" s="242"/>
      <c r="GE11" s="242"/>
      <c r="GF11" s="242"/>
      <c r="GG11" s="242"/>
      <c r="GH11" s="242"/>
      <c r="GI11" s="242"/>
      <c r="GJ11" s="242"/>
      <c r="GK11" s="242"/>
      <c r="GL11" s="242"/>
      <c r="GM11" s="242"/>
      <c r="GN11" s="242"/>
      <c r="GO11" s="242"/>
      <c r="GP11" s="242"/>
      <c r="GQ11" s="242"/>
      <c r="GR11" s="242"/>
      <c r="GS11" s="242"/>
      <c r="GT11" s="242"/>
      <c r="GU11" s="242"/>
      <c r="GV11" s="242"/>
      <c r="GW11" s="243"/>
      <c r="GX11" s="242"/>
      <c r="GY11" s="242"/>
      <c r="GZ11" s="242"/>
      <c r="HA11" s="242"/>
      <c r="HB11" s="242"/>
      <c r="HC11" s="242"/>
      <c r="HD11" s="242"/>
      <c r="HE11" s="242"/>
      <c r="HF11" s="242"/>
      <c r="HG11" s="242"/>
      <c r="HH11" s="242"/>
      <c r="HI11" s="242"/>
      <c r="HJ11" s="242"/>
      <c r="HK11" s="242"/>
      <c r="HL11" s="242"/>
      <c r="HM11" s="242"/>
      <c r="HN11" s="242"/>
      <c r="HO11" s="242"/>
      <c r="HP11" s="242"/>
      <c r="HQ11" s="242"/>
      <c r="HR11" s="242"/>
      <c r="HS11" s="242"/>
      <c r="HT11" s="242"/>
      <c r="HU11" s="242"/>
      <c r="HV11" s="242"/>
      <c r="HW11" s="242"/>
      <c r="HX11" s="242"/>
      <c r="HY11" s="242"/>
      <c r="HZ11" s="242"/>
      <c r="IA11" s="242"/>
      <c r="IB11" s="242"/>
      <c r="IC11" s="242"/>
      <c r="ID11" s="242"/>
      <c r="IE11" s="242"/>
      <c r="IF11" s="242"/>
      <c r="IG11" s="242"/>
      <c r="IH11" s="242"/>
      <c r="II11" s="242"/>
      <c r="IJ11" s="242"/>
      <c r="IK11" s="242"/>
      <c r="IL11" s="242"/>
      <c r="IM11" s="242"/>
      <c r="IN11" s="242"/>
      <c r="IO11" s="242"/>
      <c r="IP11" s="242"/>
      <c r="IQ11" s="242"/>
      <c r="IR11" s="242"/>
      <c r="IS11" s="242"/>
      <c r="IT11" s="242"/>
      <c r="IU11" s="242"/>
      <c r="IV11" s="243"/>
      <c r="IW11" s="242"/>
      <c r="IX11" s="242"/>
      <c r="IY11" s="242"/>
      <c r="IZ11" s="242"/>
      <c r="JA11" s="242"/>
      <c r="JB11" s="242"/>
      <c r="JC11" s="242"/>
      <c r="JD11" s="242"/>
      <c r="JE11" s="242"/>
      <c r="JF11" s="242"/>
      <c r="JG11" s="242"/>
      <c r="JH11" s="242"/>
      <c r="JI11" s="242"/>
      <c r="JJ11" s="242"/>
      <c r="JK11" s="242"/>
      <c r="JL11" s="242"/>
      <c r="JM11" s="242"/>
      <c r="JN11" s="242"/>
      <c r="JO11" s="242"/>
      <c r="JP11" s="243"/>
      <c r="JQ11" s="242"/>
      <c r="JR11" s="242"/>
      <c r="JS11" s="242"/>
      <c r="JT11" s="243"/>
      <c r="JU11" s="243"/>
      <c r="JV11" s="242"/>
      <c r="JW11" s="242"/>
      <c r="JX11" s="242"/>
      <c r="JY11" s="242"/>
      <c r="JZ11" s="242"/>
      <c r="KA11" s="242"/>
      <c r="KB11" s="243"/>
      <c r="KC11" s="242"/>
      <c r="KD11" s="242"/>
      <c r="KE11" s="242"/>
      <c r="KF11" s="242"/>
      <c r="KG11" s="242"/>
      <c r="KH11" s="242"/>
      <c r="KI11" s="242"/>
      <c r="KJ11" s="242"/>
      <c r="KK11" s="242"/>
      <c r="KL11" s="242"/>
      <c r="KM11" s="242"/>
      <c r="KN11" s="242"/>
      <c r="KO11" s="242"/>
      <c r="KP11" s="242"/>
      <c r="KQ11" s="242"/>
      <c r="KR11" s="242"/>
      <c r="KS11" s="242"/>
      <c r="KT11" s="242"/>
      <c r="KU11" s="242"/>
      <c r="KV11" s="243"/>
      <c r="KW11" s="242"/>
      <c r="KX11" s="242"/>
      <c r="KY11" s="242"/>
      <c r="KZ11" s="242"/>
      <c r="LA11" s="242"/>
      <c r="LB11" s="242"/>
      <c r="LC11" s="242"/>
      <c r="LD11" s="242"/>
      <c r="LE11" s="242"/>
      <c r="LF11" s="242"/>
      <c r="LG11" s="242"/>
      <c r="LH11" s="242"/>
      <c r="LI11" s="242"/>
      <c r="LJ11" s="242"/>
      <c r="LK11" s="242"/>
      <c r="LL11" s="242"/>
      <c r="LM11" s="242"/>
      <c r="LN11" s="242"/>
      <c r="LO11" s="242"/>
      <c r="LP11" s="242"/>
      <c r="LQ11" s="242"/>
      <c r="LR11" s="242"/>
      <c r="LS11" s="242"/>
      <c r="LT11" s="242"/>
      <c r="LU11" s="242"/>
      <c r="LV11" s="242"/>
      <c r="LW11" s="242"/>
      <c r="LX11" s="242"/>
      <c r="LY11" s="242"/>
      <c r="LZ11" s="242"/>
      <c r="MA11" s="242"/>
      <c r="MB11" s="242"/>
      <c r="MC11" s="242"/>
      <c r="MD11" s="243"/>
      <c r="ME11" s="242"/>
      <c r="MF11" s="242"/>
      <c r="MG11" s="242"/>
      <c r="MH11" s="242"/>
      <c r="MI11" s="242"/>
      <c r="MJ11" s="242"/>
      <c r="MK11" s="242"/>
      <c r="ML11" s="242"/>
      <c r="MM11" s="242"/>
      <c r="MN11" s="242"/>
      <c r="MO11" s="242"/>
      <c r="MP11" s="242"/>
      <c r="MQ11" s="242"/>
      <c r="MR11" s="242"/>
      <c r="MS11" s="242"/>
      <c r="MT11" s="242"/>
      <c r="MU11" s="242"/>
      <c r="MV11" s="242"/>
      <c r="MW11" s="242"/>
      <c r="MX11" s="243"/>
      <c r="MY11" s="242"/>
      <c r="MZ11" s="242"/>
      <c r="NA11" s="242"/>
      <c r="NB11" s="242"/>
      <c r="NC11" s="242"/>
      <c r="ND11" s="242"/>
      <c r="NE11" s="242"/>
      <c r="NF11" s="242"/>
      <c r="NG11" s="242"/>
      <c r="NH11" s="242"/>
      <c r="NI11" s="242"/>
      <c r="NJ11" s="242"/>
      <c r="NK11" s="242"/>
      <c r="NL11" s="242"/>
      <c r="NM11" s="242"/>
      <c r="NN11" s="242"/>
      <c r="NO11" s="242"/>
      <c r="NP11" s="242"/>
      <c r="NQ11" s="242"/>
      <c r="NR11" s="242"/>
      <c r="NS11" s="242"/>
      <c r="NT11" s="242"/>
      <c r="NU11" s="242"/>
      <c r="NV11" s="242"/>
      <c r="NW11" s="242"/>
      <c r="NX11" s="242"/>
      <c r="NY11" s="242"/>
      <c r="NZ11" s="242"/>
      <c r="OA11" s="242"/>
      <c r="OB11" s="242"/>
      <c r="OC11" s="242"/>
      <c r="OD11" s="243"/>
      <c r="OE11" s="243"/>
      <c r="OF11" s="242"/>
      <c r="OG11" s="242"/>
      <c r="OH11" s="242"/>
      <c r="OI11" s="242"/>
      <c r="OJ11" s="242"/>
      <c r="OK11" s="242"/>
      <c r="OL11" s="242"/>
      <c r="OM11" s="242"/>
      <c r="ON11" s="242"/>
      <c r="OO11" s="242"/>
      <c r="OP11" s="242"/>
      <c r="OQ11" s="242"/>
      <c r="OR11" s="242"/>
      <c r="OS11" s="243"/>
      <c r="OT11" s="242"/>
      <c r="OU11" s="242"/>
      <c r="OV11" s="242"/>
      <c r="OW11" s="242"/>
      <c r="OX11" s="242"/>
      <c r="OY11" s="243"/>
      <c r="OZ11" s="242"/>
      <c r="PA11" s="242"/>
      <c r="PB11" s="242"/>
      <c r="PC11" s="242"/>
      <c r="PD11" s="242"/>
      <c r="PE11" s="242"/>
      <c r="PF11" s="242"/>
      <c r="PG11" s="242"/>
      <c r="PH11" s="242"/>
      <c r="PI11" s="242"/>
      <c r="PJ11" s="242"/>
      <c r="PK11" s="242"/>
      <c r="PL11" s="242"/>
      <c r="PM11" s="242"/>
      <c r="PN11" s="242"/>
      <c r="PO11" s="242"/>
      <c r="PP11" s="242"/>
      <c r="PQ11" s="242"/>
      <c r="PR11" s="242"/>
      <c r="PS11" s="242"/>
      <c r="PT11" s="242"/>
      <c r="PU11" s="242"/>
      <c r="PV11" s="242"/>
      <c r="PW11" s="242"/>
      <c r="PX11" s="242"/>
      <c r="PY11" s="242"/>
      <c r="PZ11" s="242"/>
      <c r="QA11" s="242"/>
      <c r="QB11" s="242"/>
      <c r="QC11" s="242"/>
      <c r="QD11" s="242"/>
      <c r="QE11" s="242"/>
      <c r="QF11" s="242"/>
      <c r="QG11" s="242"/>
      <c r="QH11" s="242"/>
      <c r="QI11" s="244"/>
    </row>
    <row r="12" spans="1:451" ht="18" customHeight="1" x14ac:dyDescent="0.25">
      <c r="A12" s="246" t="s">
        <v>272</v>
      </c>
      <c r="B12" s="245"/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42"/>
      <c r="R12" s="242"/>
      <c r="S12" s="242"/>
      <c r="T12" s="242"/>
      <c r="U12" s="242"/>
      <c r="V12" s="242"/>
      <c r="W12" s="242"/>
      <c r="X12" s="242"/>
      <c r="Y12" s="242"/>
      <c r="Z12" s="242"/>
      <c r="AA12" s="242"/>
      <c r="AB12" s="242"/>
      <c r="AC12" s="243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3"/>
      <c r="AS12" s="242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  <c r="BW12" s="242"/>
      <c r="BX12" s="242"/>
      <c r="BY12" s="242"/>
      <c r="BZ12" s="242"/>
      <c r="CA12" s="242"/>
      <c r="CB12" s="242"/>
      <c r="CC12" s="243"/>
      <c r="CD12" s="243"/>
      <c r="CE12" s="242"/>
      <c r="CF12" s="242"/>
      <c r="CG12" s="242"/>
      <c r="CH12" s="242"/>
      <c r="CI12" s="242"/>
      <c r="CJ12" s="242"/>
      <c r="CK12" s="242"/>
      <c r="CL12" s="242"/>
      <c r="CM12" s="242"/>
      <c r="CN12" s="242"/>
      <c r="CO12" s="242"/>
      <c r="CP12" s="242"/>
      <c r="CQ12" s="242"/>
      <c r="CR12" s="243"/>
      <c r="CS12" s="242"/>
      <c r="CT12" s="242"/>
      <c r="CU12" s="242"/>
      <c r="CV12" s="242"/>
      <c r="CW12" s="242"/>
      <c r="CX12" s="243"/>
      <c r="CY12" s="242"/>
      <c r="CZ12" s="242"/>
      <c r="DA12" s="242"/>
      <c r="DB12" s="242"/>
      <c r="DC12" s="242"/>
      <c r="DD12" s="242"/>
      <c r="DE12" s="242"/>
      <c r="DF12" s="242"/>
      <c r="DG12" s="242"/>
      <c r="DH12" s="242"/>
      <c r="DI12" s="242"/>
      <c r="DJ12" s="242"/>
      <c r="DK12" s="242"/>
      <c r="DL12" s="242"/>
      <c r="DM12" s="242"/>
      <c r="DN12" s="242"/>
      <c r="DO12" s="242"/>
      <c r="DP12" s="242"/>
      <c r="DQ12" s="242"/>
      <c r="DR12" s="242"/>
      <c r="DS12" s="242"/>
      <c r="DT12" s="242"/>
      <c r="DU12" s="242"/>
      <c r="DV12" s="242"/>
      <c r="DW12" s="242"/>
      <c r="DX12" s="242"/>
      <c r="DY12" s="242"/>
      <c r="DZ12" s="242"/>
      <c r="EA12" s="242"/>
      <c r="EB12" s="242"/>
      <c r="EC12" s="242"/>
      <c r="ED12" s="242"/>
      <c r="EE12" s="242"/>
      <c r="EF12" s="242"/>
      <c r="EG12" s="242"/>
      <c r="EH12" s="242"/>
      <c r="EI12" s="242"/>
      <c r="EJ12" s="242"/>
      <c r="EK12" s="242"/>
      <c r="EL12" s="242"/>
      <c r="EM12" s="242"/>
      <c r="EN12" s="242"/>
      <c r="EO12" s="242"/>
      <c r="EP12" s="242"/>
      <c r="EQ12" s="242"/>
      <c r="ER12" s="242"/>
      <c r="ES12" s="242"/>
      <c r="ET12" s="242"/>
      <c r="EU12" s="242"/>
      <c r="EV12" s="242"/>
      <c r="EW12" s="242"/>
      <c r="EX12" s="242"/>
      <c r="EY12" s="242"/>
      <c r="EZ12" s="242"/>
      <c r="FA12" s="242"/>
      <c r="FB12" s="242"/>
      <c r="FC12" s="242"/>
      <c r="FD12" s="242"/>
      <c r="FE12" s="242"/>
      <c r="FF12" s="242"/>
      <c r="FG12" s="242"/>
      <c r="FH12" s="242"/>
      <c r="FI12" s="242"/>
      <c r="FJ12" s="242"/>
      <c r="FK12" s="242"/>
      <c r="FL12" s="242"/>
      <c r="FM12" s="242"/>
      <c r="FN12" s="242"/>
      <c r="FO12" s="242"/>
      <c r="FP12" s="242"/>
      <c r="FQ12" s="243"/>
      <c r="FR12" s="243"/>
      <c r="FS12" s="242"/>
      <c r="FT12" s="242"/>
      <c r="FU12" s="242"/>
      <c r="FV12" s="242"/>
      <c r="FW12" s="242"/>
      <c r="FX12" s="242"/>
      <c r="FY12" s="242"/>
      <c r="FZ12" s="242"/>
      <c r="GA12" s="242"/>
      <c r="GB12" s="242"/>
      <c r="GC12" s="242"/>
      <c r="GD12" s="242"/>
      <c r="GE12" s="242"/>
      <c r="GF12" s="242"/>
      <c r="GG12" s="242"/>
      <c r="GH12" s="242"/>
      <c r="GI12" s="242"/>
      <c r="GJ12" s="242"/>
      <c r="GK12" s="242"/>
      <c r="GL12" s="242"/>
      <c r="GM12" s="242"/>
      <c r="GN12" s="242"/>
      <c r="GO12" s="242"/>
      <c r="GP12" s="242"/>
      <c r="GQ12" s="242"/>
      <c r="GR12" s="242"/>
      <c r="GS12" s="242"/>
      <c r="GT12" s="242"/>
      <c r="GU12" s="242"/>
      <c r="GV12" s="242"/>
      <c r="GW12" s="243"/>
      <c r="GX12" s="242"/>
      <c r="GY12" s="242"/>
      <c r="GZ12" s="242"/>
      <c r="HA12" s="242"/>
      <c r="HB12" s="242"/>
      <c r="HC12" s="242"/>
      <c r="HD12" s="242"/>
      <c r="HE12" s="242"/>
      <c r="HF12" s="242"/>
      <c r="HG12" s="242"/>
      <c r="HH12" s="242"/>
      <c r="HI12" s="242"/>
      <c r="HJ12" s="242"/>
      <c r="HK12" s="242"/>
      <c r="HL12" s="242"/>
      <c r="HM12" s="242"/>
      <c r="HN12" s="242"/>
      <c r="HO12" s="242"/>
      <c r="HP12" s="242"/>
      <c r="HQ12" s="242"/>
      <c r="HR12" s="242"/>
      <c r="HS12" s="242"/>
      <c r="HT12" s="242"/>
      <c r="HU12" s="242"/>
      <c r="HV12" s="242"/>
      <c r="HW12" s="242"/>
      <c r="HX12" s="242"/>
      <c r="HY12" s="242"/>
      <c r="HZ12" s="242"/>
      <c r="IA12" s="242"/>
      <c r="IB12" s="242"/>
      <c r="IC12" s="242"/>
      <c r="ID12" s="242"/>
      <c r="IE12" s="242"/>
      <c r="IF12" s="242"/>
      <c r="IG12" s="242"/>
      <c r="IH12" s="242"/>
      <c r="II12" s="242"/>
      <c r="IJ12" s="242"/>
      <c r="IK12" s="242"/>
      <c r="IL12" s="242"/>
      <c r="IM12" s="242"/>
      <c r="IN12" s="242"/>
      <c r="IO12" s="242"/>
      <c r="IP12" s="242"/>
      <c r="IQ12" s="242"/>
      <c r="IR12" s="242"/>
      <c r="IS12" s="242"/>
      <c r="IT12" s="242"/>
      <c r="IU12" s="242"/>
      <c r="IV12" s="243"/>
      <c r="IW12" s="242"/>
      <c r="IX12" s="242"/>
      <c r="IY12" s="242"/>
      <c r="IZ12" s="242"/>
      <c r="JA12" s="242"/>
      <c r="JB12" s="242"/>
      <c r="JC12" s="242"/>
      <c r="JD12" s="242"/>
      <c r="JE12" s="242"/>
      <c r="JF12" s="242"/>
      <c r="JG12" s="242"/>
      <c r="JH12" s="242"/>
      <c r="JI12" s="242"/>
      <c r="JJ12" s="242"/>
      <c r="JK12" s="242"/>
      <c r="JL12" s="242"/>
      <c r="JM12" s="242"/>
      <c r="JN12" s="242"/>
      <c r="JO12" s="242"/>
      <c r="JP12" s="243"/>
      <c r="JQ12" s="242"/>
      <c r="JR12" s="242"/>
      <c r="JS12" s="242"/>
      <c r="JT12" s="243"/>
      <c r="JU12" s="243"/>
      <c r="JV12" s="242"/>
      <c r="JW12" s="242"/>
      <c r="JX12" s="242"/>
      <c r="JY12" s="242"/>
      <c r="JZ12" s="242"/>
      <c r="KA12" s="242"/>
      <c r="KB12" s="243"/>
      <c r="KC12" s="242"/>
      <c r="KD12" s="242"/>
      <c r="KE12" s="242"/>
      <c r="KF12" s="242"/>
      <c r="KG12" s="242"/>
      <c r="KH12" s="242"/>
      <c r="KI12" s="242"/>
      <c r="KJ12" s="242"/>
      <c r="KK12" s="242"/>
      <c r="KL12" s="242"/>
      <c r="KM12" s="242"/>
      <c r="KN12" s="242"/>
      <c r="KO12" s="242"/>
      <c r="KP12" s="242"/>
      <c r="KQ12" s="242"/>
      <c r="KR12" s="242"/>
      <c r="KS12" s="242"/>
      <c r="KT12" s="242"/>
      <c r="KU12" s="242"/>
      <c r="KV12" s="243"/>
      <c r="KW12" s="242"/>
      <c r="KX12" s="242"/>
      <c r="KY12" s="242"/>
      <c r="KZ12" s="242"/>
      <c r="LA12" s="242"/>
      <c r="LB12" s="242"/>
      <c r="LC12" s="242"/>
      <c r="LD12" s="242"/>
      <c r="LE12" s="242"/>
      <c r="LF12" s="242"/>
      <c r="LG12" s="242"/>
      <c r="LH12" s="242"/>
      <c r="LI12" s="242"/>
      <c r="LJ12" s="242"/>
      <c r="LK12" s="242"/>
      <c r="LL12" s="242"/>
      <c r="LM12" s="242"/>
      <c r="LN12" s="242"/>
      <c r="LO12" s="242"/>
      <c r="LP12" s="242"/>
      <c r="LQ12" s="242"/>
      <c r="LR12" s="242"/>
      <c r="LS12" s="242"/>
      <c r="LT12" s="242"/>
      <c r="LU12" s="242"/>
      <c r="LV12" s="242"/>
      <c r="LW12" s="242"/>
      <c r="LX12" s="242"/>
      <c r="LY12" s="242"/>
      <c r="LZ12" s="242"/>
      <c r="MA12" s="242"/>
      <c r="MB12" s="242"/>
      <c r="MC12" s="242"/>
      <c r="MD12" s="243"/>
      <c r="ME12" s="242"/>
      <c r="MF12" s="242"/>
      <c r="MG12" s="242"/>
      <c r="MH12" s="242"/>
      <c r="MI12" s="242"/>
      <c r="MJ12" s="242"/>
      <c r="MK12" s="242"/>
      <c r="ML12" s="242"/>
      <c r="MM12" s="242"/>
      <c r="MN12" s="242"/>
      <c r="MO12" s="242"/>
      <c r="MP12" s="242"/>
      <c r="MQ12" s="242"/>
      <c r="MR12" s="242"/>
      <c r="MS12" s="242"/>
      <c r="MT12" s="242"/>
      <c r="MU12" s="242"/>
      <c r="MV12" s="242"/>
      <c r="MW12" s="242"/>
      <c r="MX12" s="243"/>
      <c r="MY12" s="242"/>
      <c r="MZ12" s="242"/>
      <c r="NA12" s="242"/>
      <c r="NB12" s="242"/>
      <c r="NC12" s="242"/>
      <c r="ND12" s="242"/>
      <c r="NE12" s="242"/>
      <c r="NF12" s="242"/>
      <c r="NG12" s="242"/>
      <c r="NH12" s="242"/>
      <c r="NI12" s="242"/>
      <c r="NJ12" s="242"/>
      <c r="NK12" s="242"/>
      <c r="NL12" s="242"/>
      <c r="NM12" s="242"/>
      <c r="NN12" s="242"/>
      <c r="NO12" s="242"/>
      <c r="NP12" s="242"/>
      <c r="NQ12" s="242"/>
      <c r="NR12" s="242"/>
      <c r="NS12" s="242"/>
      <c r="NT12" s="242"/>
      <c r="NU12" s="242"/>
      <c r="NV12" s="242"/>
      <c r="NW12" s="242"/>
      <c r="NX12" s="242"/>
      <c r="NY12" s="242"/>
      <c r="NZ12" s="242"/>
      <c r="OA12" s="242"/>
      <c r="OB12" s="242"/>
      <c r="OC12" s="242"/>
      <c r="OD12" s="243"/>
      <c r="OE12" s="243"/>
      <c r="OF12" s="242"/>
      <c r="OG12" s="242"/>
      <c r="OH12" s="242"/>
      <c r="OI12" s="242"/>
      <c r="OJ12" s="242"/>
      <c r="OK12" s="242"/>
      <c r="OL12" s="242"/>
      <c r="OM12" s="242"/>
      <c r="ON12" s="242"/>
      <c r="OO12" s="242"/>
      <c r="OP12" s="242"/>
      <c r="OQ12" s="242"/>
      <c r="OR12" s="242"/>
      <c r="OS12" s="243"/>
      <c r="OT12" s="242"/>
      <c r="OU12" s="242"/>
      <c r="OV12" s="242"/>
      <c r="OW12" s="242"/>
      <c r="OX12" s="242"/>
      <c r="OY12" s="243"/>
      <c r="OZ12" s="242"/>
      <c r="PA12" s="242"/>
      <c r="PB12" s="242"/>
      <c r="PC12" s="242"/>
      <c r="PD12" s="242"/>
      <c r="PE12" s="242"/>
      <c r="PF12" s="242"/>
      <c r="PG12" s="242"/>
      <c r="PH12" s="242"/>
      <c r="PI12" s="242"/>
      <c r="PJ12" s="242"/>
      <c r="PK12" s="242"/>
      <c r="PL12" s="242"/>
      <c r="PM12" s="242"/>
      <c r="PN12" s="242"/>
      <c r="PO12" s="242"/>
      <c r="PP12" s="242"/>
      <c r="PQ12" s="242"/>
      <c r="PR12" s="242"/>
      <c r="PS12" s="242"/>
      <c r="PT12" s="242"/>
      <c r="PU12" s="242"/>
      <c r="PV12" s="242"/>
      <c r="PW12" s="242"/>
      <c r="PX12" s="242"/>
      <c r="PY12" s="242"/>
      <c r="PZ12" s="242"/>
      <c r="QA12" s="242"/>
      <c r="QB12" s="242"/>
      <c r="QC12" s="242"/>
      <c r="QD12" s="242"/>
      <c r="QE12" s="242"/>
      <c r="QF12" s="242"/>
      <c r="QG12" s="242"/>
      <c r="QH12" s="242"/>
      <c r="QI12" s="244"/>
    </row>
    <row r="13" spans="1:451" ht="18" customHeight="1" x14ac:dyDescent="0.2">
      <c r="A13" s="247" t="s">
        <v>273</v>
      </c>
      <c r="B13" s="245"/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8" t="s">
        <v>274</v>
      </c>
      <c r="O13" s="248" t="s">
        <v>275</v>
      </c>
      <c r="P13" s="248" t="s">
        <v>276</v>
      </c>
      <c r="Q13" s="248" t="s">
        <v>277</v>
      </c>
      <c r="R13" s="248" t="s">
        <v>278</v>
      </c>
      <c r="S13" s="248" t="s">
        <v>279</v>
      </c>
      <c r="T13" s="248" t="s">
        <v>280</v>
      </c>
      <c r="U13" s="248" t="s">
        <v>281</v>
      </c>
      <c r="V13" s="248" t="s">
        <v>282</v>
      </c>
      <c r="W13" s="248" t="s">
        <v>283</v>
      </c>
      <c r="X13" s="248" t="s">
        <v>284</v>
      </c>
      <c r="Y13" s="248" t="s">
        <v>285</v>
      </c>
      <c r="Z13" s="248" t="s">
        <v>286</v>
      </c>
      <c r="AA13" s="248" t="s">
        <v>287</v>
      </c>
      <c r="AB13" s="248" t="s">
        <v>288</v>
      </c>
      <c r="AC13" s="243"/>
      <c r="AD13" s="248" t="s">
        <v>289</v>
      </c>
      <c r="AE13" s="248" t="s">
        <v>290</v>
      </c>
      <c r="AF13" s="248" t="s">
        <v>291</v>
      </c>
      <c r="AG13" s="248" t="s">
        <v>292</v>
      </c>
      <c r="AH13" s="248" t="s">
        <v>293</v>
      </c>
      <c r="AI13" s="248" t="s">
        <v>294</v>
      </c>
      <c r="AJ13" s="248" t="s">
        <v>295</v>
      </c>
      <c r="AK13" s="248" t="s">
        <v>296</v>
      </c>
      <c r="AL13" s="248" t="s">
        <v>297</v>
      </c>
      <c r="AM13" s="242"/>
      <c r="AN13" s="242"/>
      <c r="AO13" s="242"/>
      <c r="AP13" s="242"/>
      <c r="AQ13" s="242"/>
      <c r="AR13" s="243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  <c r="BW13" s="242"/>
      <c r="BX13" s="242"/>
      <c r="BY13" s="242"/>
      <c r="BZ13" s="242"/>
      <c r="CA13" s="242"/>
      <c r="CB13" s="242"/>
      <c r="CC13" s="243"/>
      <c r="CD13" s="243"/>
      <c r="CE13" s="242"/>
      <c r="CF13" s="242"/>
      <c r="CG13" s="242"/>
      <c r="CH13" s="242"/>
      <c r="CI13" s="242"/>
      <c r="CJ13" s="242"/>
      <c r="CK13" s="242"/>
      <c r="CL13" s="242"/>
      <c r="CM13" s="242"/>
      <c r="CN13" s="242"/>
      <c r="CO13" s="242"/>
      <c r="CP13" s="242"/>
      <c r="CQ13" s="242"/>
      <c r="CR13" s="243"/>
      <c r="CS13" s="242"/>
      <c r="CT13" s="242"/>
      <c r="CU13" s="242"/>
      <c r="CV13" s="242"/>
      <c r="CW13" s="242"/>
      <c r="CX13" s="243"/>
      <c r="CY13" s="242"/>
      <c r="CZ13" s="242"/>
      <c r="DA13" s="242"/>
      <c r="DB13" s="242"/>
      <c r="DC13" s="242"/>
      <c r="DD13" s="242"/>
      <c r="DE13" s="242"/>
      <c r="DF13" s="242"/>
      <c r="DG13" s="242"/>
      <c r="DH13" s="242"/>
      <c r="DI13" s="242"/>
      <c r="DJ13" s="242"/>
      <c r="DK13" s="242"/>
      <c r="DL13" s="242"/>
      <c r="DM13" s="242"/>
      <c r="DN13" s="242"/>
      <c r="DO13" s="242"/>
      <c r="DP13" s="242"/>
      <c r="DQ13" s="242"/>
      <c r="DR13" s="242"/>
      <c r="DS13" s="242"/>
      <c r="DT13" s="242"/>
      <c r="DU13" s="242"/>
      <c r="DV13" s="242"/>
      <c r="DW13" s="242"/>
      <c r="DX13" s="242"/>
      <c r="DY13" s="242"/>
      <c r="DZ13" s="242"/>
      <c r="EA13" s="242"/>
      <c r="EB13" s="242"/>
      <c r="EC13" s="242"/>
      <c r="ED13" s="242"/>
      <c r="EE13" s="242"/>
      <c r="EF13" s="242"/>
      <c r="EG13" s="242"/>
      <c r="EH13" s="242"/>
      <c r="EI13" s="242"/>
      <c r="EJ13" s="242"/>
      <c r="EK13" s="242"/>
      <c r="EL13" s="242"/>
      <c r="EM13" s="242"/>
      <c r="EN13" s="242"/>
      <c r="EO13" s="242"/>
      <c r="EP13" s="242"/>
      <c r="EQ13" s="242"/>
      <c r="ER13" s="242"/>
      <c r="ES13" s="242"/>
      <c r="ET13" s="242"/>
      <c r="EU13" s="242"/>
      <c r="EV13" s="242"/>
      <c r="EW13" s="242"/>
      <c r="EX13" s="242"/>
      <c r="EY13" s="242"/>
      <c r="EZ13" s="242"/>
      <c r="FA13" s="242"/>
      <c r="FB13" s="242"/>
      <c r="FC13" s="242"/>
      <c r="FD13" s="242"/>
      <c r="FE13" s="242"/>
      <c r="FF13" s="242"/>
      <c r="FG13" s="242"/>
      <c r="FH13" s="242"/>
      <c r="FI13" s="242"/>
      <c r="FJ13" s="242"/>
      <c r="FK13" s="242"/>
      <c r="FL13" s="242"/>
      <c r="FM13" s="242"/>
      <c r="FN13" s="242"/>
      <c r="FO13" s="242"/>
      <c r="FP13" s="242"/>
      <c r="FQ13" s="243"/>
      <c r="FR13" s="243"/>
      <c r="FS13" s="242"/>
      <c r="FT13" s="242"/>
      <c r="FU13" s="242"/>
      <c r="FV13" s="242"/>
      <c r="FW13" s="242"/>
      <c r="FX13" s="242"/>
      <c r="FY13" s="242"/>
      <c r="FZ13" s="242"/>
      <c r="GA13" s="242"/>
      <c r="GB13" s="242"/>
      <c r="GC13" s="242"/>
      <c r="GD13" s="242"/>
      <c r="GE13" s="242"/>
      <c r="GF13" s="242"/>
      <c r="GG13" s="242"/>
      <c r="GH13" s="242"/>
      <c r="GI13" s="242"/>
      <c r="GJ13" s="242"/>
      <c r="GK13" s="242"/>
      <c r="GL13" s="242"/>
      <c r="GM13" s="242"/>
      <c r="GN13" s="242"/>
      <c r="GO13" s="242"/>
      <c r="GP13" s="242"/>
      <c r="GQ13" s="242"/>
      <c r="GR13" s="242"/>
      <c r="GS13" s="242"/>
      <c r="GT13" s="242"/>
      <c r="GU13" s="242"/>
      <c r="GV13" s="242"/>
      <c r="GW13" s="243"/>
      <c r="GX13" s="242"/>
      <c r="GY13" s="242"/>
      <c r="GZ13" s="242"/>
      <c r="HA13" s="242"/>
      <c r="HB13" s="242"/>
      <c r="HC13" s="242"/>
      <c r="HD13" s="242"/>
      <c r="HE13" s="242"/>
      <c r="HF13" s="242"/>
      <c r="HG13" s="242"/>
      <c r="HH13" s="242"/>
      <c r="HI13" s="242"/>
      <c r="HJ13" s="242"/>
      <c r="HK13" s="242"/>
      <c r="HL13" s="242"/>
      <c r="HM13" s="242"/>
      <c r="HN13" s="242"/>
      <c r="HO13" s="242"/>
      <c r="HP13" s="242"/>
      <c r="HQ13" s="242"/>
      <c r="HR13" s="242"/>
      <c r="HS13" s="242"/>
      <c r="HT13" s="242"/>
      <c r="HU13" s="242"/>
      <c r="HV13" s="242"/>
      <c r="HW13" s="242"/>
      <c r="HX13" s="242"/>
      <c r="HY13" s="242"/>
      <c r="HZ13" s="242"/>
      <c r="IA13" s="242"/>
      <c r="IB13" s="242"/>
      <c r="IC13" s="242"/>
      <c r="ID13" s="242"/>
      <c r="IE13" s="242"/>
      <c r="IF13" s="242"/>
      <c r="IG13" s="242"/>
      <c r="IH13" s="242"/>
      <c r="II13" s="242"/>
      <c r="IJ13" s="242"/>
      <c r="IK13" s="242"/>
      <c r="IL13" s="242"/>
      <c r="IM13" s="242"/>
      <c r="IN13" s="242"/>
      <c r="IO13" s="242"/>
      <c r="IP13" s="242"/>
      <c r="IQ13" s="242"/>
      <c r="IR13" s="242"/>
      <c r="IS13" s="242"/>
      <c r="IT13" s="242"/>
      <c r="IU13" s="242"/>
      <c r="IV13" s="243"/>
      <c r="IW13" s="242"/>
      <c r="IX13" s="242"/>
      <c r="IY13" s="242"/>
      <c r="IZ13" s="242"/>
      <c r="JA13" s="242"/>
      <c r="JB13" s="242"/>
      <c r="JC13" s="242"/>
      <c r="JD13" s="242"/>
      <c r="JE13" s="242"/>
      <c r="JF13" s="242"/>
      <c r="JG13" s="242"/>
      <c r="JH13" s="242"/>
      <c r="JI13" s="242"/>
      <c r="JJ13" s="242"/>
      <c r="JK13" s="242"/>
      <c r="JL13" s="242"/>
      <c r="JM13" s="242"/>
      <c r="JN13" s="242"/>
      <c r="JO13" s="242"/>
      <c r="JP13" s="243"/>
      <c r="JQ13" s="242"/>
      <c r="JR13" s="242"/>
      <c r="JS13" s="242"/>
      <c r="JT13" s="243"/>
      <c r="JU13" s="243"/>
      <c r="JV13" s="242"/>
      <c r="JW13" s="242"/>
      <c r="JX13" s="242"/>
      <c r="JY13" s="242"/>
      <c r="JZ13" s="242"/>
      <c r="KA13" s="242"/>
      <c r="KB13" s="243"/>
      <c r="KC13" s="242"/>
      <c r="KD13" s="242"/>
      <c r="KE13" s="242"/>
      <c r="KF13" s="242"/>
      <c r="KG13" s="242"/>
      <c r="KH13" s="242"/>
      <c r="KI13" s="242"/>
      <c r="KJ13" s="242"/>
      <c r="KK13" s="242"/>
      <c r="KL13" s="242"/>
      <c r="KM13" s="242"/>
      <c r="KN13" s="242"/>
      <c r="KO13" s="242"/>
      <c r="KP13" s="242"/>
      <c r="KQ13" s="242"/>
      <c r="KR13" s="242"/>
      <c r="KS13" s="242"/>
      <c r="KT13" s="242"/>
      <c r="KU13" s="242"/>
      <c r="KV13" s="243"/>
      <c r="KW13" s="242"/>
      <c r="KX13" s="242"/>
      <c r="KY13" s="242"/>
      <c r="KZ13" s="242"/>
      <c r="LA13" s="242"/>
      <c r="LB13" s="242"/>
      <c r="LC13" s="242"/>
      <c r="LD13" s="242"/>
      <c r="LE13" s="242"/>
      <c r="LF13" s="242"/>
      <c r="LG13" s="242"/>
      <c r="LH13" s="242"/>
      <c r="LI13" s="242"/>
      <c r="LJ13" s="242"/>
      <c r="LK13" s="242"/>
      <c r="LL13" s="242"/>
      <c r="LM13" s="242"/>
      <c r="LN13" s="242"/>
      <c r="LO13" s="242"/>
      <c r="LP13" s="242"/>
      <c r="LQ13" s="242"/>
      <c r="LR13" s="242"/>
      <c r="LS13" s="242"/>
      <c r="LT13" s="242"/>
      <c r="LU13" s="242"/>
      <c r="LV13" s="242"/>
      <c r="LW13" s="242"/>
      <c r="LX13" s="242"/>
      <c r="LY13" s="242"/>
      <c r="LZ13" s="242"/>
      <c r="MA13" s="242"/>
      <c r="MB13" s="242"/>
      <c r="MC13" s="242"/>
      <c r="MD13" s="243"/>
      <c r="ME13" s="242"/>
      <c r="MF13" s="242"/>
      <c r="MG13" s="242"/>
      <c r="MH13" s="242"/>
      <c r="MI13" s="242"/>
      <c r="MJ13" s="242"/>
      <c r="MK13" s="242"/>
      <c r="ML13" s="242"/>
      <c r="MM13" s="242"/>
      <c r="MN13" s="242"/>
      <c r="MO13" s="242"/>
      <c r="MP13" s="242"/>
      <c r="MQ13" s="242"/>
      <c r="MR13" s="242"/>
      <c r="MS13" s="242"/>
      <c r="MT13" s="242"/>
      <c r="MU13" s="242"/>
      <c r="MV13" s="242"/>
      <c r="MW13" s="242"/>
      <c r="MX13" s="243"/>
      <c r="MY13" s="242"/>
      <c r="MZ13" s="242"/>
      <c r="NA13" s="242"/>
      <c r="NB13" s="242"/>
      <c r="NC13" s="242"/>
      <c r="ND13" s="242"/>
      <c r="NE13" s="242"/>
      <c r="NF13" s="242"/>
      <c r="NG13" s="242"/>
      <c r="NH13" s="242"/>
      <c r="NI13" s="242"/>
      <c r="NJ13" s="242"/>
      <c r="NK13" s="242"/>
      <c r="NL13" s="242"/>
      <c r="NM13" s="242"/>
      <c r="NN13" s="242"/>
      <c r="NO13" s="242"/>
      <c r="NP13" s="242"/>
      <c r="NQ13" s="242"/>
      <c r="NR13" s="242"/>
      <c r="NS13" s="242"/>
      <c r="NT13" s="242"/>
      <c r="NU13" s="242"/>
      <c r="NV13" s="242"/>
      <c r="NW13" s="242"/>
      <c r="NX13" s="242"/>
      <c r="NY13" s="242"/>
      <c r="NZ13" s="242"/>
      <c r="OA13" s="242"/>
      <c r="OB13" s="242"/>
      <c r="OC13" s="242"/>
      <c r="OD13" s="243"/>
      <c r="OE13" s="243"/>
      <c r="OF13" s="242"/>
      <c r="OG13" s="242"/>
      <c r="OH13" s="242"/>
      <c r="OI13" s="242"/>
      <c r="OJ13" s="242"/>
      <c r="OK13" s="242"/>
      <c r="OL13" s="242"/>
      <c r="OM13" s="242"/>
      <c r="ON13" s="242"/>
      <c r="OO13" s="242"/>
      <c r="OP13" s="242"/>
      <c r="OQ13" s="242"/>
      <c r="OR13" s="242"/>
      <c r="OS13" s="243"/>
      <c r="OT13" s="242"/>
      <c r="OU13" s="242"/>
      <c r="OV13" s="242"/>
      <c r="OW13" s="242"/>
      <c r="OX13" s="242"/>
      <c r="OY13" s="243"/>
      <c r="OZ13" s="242"/>
      <c r="PA13" s="242"/>
      <c r="PB13" s="242"/>
      <c r="PC13" s="242"/>
      <c r="PD13" s="242"/>
      <c r="PE13" s="242"/>
      <c r="PF13" s="242"/>
      <c r="PG13" s="242"/>
      <c r="PH13" s="242"/>
      <c r="PI13" s="242"/>
      <c r="PJ13" s="242"/>
      <c r="PK13" s="242"/>
      <c r="PL13" s="242"/>
      <c r="PM13" s="242"/>
      <c r="PN13" s="242"/>
      <c r="PO13" s="242"/>
      <c r="PP13" s="242"/>
      <c r="PQ13" s="242"/>
      <c r="PR13" s="242"/>
      <c r="PS13" s="242"/>
      <c r="PT13" s="242"/>
      <c r="PU13" s="242"/>
      <c r="PV13" s="242"/>
      <c r="PW13" s="242"/>
      <c r="PX13" s="242"/>
      <c r="PY13" s="242"/>
      <c r="PZ13" s="242"/>
      <c r="QA13" s="242"/>
      <c r="QB13" s="242"/>
      <c r="QC13" s="242"/>
      <c r="QD13" s="242"/>
      <c r="QE13" s="242"/>
      <c r="QF13" s="242"/>
      <c r="QG13" s="242"/>
      <c r="QH13" s="242"/>
      <c r="QI13" s="244"/>
    </row>
    <row r="14" spans="1:451" ht="18" customHeight="1" x14ac:dyDescent="0.2">
      <c r="A14" s="247" t="s">
        <v>271</v>
      </c>
      <c r="B14" s="245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>
        <v>1</v>
      </c>
      <c r="O14" s="242">
        <v>2</v>
      </c>
      <c r="P14" s="242">
        <v>3</v>
      </c>
      <c r="Q14" s="242">
        <v>4</v>
      </c>
      <c r="R14" s="242">
        <v>5</v>
      </c>
      <c r="S14" s="242">
        <v>6</v>
      </c>
      <c r="T14" s="242">
        <v>7</v>
      </c>
      <c r="U14" s="242">
        <v>8</v>
      </c>
      <c r="V14" s="242">
        <v>9</v>
      </c>
      <c r="W14" s="242">
        <v>10</v>
      </c>
      <c r="X14" s="242">
        <v>11</v>
      </c>
      <c r="Y14" s="242">
        <v>12</v>
      </c>
      <c r="Z14" s="242">
        <v>13</v>
      </c>
      <c r="AA14" s="242">
        <v>14</v>
      </c>
      <c r="AB14" s="242">
        <v>15</v>
      </c>
      <c r="AC14" s="243"/>
      <c r="AD14" s="242">
        <v>16</v>
      </c>
      <c r="AE14" s="242">
        <v>17</v>
      </c>
      <c r="AF14" s="242">
        <v>18</v>
      </c>
      <c r="AG14" s="242">
        <v>19</v>
      </c>
      <c r="AH14" s="242">
        <v>20</v>
      </c>
      <c r="AI14" s="242">
        <v>21</v>
      </c>
      <c r="AJ14" s="242">
        <v>22</v>
      </c>
      <c r="AK14" s="242">
        <v>23</v>
      </c>
      <c r="AL14" s="242">
        <v>24</v>
      </c>
      <c r="AM14" s="242"/>
      <c r="AN14" s="242"/>
      <c r="AO14" s="242"/>
      <c r="AP14" s="242"/>
      <c r="AQ14" s="242"/>
      <c r="AR14" s="243"/>
      <c r="AS14" s="242"/>
      <c r="AT14" s="242"/>
      <c r="AU14" s="242"/>
      <c r="AV14" s="242"/>
      <c r="AW14" s="242"/>
      <c r="AX14" s="242"/>
      <c r="AY14" s="242"/>
      <c r="AZ14" s="242"/>
      <c r="BA14" s="242"/>
      <c r="BB14" s="242"/>
      <c r="BC14" s="242"/>
      <c r="BD14" s="242"/>
      <c r="BE14" s="242"/>
      <c r="BF14" s="242"/>
      <c r="BG14" s="242"/>
      <c r="BH14" s="242"/>
      <c r="BI14" s="242"/>
      <c r="BJ14" s="242"/>
      <c r="BK14" s="242"/>
      <c r="BL14" s="242"/>
      <c r="BM14" s="242"/>
      <c r="BN14" s="242"/>
      <c r="BO14" s="242"/>
      <c r="BP14" s="242"/>
      <c r="BQ14" s="242"/>
      <c r="BR14" s="242"/>
      <c r="BS14" s="242"/>
      <c r="BT14" s="242"/>
      <c r="BU14" s="242"/>
      <c r="BV14" s="242"/>
      <c r="BW14" s="242"/>
      <c r="BX14" s="242"/>
      <c r="BY14" s="242"/>
      <c r="BZ14" s="242"/>
      <c r="CA14" s="242"/>
      <c r="CB14" s="242"/>
      <c r="CC14" s="243"/>
      <c r="CD14" s="243"/>
      <c r="CE14" s="242"/>
      <c r="CF14" s="242"/>
      <c r="CG14" s="242"/>
      <c r="CH14" s="242"/>
      <c r="CI14" s="242"/>
      <c r="CJ14" s="242"/>
      <c r="CK14" s="242"/>
      <c r="CL14" s="242"/>
      <c r="CM14" s="242"/>
      <c r="CN14" s="242"/>
      <c r="CO14" s="242"/>
      <c r="CP14" s="242"/>
      <c r="CQ14" s="242"/>
      <c r="CR14" s="243"/>
      <c r="CS14" s="242"/>
      <c r="CT14" s="242"/>
      <c r="CU14" s="242"/>
      <c r="CV14" s="242"/>
      <c r="CW14" s="242"/>
      <c r="CX14" s="243"/>
      <c r="CY14" s="242"/>
      <c r="CZ14" s="242"/>
      <c r="DA14" s="242"/>
      <c r="DB14" s="242"/>
      <c r="DC14" s="242"/>
      <c r="DD14" s="242"/>
      <c r="DE14" s="242"/>
      <c r="DF14" s="242"/>
      <c r="DG14" s="242"/>
      <c r="DH14" s="242"/>
      <c r="DI14" s="242"/>
      <c r="DJ14" s="242"/>
      <c r="DK14" s="242"/>
      <c r="DL14" s="242"/>
      <c r="DM14" s="242"/>
      <c r="DN14" s="242"/>
      <c r="DO14" s="242"/>
      <c r="DP14" s="242"/>
      <c r="DQ14" s="242"/>
      <c r="DR14" s="242"/>
      <c r="DS14" s="242"/>
      <c r="DT14" s="242"/>
      <c r="DU14" s="242"/>
      <c r="DV14" s="242"/>
      <c r="DW14" s="242"/>
      <c r="DX14" s="242"/>
      <c r="DY14" s="242"/>
      <c r="DZ14" s="242"/>
      <c r="EA14" s="242"/>
      <c r="EB14" s="242"/>
      <c r="EC14" s="242"/>
      <c r="ED14" s="242"/>
      <c r="EE14" s="242"/>
      <c r="EF14" s="242"/>
      <c r="EG14" s="242"/>
      <c r="EH14" s="242"/>
      <c r="EI14" s="242"/>
      <c r="EJ14" s="242"/>
      <c r="EK14" s="242"/>
      <c r="EL14" s="242"/>
      <c r="EM14" s="242"/>
      <c r="EN14" s="242"/>
      <c r="EO14" s="242"/>
      <c r="EP14" s="242"/>
      <c r="EQ14" s="242"/>
      <c r="ER14" s="242"/>
      <c r="ES14" s="242"/>
      <c r="ET14" s="242"/>
      <c r="EU14" s="242"/>
      <c r="EV14" s="242"/>
      <c r="EW14" s="242"/>
      <c r="EX14" s="242"/>
      <c r="EY14" s="242"/>
      <c r="EZ14" s="242"/>
      <c r="FA14" s="242"/>
      <c r="FB14" s="242"/>
      <c r="FC14" s="242"/>
      <c r="FD14" s="242"/>
      <c r="FE14" s="242"/>
      <c r="FF14" s="242"/>
      <c r="FG14" s="242"/>
      <c r="FH14" s="242"/>
      <c r="FI14" s="242"/>
      <c r="FJ14" s="242"/>
      <c r="FK14" s="242"/>
      <c r="FL14" s="242"/>
      <c r="FM14" s="242"/>
      <c r="FN14" s="242"/>
      <c r="FO14" s="242"/>
      <c r="FP14" s="242"/>
      <c r="FQ14" s="243"/>
      <c r="FR14" s="243"/>
      <c r="FS14" s="242"/>
      <c r="FT14" s="242"/>
      <c r="FU14" s="242"/>
      <c r="FV14" s="242"/>
      <c r="FW14" s="242"/>
      <c r="FX14" s="242"/>
      <c r="FY14" s="242"/>
      <c r="FZ14" s="242"/>
      <c r="GA14" s="242"/>
      <c r="GB14" s="242"/>
      <c r="GC14" s="242"/>
      <c r="GD14" s="242"/>
      <c r="GE14" s="242"/>
      <c r="GF14" s="242"/>
      <c r="GG14" s="242"/>
      <c r="GH14" s="242"/>
      <c r="GI14" s="242"/>
      <c r="GJ14" s="242"/>
      <c r="GK14" s="242"/>
      <c r="GL14" s="242"/>
      <c r="GM14" s="242"/>
      <c r="GN14" s="242"/>
      <c r="GO14" s="242"/>
      <c r="GP14" s="242"/>
      <c r="GQ14" s="242"/>
      <c r="GR14" s="242"/>
      <c r="GS14" s="242"/>
      <c r="GT14" s="242"/>
      <c r="GU14" s="242"/>
      <c r="GV14" s="242"/>
      <c r="GW14" s="243"/>
      <c r="GX14" s="242"/>
      <c r="GY14" s="242"/>
      <c r="GZ14" s="242"/>
      <c r="HA14" s="242"/>
      <c r="HB14" s="242"/>
      <c r="HC14" s="242"/>
      <c r="HD14" s="242"/>
      <c r="HE14" s="242"/>
      <c r="HF14" s="242"/>
      <c r="HG14" s="242"/>
      <c r="HH14" s="242"/>
      <c r="HI14" s="242"/>
      <c r="HJ14" s="242"/>
      <c r="HK14" s="242"/>
      <c r="HL14" s="242"/>
      <c r="HM14" s="242"/>
      <c r="HN14" s="242"/>
      <c r="HO14" s="242"/>
      <c r="HP14" s="242"/>
      <c r="HQ14" s="242"/>
      <c r="HR14" s="242"/>
      <c r="HS14" s="242"/>
      <c r="HT14" s="242"/>
      <c r="HU14" s="242"/>
      <c r="HV14" s="242"/>
      <c r="HW14" s="242"/>
      <c r="HX14" s="242"/>
      <c r="HY14" s="242"/>
      <c r="HZ14" s="242"/>
      <c r="IA14" s="242"/>
      <c r="IB14" s="242"/>
      <c r="IC14" s="242"/>
      <c r="ID14" s="242"/>
      <c r="IE14" s="242"/>
      <c r="IF14" s="242"/>
      <c r="IG14" s="242"/>
      <c r="IH14" s="242"/>
      <c r="II14" s="242"/>
      <c r="IJ14" s="242"/>
      <c r="IK14" s="242"/>
      <c r="IL14" s="242"/>
      <c r="IM14" s="242"/>
      <c r="IN14" s="242"/>
      <c r="IO14" s="242"/>
      <c r="IP14" s="242"/>
      <c r="IQ14" s="242"/>
      <c r="IR14" s="242"/>
      <c r="IS14" s="242"/>
      <c r="IT14" s="242"/>
      <c r="IU14" s="242"/>
      <c r="IV14" s="243"/>
      <c r="IW14" s="242"/>
      <c r="IX14" s="242"/>
      <c r="IY14" s="242"/>
      <c r="IZ14" s="242"/>
      <c r="JA14" s="242"/>
      <c r="JB14" s="242"/>
      <c r="JC14" s="242"/>
      <c r="JD14" s="242"/>
      <c r="JE14" s="242"/>
      <c r="JF14" s="242"/>
      <c r="JG14" s="242"/>
      <c r="JH14" s="242"/>
      <c r="JI14" s="242"/>
      <c r="JJ14" s="242"/>
      <c r="JK14" s="242"/>
      <c r="JL14" s="242"/>
      <c r="JM14" s="242"/>
      <c r="JN14" s="242"/>
      <c r="JO14" s="242"/>
      <c r="JP14" s="243"/>
      <c r="JQ14" s="242"/>
      <c r="JR14" s="242"/>
      <c r="JS14" s="242"/>
      <c r="JT14" s="243"/>
      <c r="JU14" s="243"/>
      <c r="JV14" s="242"/>
      <c r="JW14" s="242"/>
      <c r="JX14" s="242"/>
      <c r="JY14" s="242"/>
      <c r="JZ14" s="242"/>
      <c r="KA14" s="242"/>
      <c r="KB14" s="243"/>
      <c r="KC14" s="242"/>
      <c r="KD14" s="242"/>
      <c r="KE14" s="242"/>
      <c r="KF14" s="242"/>
      <c r="KG14" s="242"/>
      <c r="KH14" s="242"/>
      <c r="KI14" s="242"/>
      <c r="KJ14" s="242"/>
      <c r="KK14" s="242"/>
      <c r="KL14" s="242"/>
      <c r="KM14" s="242"/>
      <c r="KN14" s="242"/>
      <c r="KO14" s="242"/>
      <c r="KP14" s="242"/>
      <c r="KQ14" s="242"/>
      <c r="KR14" s="242"/>
      <c r="KS14" s="242"/>
      <c r="KT14" s="242"/>
      <c r="KU14" s="242"/>
      <c r="KV14" s="243"/>
      <c r="KW14" s="242"/>
      <c r="KX14" s="242"/>
      <c r="KY14" s="242"/>
      <c r="KZ14" s="242"/>
      <c r="LA14" s="242"/>
      <c r="LB14" s="242"/>
      <c r="LC14" s="242"/>
      <c r="LD14" s="242"/>
      <c r="LE14" s="242"/>
      <c r="LF14" s="242"/>
      <c r="LG14" s="242"/>
      <c r="LH14" s="242"/>
      <c r="LI14" s="242"/>
      <c r="LJ14" s="242"/>
      <c r="LK14" s="242"/>
      <c r="LL14" s="242"/>
      <c r="LM14" s="242"/>
      <c r="LN14" s="242"/>
      <c r="LO14" s="242"/>
      <c r="LP14" s="242"/>
      <c r="LQ14" s="242"/>
      <c r="LR14" s="242"/>
      <c r="LS14" s="242"/>
      <c r="LT14" s="242"/>
      <c r="LU14" s="242"/>
      <c r="LV14" s="242"/>
      <c r="LW14" s="242"/>
      <c r="LX14" s="242"/>
      <c r="LY14" s="242"/>
      <c r="LZ14" s="242"/>
      <c r="MA14" s="242"/>
      <c r="MB14" s="242"/>
      <c r="MC14" s="242"/>
      <c r="MD14" s="243"/>
      <c r="ME14" s="242"/>
      <c r="MF14" s="242"/>
      <c r="MG14" s="242"/>
      <c r="MH14" s="242"/>
      <c r="MI14" s="242"/>
      <c r="MJ14" s="242"/>
      <c r="MK14" s="242"/>
      <c r="ML14" s="242"/>
      <c r="MM14" s="242"/>
      <c r="MN14" s="242"/>
      <c r="MO14" s="242"/>
      <c r="MP14" s="242"/>
      <c r="MQ14" s="242"/>
      <c r="MR14" s="242"/>
      <c r="MS14" s="242"/>
      <c r="MT14" s="242"/>
      <c r="MU14" s="242"/>
      <c r="MV14" s="242"/>
      <c r="MW14" s="242"/>
      <c r="MX14" s="243"/>
      <c r="MY14" s="242"/>
      <c r="MZ14" s="242"/>
      <c r="NA14" s="242"/>
      <c r="NB14" s="242"/>
      <c r="NC14" s="242"/>
      <c r="ND14" s="242"/>
      <c r="NE14" s="242"/>
      <c r="NF14" s="242"/>
      <c r="NG14" s="242"/>
      <c r="NH14" s="242"/>
      <c r="NI14" s="242"/>
      <c r="NJ14" s="242"/>
      <c r="NK14" s="242"/>
      <c r="NL14" s="242"/>
      <c r="NM14" s="242"/>
      <c r="NN14" s="242"/>
      <c r="NO14" s="242"/>
      <c r="NP14" s="242"/>
      <c r="NQ14" s="242"/>
      <c r="NR14" s="242"/>
      <c r="NS14" s="242"/>
      <c r="NT14" s="242"/>
      <c r="NU14" s="242"/>
      <c r="NV14" s="242"/>
      <c r="NW14" s="242"/>
      <c r="NX14" s="242"/>
      <c r="NY14" s="242"/>
      <c r="NZ14" s="242"/>
      <c r="OA14" s="242"/>
      <c r="OB14" s="242"/>
      <c r="OC14" s="242"/>
      <c r="OD14" s="243"/>
      <c r="OE14" s="243"/>
      <c r="OF14" s="242"/>
      <c r="OG14" s="242"/>
      <c r="OH14" s="242"/>
      <c r="OI14" s="242"/>
      <c r="OJ14" s="242"/>
      <c r="OK14" s="242"/>
      <c r="OL14" s="242"/>
      <c r="OM14" s="242"/>
      <c r="ON14" s="242"/>
      <c r="OO14" s="242"/>
      <c r="OP14" s="242"/>
      <c r="OQ14" s="242"/>
      <c r="OR14" s="242"/>
      <c r="OS14" s="243"/>
      <c r="OT14" s="242"/>
      <c r="OU14" s="242"/>
      <c r="OV14" s="242"/>
      <c r="OW14" s="242"/>
      <c r="OX14" s="242"/>
      <c r="OY14" s="243"/>
      <c r="OZ14" s="242"/>
      <c r="PA14" s="242"/>
      <c r="PB14" s="242"/>
      <c r="PC14" s="242"/>
      <c r="PD14" s="242"/>
      <c r="PE14" s="242"/>
      <c r="PF14" s="242"/>
      <c r="PG14" s="242"/>
      <c r="PH14" s="242"/>
      <c r="PI14" s="242"/>
      <c r="PJ14" s="242"/>
      <c r="PK14" s="242"/>
      <c r="PL14" s="242"/>
      <c r="PM14" s="242"/>
      <c r="PN14" s="242"/>
      <c r="PO14" s="242"/>
      <c r="PP14" s="242"/>
      <c r="PQ14" s="242"/>
      <c r="PR14" s="242"/>
      <c r="PS14" s="242"/>
      <c r="PT14" s="242"/>
      <c r="PU14" s="242"/>
      <c r="PV14" s="242"/>
      <c r="PW14" s="242"/>
      <c r="PX14" s="242"/>
      <c r="PY14" s="242"/>
      <c r="PZ14" s="242"/>
      <c r="QA14" s="242"/>
      <c r="QB14" s="242"/>
      <c r="QC14" s="242"/>
      <c r="QD14" s="242"/>
      <c r="QE14" s="242"/>
      <c r="QF14" s="242"/>
      <c r="QG14" s="242"/>
      <c r="QH14" s="242"/>
      <c r="QI14" s="244"/>
    </row>
    <row r="15" spans="1:451" ht="18" customHeight="1" outlineLevel="1" x14ac:dyDescent="0.2">
      <c r="A15" s="247" t="s">
        <v>298</v>
      </c>
      <c r="B15" s="245"/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2"/>
      <c r="Z15" s="242"/>
      <c r="AA15" s="242"/>
      <c r="AB15" s="242"/>
      <c r="AC15" s="243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  <c r="AP15" s="242"/>
      <c r="AQ15" s="242"/>
      <c r="AR15" s="243"/>
      <c r="AS15" s="242"/>
      <c r="AT15" s="242"/>
      <c r="AU15" s="242"/>
      <c r="AV15" s="242"/>
      <c r="AW15" s="242"/>
      <c r="AX15" s="242"/>
      <c r="AY15" s="242"/>
      <c r="AZ15" s="242"/>
      <c r="BA15" s="242"/>
      <c r="BB15" s="242"/>
      <c r="BC15" s="242"/>
      <c r="BD15" s="242"/>
      <c r="BE15" s="242"/>
      <c r="BF15" s="242"/>
      <c r="BG15" s="242"/>
      <c r="BH15" s="242"/>
      <c r="BI15" s="242"/>
      <c r="BJ15" s="242"/>
      <c r="BK15" s="242"/>
      <c r="BL15" s="242"/>
      <c r="BM15" s="242"/>
      <c r="BN15" s="242"/>
      <c r="BO15" s="242"/>
      <c r="BP15" s="242"/>
      <c r="BQ15" s="242"/>
      <c r="BR15" s="242"/>
      <c r="BS15" s="242"/>
      <c r="BT15" s="242"/>
      <c r="BU15" s="242"/>
      <c r="BV15" s="242"/>
      <c r="BW15" s="242"/>
      <c r="BX15" s="242"/>
      <c r="BY15" s="242"/>
      <c r="BZ15" s="242"/>
      <c r="CA15" s="242"/>
      <c r="CB15" s="242"/>
      <c r="CC15" s="243"/>
      <c r="CD15" s="243"/>
      <c r="CE15" s="242"/>
      <c r="CF15" s="242"/>
      <c r="CG15" s="242"/>
      <c r="CH15" s="242"/>
      <c r="CI15" s="242"/>
      <c r="CJ15" s="242"/>
      <c r="CK15" s="242"/>
      <c r="CL15" s="242"/>
      <c r="CM15" s="242"/>
      <c r="CN15" s="242"/>
      <c r="CO15" s="242"/>
      <c r="CP15" s="242"/>
      <c r="CQ15" s="242"/>
      <c r="CR15" s="243"/>
      <c r="CS15" s="242"/>
      <c r="CT15" s="242"/>
      <c r="CU15" s="242"/>
      <c r="CV15" s="242"/>
      <c r="CW15" s="242"/>
      <c r="CX15" s="243"/>
      <c r="CY15" s="242"/>
      <c r="CZ15" s="242"/>
      <c r="DA15" s="242"/>
      <c r="DB15" s="242"/>
      <c r="DC15" s="242"/>
      <c r="DD15" s="242"/>
      <c r="DE15" s="242"/>
      <c r="DF15" s="242"/>
      <c r="DG15" s="242"/>
      <c r="DH15" s="242"/>
      <c r="DI15" s="242"/>
      <c r="DJ15" s="242"/>
      <c r="DK15" s="242"/>
      <c r="DL15" s="242"/>
      <c r="DM15" s="242"/>
      <c r="DN15" s="242"/>
      <c r="DO15" s="242"/>
      <c r="DP15" s="242"/>
      <c r="DQ15" s="242"/>
      <c r="DR15" s="242"/>
      <c r="DS15" s="242"/>
      <c r="DT15" s="242"/>
      <c r="DU15" s="242"/>
      <c r="DV15" s="242"/>
      <c r="DW15" s="242"/>
      <c r="DX15" s="242"/>
      <c r="DY15" s="242"/>
      <c r="DZ15" s="242"/>
      <c r="EA15" s="242"/>
      <c r="EB15" s="242"/>
      <c r="EC15" s="242"/>
      <c r="ED15" s="242"/>
      <c r="EE15" s="242"/>
      <c r="EF15" s="242"/>
      <c r="EG15" s="242"/>
      <c r="EH15" s="242"/>
      <c r="EI15" s="242"/>
      <c r="EJ15" s="242"/>
      <c r="EK15" s="242"/>
      <c r="EL15" s="242"/>
      <c r="EM15" s="242"/>
      <c r="EN15" s="242"/>
      <c r="EO15" s="242"/>
      <c r="EP15" s="242"/>
      <c r="EQ15" s="242"/>
      <c r="ER15" s="242"/>
      <c r="ES15" s="242"/>
      <c r="ET15" s="242"/>
      <c r="EU15" s="242"/>
      <c r="EV15" s="242"/>
      <c r="EW15" s="242"/>
      <c r="EX15" s="242"/>
      <c r="EY15" s="242"/>
      <c r="EZ15" s="242"/>
      <c r="FA15" s="242"/>
      <c r="FB15" s="242"/>
      <c r="FC15" s="242"/>
      <c r="FD15" s="242"/>
      <c r="FE15" s="242"/>
      <c r="FF15" s="242"/>
      <c r="FG15" s="242"/>
      <c r="FH15" s="242"/>
      <c r="FI15" s="242"/>
      <c r="FJ15" s="242"/>
      <c r="FK15" s="242"/>
      <c r="FL15" s="242"/>
      <c r="FM15" s="242"/>
      <c r="FN15" s="242"/>
      <c r="FO15" s="242"/>
      <c r="FP15" s="242"/>
      <c r="FQ15" s="243"/>
      <c r="FR15" s="243"/>
      <c r="FS15" s="242"/>
      <c r="FT15" s="242"/>
      <c r="FU15" s="242"/>
      <c r="FV15" s="242"/>
      <c r="FW15" s="242"/>
      <c r="FX15" s="242"/>
      <c r="FY15" s="242"/>
      <c r="FZ15" s="242"/>
      <c r="GA15" s="242"/>
      <c r="GB15" s="242"/>
      <c r="GC15" s="242"/>
      <c r="GD15" s="242"/>
      <c r="GE15" s="242"/>
      <c r="GF15" s="242"/>
      <c r="GG15" s="242"/>
      <c r="GH15" s="242"/>
      <c r="GI15" s="242"/>
      <c r="GJ15" s="242"/>
      <c r="GK15" s="242"/>
      <c r="GL15" s="242"/>
      <c r="GM15" s="242"/>
      <c r="GN15" s="242"/>
      <c r="GO15" s="242"/>
      <c r="GP15" s="242"/>
      <c r="GQ15" s="242"/>
      <c r="GR15" s="242"/>
      <c r="GS15" s="242"/>
      <c r="GT15" s="242"/>
      <c r="GU15" s="242"/>
      <c r="GV15" s="242"/>
      <c r="GW15" s="243"/>
      <c r="GX15" s="242"/>
      <c r="GY15" s="242"/>
      <c r="GZ15" s="242"/>
      <c r="HA15" s="242"/>
      <c r="HB15" s="242"/>
      <c r="HC15" s="242"/>
      <c r="HD15" s="242"/>
      <c r="HE15" s="242"/>
      <c r="HF15" s="242"/>
      <c r="HG15" s="242"/>
      <c r="HH15" s="242"/>
      <c r="HI15" s="242"/>
      <c r="HJ15" s="242"/>
      <c r="HK15" s="242"/>
      <c r="HL15" s="242"/>
      <c r="HM15" s="242"/>
      <c r="HN15" s="242"/>
      <c r="HO15" s="242"/>
      <c r="HP15" s="242"/>
      <c r="HQ15" s="242"/>
      <c r="HR15" s="242"/>
      <c r="HS15" s="242"/>
      <c r="HT15" s="242"/>
      <c r="HU15" s="242"/>
      <c r="HV15" s="242"/>
      <c r="HW15" s="242"/>
      <c r="HX15" s="242"/>
      <c r="HY15" s="242"/>
      <c r="HZ15" s="242"/>
      <c r="IA15" s="242"/>
      <c r="IB15" s="242"/>
      <c r="IC15" s="242"/>
      <c r="ID15" s="242"/>
      <c r="IE15" s="242"/>
      <c r="IF15" s="242"/>
      <c r="IG15" s="242"/>
      <c r="IH15" s="242"/>
      <c r="II15" s="242"/>
      <c r="IJ15" s="242"/>
      <c r="IK15" s="242"/>
      <c r="IL15" s="242"/>
      <c r="IM15" s="242"/>
      <c r="IN15" s="242"/>
      <c r="IO15" s="242"/>
      <c r="IP15" s="242"/>
      <c r="IQ15" s="242"/>
      <c r="IR15" s="242"/>
      <c r="IS15" s="242"/>
      <c r="IT15" s="242"/>
      <c r="IU15" s="242"/>
      <c r="IV15" s="243"/>
      <c r="IW15" s="242"/>
      <c r="IX15" s="242"/>
      <c r="IY15" s="242"/>
      <c r="IZ15" s="242"/>
      <c r="JA15" s="242"/>
      <c r="JB15" s="242"/>
      <c r="JC15" s="242"/>
      <c r="JD15" s="242"/>
      <c r="JE15" s="242"/>
      <c r="JF15" s="242"/>
      <c r="JG15" s="242"/>
      <c r="JH15" s="242"/>
      <c r="JI15" s="242"/>
      <c r="JJ15" s="242"/>
      <c r="JK15" s="242"/>
      <c r="JL15" s="242"/>
      <c r="JM15" s="242"/>
      <c r="JN15" s="242"/>
      <c r="JO15" s="242"/>
      <c r="JP15" s="243"/>
      <c r="JQ15" s="242"/>
      <c r="JR15" s="242"/>
      <c r="JS15" s="242"/>
      <c r="JT15" s="243"/>
      <c r="JU15" s="243"/>
      <c r="JV15" s="242"/>
      <c r="JW15" s="242"/>
      <c r="JX15" s="242"/>
      <c r="JY15" s="242"/>
      <c r="JZ15" s="242"/>
      <c r="KA15" s="242"/>
      <c r="KB15" s="243"/>
      <c r="KC15" s="242"/>
      <c r="KD15" s="242"/>
      <c r="KE15" s="242"/>
      <c r="KF15" s="242"/>
      <c r="KG15" s="242"/>
      <c r="KH15" s="242"/>
      <c r="KI15" s="242"/>
      <c r="KJ15" s="242"/>
      <c r="KK15" s="242"/>
      <c r="KL15" s="242"/>
      <c r="KM15" s="242"/>
      <c r="KN15" s="242"/>
      <c r="KO15" s="242"/>
      <c r="KP15" s="242"/>
      <c r="KQ15" s="242"/>
      <c r="KR15" s="242"/>
      <c r="KS15" s="242"/>
      <c r="KT15" s="242"/>
      <c r="KU15" s="242"/>
      <c r="KV15" s="243"/>
      <c r="KW15" s="242"/>
      <c r="KX15" s="242"/>
      <c r="KY15" s="242"/>
      <c r="KZ15" s="242"/>
      <c r="LA15" s="242"/>
      <c r="LB15" s="242"/>
      <c r="LC15" s="242"/>
      <c r="LD15" s="242"/>
      <c r="LE15" s="242"/>
      <c r="LF15" s="242"/>
      <c r="LG15" s="242"/>
      <c r="LH15" s="242"/>
      <c r="LI15" s="242"/>
      <c r="LJ15" s="242"/>
      <c r="LK15" s="242"/>
      <c r="LL15" s="242"/>
      <c r="LM15" s="242"/>
      <c r="LN15" s="242"/>
      <c r="LO15" s="242"/>
      <c r="LP15" s="242"/>
      <c r="LQ15" s="242"/>
      <c r="LR15" s="242"/>
      <c r="LS15" s="242"/>
      <c r="LT15" s="242"/>
      <c r="LU15" s="242"/>
      <c r="LV15" s="242"/>
      <c r="LW15" s="242"/>
      <c r="LX15" s="242"/>
      <c r="LY15" s="242"/>
      <c r="LZ15" s="242"/>
      <c r="MA15" s="242"/>
      <c r="MB15" s="242"/>
      <c r="MC15" s="242"/>
      <c r="MD15" s="243"/>
      <c r="ME15" s="242"/>
      <c r="MF15" s="242"/>
      <c r="MG15" s="242"/>
      <c r="MH15" s="242"/>
      <c r="MI15" s="242"/>
      <c r="MJ15" s="242"/>
      <c r="MK15" s="242"/>
      <c r="ML15" s="242"/>
      <c r="MM15" s="242"/>
      <c r="MN15" s="242"/>
      <c r="MO15" s="242"/>
      <c r="MP15" s="242"/>
      <c r="MQ15" s="242"/>
      <c r="MR15" s="242"/>
      <c r="MS15" s="242"/>
      <c r="MT15" s="242"/>
      <c r="MU15" s="242"/>
      <c r="MV15" s="242"/>
      <c r="MW15" s="242"/>
      <c r="MX15" s="243"/>
      <c r="MY15" s="242"/>
      <c r="MZ15" s="242"/>
      <c r="NA15" s="242"/>
      <c r="NB15" s="242"/>
      <c r="NC15" s="242"/>
      <c r="ND15" s="242"/>
      <c r="NE15" s="242"/>
      <c r="NF15" s="242"/>
      <c r="NG15" s="242"/>
      <c r="NH15" s="242"/>
      <c r="NI15" s="242"/>
      <c r="NJ15" s="242"/>
      <c r="NK15" s="242"/>
      <c r="NL15" s="242"/>
      <c r="NM15" s="242"/>
      <c r="NN15" s="242"/>
      <c r="NO15" s="242"/>
      <c r="NP15" s="242"/>
      <c r="NQ15" s="242"/>
      <c r="NR15" s="242"/>
      <c r="NS15" s="242"/>
      <c r="NT15" s="242"/>
      <c r="NU15" s="242"/>
      <c r="NV15" s="242"/>
      <c r="NW15" s="242"/>
      <c r="NX15" s="242"/>
      <c r="NY15" s="242"/>
      <c r="NZ15" s="242"/>
      <c r="OA15" s="242"/>
      <c r="OB15" s="242"/>
      <c r="OC15" s="242"/>
      <c r="OD15" s="243"/>
      <c r="OE15" s="243"/>
      <c r="OF15" s="242"/>
      <c r="OG15" s="242"/>
      <c r="OH15" s="242"/>
      <c r="OI15" s="242"/>
      <c r="OJ15" s="242"/>
      <c r="OK15" s="242"/>
      <c r="OL15" s="242"/>
      <c r="OM15" s="242"/>
      <c r="ON15" s="242"/>
      <c r="OO15" s="242"/>
      <c r="OP15" s="242"/>
      <c r="OQ15" s="242"/>
      <c r="OR15" s="242"/>
      <c r="OS15" s="243"/>
      <c r="OT15" s="242"/>
      <c r="OU15" s="242"/>
      <c r="OV15" s="242"/>
      <c r="OW15" s="242"/>
      <c r="OX15" s="242"/>
      <c r="OY15" s="243"/>
      <c r="OZ15" s="242"/>
      <c r="PA15" s="242"/>
      <c r="PB15" s="242"/>
      <c r="PC15" s="242"/>
      <c r="PD15" s="242"/>
      <c r="PE15" s="242"/>
      <c r="PF15" s="242"/>
      <c r="PG15" s="242"/>
      <c r="PH15" s="242"/>
      <c r="PI15" s="242"/>
      <c r="PJ15" s="242"/>
      <c r="PK15" s="242"/>
      <c r="PL15" s="242"/>
      <c r="PM15" s="242"/>
      <c r="PN15" s="242"/>
      <c r="PO15" s="242"/>
      <c r="PP15" s="242"/>
      <c r="PQ15" s="242"/>
      <c r="PR15" s="242"/>
      <c r="PS15" s="242"/>
      <c r="PT15" s="242"/>
      <c r="PU15" s="242"/>
      <c r="PV15" s="242"/>
      <c r="PW15" s="242"/>
      <c r="PX15" s="242"/>
      <c r="PY15" s="242"/>
      <c r="PZ15" s="242"/>
      <c r="QA15" s="242"/>
      <c r="QB15" s="242"/>
      <c r="QC15" s="242"/>
      <c r="QD15" s="242"/>
      <c r="QE15" s="242"/>
      <c r="QF15" s="242"/>
      <c r="QG15" s="242"/>
      <c r="QH15" s="242"/>
      <c r="QI15" s="244"/>
    </row>
    <row r="16" spans="1:451" ht="18" customHeight="1" outlineLevel="1" x14ac:dyDescent="0.2">
      <c r="A16" s="247" t="s">
        <v>299</v>
      </c>
      <c r="B16" s="245"/>
      <c r="C16" s="242"/>
      <c r="D16" s="242"/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2"/>
      <c r="Q16" s="242"/>
      <c r="R16" s="242"/>
      <c r="S16" s="242"/>
      <c r="T16" s="241"/>
      <c r="U16" s="241"/>
      <c r="V16" s="241"/>
      <c r="W16" s="241"/>
      <c r="X16" s="241"/>
      <c r="Y16" s="242"/>
      <c r="Z16" s="242"/>
      <c r="AA16" s="242"/>
      <c r="AB16" s="242"/>
      <c r="AC16" s="243"/>
      <c r="AD16" s="242"/>
      <c r="AE16" s="242"/>
      <c r="AF16" s="242"/>
      <c r="AG16" s="242"/>
      <c r="AH16" s="242"/>
      <c r="AI16" s="242"/>
      <c r="AJ16" s="242"/>
      <c r="AK16" s="242"/>
      <c r="AL16" s="242"/>
      <c r="AM16" s="242"/>
      <c r="AN16" s="242"/>
      <c r="AO16" s="242"/>
      <c r="AP16" s="242"/>
      <c r="AQ16" s="242"/>
      <c r="AR16" s="243"/>
      <c r="AS16" s="242"/>
      <c r="AT16" s="242"/>
      <c r="AU16" s="242"/>
      <c r="AV16" s="242"/>
      <c r="AW16" s="242"/>
      <c r="AX16" s="242"/>
      <c r="AY16" s="242"/>
      <c r="AZ16" s="242"/>
      <c r="BA16" s="242"/>
      <c r="BB16" s="242"/>
      <c r="BC16" s="242"/>
      <c r="BD16" s="242"/>
      <c r="BE16" s="242"/>
      <c r="BF16" s="242"/>
      <c r="BG16" s="242"/>
      <c r="BH16" s="242"/>
      <c r="BI16" s="242"/>
      <c r="BJ16" s="242"/>
      <c r="BK16" s="242"/>
      <c r="BL16" s="242"/>
      <c r="BM16" s="242"/>
      <c r="BN16" s="242"/>
      <c r="BO16" s="242"/>
      <c r="BP16" s="242"/>
      <c r="BQ16" s="242"/>
      <c r="BR16" s="242"/>
      <c r="BS16" s="242"/>
      <c r="BT16" s="242"/>
      <c r="BU16" s="242"/>
      <c r="BV16" s="242"/>
      <c r="BW16" s="242"/>
      <c r="BX16" s="242"/>
      <c r="BY16" s="242"/>
      <c r="BZ16" s="242"/>
      <c r="CA16" s="242"/>
      <c r="CB16" s="242"/>
      <c r="CC16" s="243"/>
      <c r="CD16" s="243"/>
      <c r="CE16" s="242"/>
      <c r="CF16" s="242"/>
      <c r="CG16" s="242"/>
      <c r="CH16" s="242"/>
      <c r="CI16" s="242"/>
      <c r="CJ16" s="242"/>
      <c r="CK16" s="242"/>
      <c r="CL16" s="242"/>
      <c r="CM16" s="242"/>
      <c r="CN16" s="242"/>
      <c r="CO16" s="242"/>
      <c r="CP16" s="242"/>
      <c r="CQ16" s="242"/>
      <c r="CR16" s="243"/>
      <c r="CS16" s="242"/>
      <c r="CT16" s="242"/>
      <c r="CU16" s="242"/>
      <c r="CV16" s="242"/>
      <c r="CW16" s="242"/>
      <c r="CX16" s="243"/>
      <c r="CY16" s="242"/>
      <c r="CZ16" s="242"/>
      <c r="DA16" s="242"/>
      <c r="DB16" s="242"/>
      <c r="DC16" s="242"/>
      <c r="DD16" s="242"/>
      <c r="DE16" s="242"/>
      <c r="DF16" s="242"/>
      <c r="DG16" s="242"/>
      <c r="DH16" s="242"/>
      <c r="DI16" s="242"/>
      <c r="DJ16" s="242"/>
      <c r="DK16" s="242"/>
      <c r="DL16" s="242"/>
      <c r="DM16" s="242"/>
      <c r="DN16" s="242"/>
      <c r="DO16" s="242"/>
      <c r="DP16" s="242"/>
      <c r="DQ16" s="242"/>
      <c r="DR16" s="242"/>
      <c r="DS16" s="242"/>
      <c r="DT16" s="242"/>
      <c r="DU16" s="242"/>
      <c r="DV16" s="242"/>
      <c r="DW16" s="242"/>
      <c r="DX16" s="242"/>
      <c r="DY16" s="242"/>
      <c r="DZ16" s="242"/>
      <c r="EA16" s="242"/>
      <c r="EB16" s="242"/>
      <c r="EC16" s="242"/>
      <c r="ED16" s="242"/>
      <c r="EE16" s="242"/>
      <c r="EF16" s="242"/>
      <c r="EG16" s="242"/>
      <c r="EH16" s="242"/>
      <c r="EI16" s="242"/>
      <c r="EJ16" s="242"/>
      <c r="EK16" s="242"/>
      <c r="EL16" s="242"/>
      <c r="EM16" s="242"/>
      <c r="EN16" s="242"/>
      <c r="EO16" s="242"/>
      <c r="EP16" s="242"/>
      <c r="EQ16" s="242"/>
      <c r="ER16" s="242"/>
      <c r="ES16" s="242"/>
      <c r="ET16" s="242"/>
      <c r="EU16" s="242"/>
      <c r="EV16" s="242"/>
      <c r="EW16" s="242"/>
      <c r="EX16" s="242"/>
      <c r="EY16" s="242"/>
      <c r="EZ16" s="242"/>
      <c r="FA16" s="242"/>
      <c r="FB16" s="242"/>
      <c r="FC16" s="242"/>
      <c r="FD16" s="242"/>
      <c r="FE16" s="242"/>
      <c r="FF16" s="242"/>
      <c r="FG16" s="242"/>
      <c r="FH16" s="242"/>
      <c r="FI16" s="242"/>
      <c r="FJ16" s="242"/>
      <c r="FK16" s="242"/>
      <c r="FL16" s="242"/>
      <c r="FM16" s="242"/>
      <c r="FN16" s="242"/>
      <c r="FO16" s="242"/>
      <c r="FP16" s="242"/>
      <c r="FQ16" s="243"/>
      <c r="FR16" s="243"/>
      <c r="FS16" s="242"/>
      <c r="FT16" s="242"/>
      <c r="FU16" s="242"/>
      <c r="FV16" s="242"/>
      <c r="FW16" s="242"/>
      <c r="FX16" s="242"/>
      <c r="FY16" s="242"/>
      <c r="FZ16" s="242"/>
      <c r="GA16" s="242"/>
      <c r="GB16" s="242"/>
      <c r="GC16" s="242"/>
      <c r="GD16" s="242"/>
      <c r="GE16" s="242"/>
      <c r="GF16" s="242"/>
      <c r="GG16" s="242"/>
      <c r="GH16" s="242"/>
      <c r="GI16" s="242"/>
      <c r="GJ16" s="242"/>
      <c r="GK16" s="242"/>
      <c r="GL16" s="242"/>
      <c r="GM16" s="242"/>
      <c r="GN16" s="242"/>
      <c r="GO16" s="242"/>
      <c r="GP16" s="242"/>
      <c r="GQ16" s="242"/>
      <c r="GR16" s="242"/>
      <c r="GS16" s="242"/>
      <c r="GT16" s="242"/>
      <c r="GU16" s="242"/>
      <c r="GV16" s="242"/>
      <c r="GW16" s="243"/>
      <c r="GX16" s="242"/>
      <c r="GY16" s="242"/>
      <c r="GZ16" s="242"/>
      <c r="HA16" s="242"/>
      <c r="HB16" s="242"/>
      <c r="HC16" s="242"/>
      <c r="HD16" s="242"/>
      <c r="HE16" s="242"/>
      <c r="HF16" s="242"/>
      <c r="HG16" s="242"/>
      <c r="HH16" s="242"/>
      <c r="HI16" s="242"/>
      <c r="HJ16" s="242"/>
      <c r="HK16" s="242"/>
      <c r="HL16" s="242"/>
      <c r="HM16" s="242"/>
      <c r="HN16" s="242"/>
      <c r="HO16" s="242"/>
      <c r="HP16" s="242"/>
      <c r="HQ16" s="242"/>
      <c r="HR16" s="242"/>
      <c r="HS16" s="242"/>
      <c r="HT16" s="242"/>
      <c r="HU16" s="242"/>
      <c r="HV16" s="242"/>
      <c r="HW16" s="242"/>
      <c r="HX16" s="242"/>
      <c r="HY16" s="242"/>
      <c r="HZ16" s="242"/>
      <c r="IA16" s="242"/>
      <c r="IB16" s="242"/>
      <c r="IC16" s="242"/>
      <c r="ID16" s="242"/>
      <c r="IE16" s="242"/>
      <c r="IF16" s="242"/>
      <c r="IG16" s="242"/>
      <c r="IH16" s="242"/>
      <c r="II16" s="242"/>
      <c r="IJ16" s="242"/>
      <c r="IK16" s="242"/>
      <c r="IL16" s="242"/>
      <c r="IM16" s="242"/>
      <c r="IN16" s="242"/>
      <c r="IO16" s="242"/>
      <c r="IP16" s="242"/>
      <c r="IQ16" s="242"/>
      <c r="IR16" s="242"/>
      <c r="IS16" s="242"/>
      <c r="IT16" s="242"/>
      <c r="IU16" s="242"/>
      <c r="IV16" s="243"/>
      <c r="IW16" s="242"/>
      <c r="IX16" s="242"/>
      <c r="IY16" s="242"/>
      <c r="IZ16" s="242"/>
      <c r="JA16" s="242"/>
      <c r="JB16" s="242"/>
      <c r="JC16" s="242"/>
      <c r="JD16" s="242"/>
      <c r="JE16" s="242"/>
      <c r="JF16" s="242"/>
      <c r="JG16" s="242"/>
      <c r="JH16" s="242"/>
      <c r="JI16" s="242"/>
      <c r="JJ16" s="242"/>
      <c r="JK16" s="242"/>
      <c r="JL16" s="242"/>
      <c r="JM16" s="242"/>
      <c r="JN16" s="242"/>
      <c r="JO16" s="242"/>
      <c r="JP16" s="243"/>
      <c r="JQ16" s="242"/>
      <c r="JR16" s="242"/>
      <c r="JS16" s="242"/>
      <c r="JT16" s="243"/>
      <c r="JU16" s="243"/>
      <c r="JV16" s="242"/>
      <c r="JW16" s="242"/>
      <c r="JX16" s="242"/>
      <c r="JY16" s="242"/>
      <c r="JZ16" s="242"/>
      <c r="KA16" s="242"/>
      <c r="KB16" s="243"/>
      <c r="KC16" s="242"/>
      <c r="KD16" s="242"/>
      <c r="KE16" s="242"/>
      <c r="KF16" s="242"/>
      <c r="KG16" s="242"/>
      <c r="KH16" s="242"/>
      <c r="KI16" s="242"/>
      <c r="KJ16" s="242"/>
      <c r="KK16" s="242"/>
      <c r="KL16" s="242"/>
      <c r="KM16" s="242"/>
      <c r="KN16" s="242"/>
      <c r="KO16" s="242"/>
      <c r="KP16" s="242"/>
      <c r="KQ16" s="242"/>
      <c r="KR16" s="242"/>
      <c r="KS16" s="242"/>
      <c r="KT16" s="242"/>
      <c r="KU16" s="242"/>
      <c r="KV16" s="243"/>
      <c r="KW16" s="242"/>
      <c r="KX16" s="242"/>
      <c r="KY16" s="242"/>
      <c r="KZ16" s="242"/>
      <c r="LA16" s="242"/>
      <c r="LB16" s="242"/>
      <c r="LC16" s="242"/>
      <c r="LD16" s="242"/>
      <c r="LE16" s="242"/>
      <c r="LF16" s="242"/>
      <c r="LG16" s="242"/>
      <c r="LH16" s="242"/>
      <c r="LI16" s="242"/>
      <c r="LJ16" s="242"/>
      <c r="LK16" s="242"/>
      <c r="LL16" s="242"/>
      <c r="LM16" s="242"/>
      <c r="LN16" s="242"/>
      <c r="LO16" s="242"/>
      <c r="LP16" s="242"/>
      <c r="LQ16" s="242"/>
      <c r="LR16" s="242"/>
      <c r="LS16" s="242"/>
      <c r="LT16" s="242"/>
      <c r="LU16" s="242"/>
      <c r="LV16" s="242"/>
      <c r="LW16" s="242"/>
      <c r="LX16" s="242"/>
      <c r="LY16" s="242"/>
      <c r="LZ16" s="242"/>
      <c r="MA16" s="242"/>
      <c r="MB16" s="242"/>
      <c r="MC16" s="242"/>
      <c r="MD16" s="243"/>
      <c r="ME16" s="242"/>
      <c r="MF16" s="242"/>
      <c r="MG16" s="242"/>
      <c r="MH16" s="242"/>
      <c r="MI16" s="242"/>
      <c r="MJ16" s="242"/>
      <c r="MK16" s="242"/>
      <c r="ML16" s="242"/>
      <c r="MM16" s="242"/>
      <c r="MN16" s="242"/>
      <c r="MO16" s="242"/>
      <c r="MP16" s="242"/>
      <c r="MQ16" s="242"/>
      <c r="MR16" s="242"/>
      <c r="MS16" s="242"/>
      <c r="MT16" s="242"/>
      <c r="MU16" s="242"/>
      <c r="MV16" s="242"/>
      <c r="MW16" s="242"/>
      <c r="MX16" s="243"/>
      <c r="MY16" s="242"/>
      <c r="MZ16" s="242"/>
      <c r="NA16" s="242"/>
      <c r="NB16" s="242"/>
      <c r="NC16" s="242"/>
      <c r="ND16" s="242"/>
      <c r="NE16" s="242"/>
      <c r="NF16" s="242"/>
      <c r="NG16" s="242"/>
      <c r="NH16" s="242"/>
      <c r="NI16" s="242"/>
      <c r="NJ16" s="242"/>
      <c r="NK16" s="242"/>
      <c r="NL16" s="242"/>
      <c r="NM16" s="242"/>
      <c r="NN16" s="242"/>
      <c r="NO16" s="242"/>
      <c r="NP16" s="242"/>
      <c r="NQ16" s="242"/>
      <c r="NR16" s="242"/>
      <c r="NS16" s="242"/>
      <c r="NT16" s="242"/>
      <c r="NU16" s="242"/>
      <c r="NV16" s="242"/>
      <c r="NW16" s="242"/>
      <c r="NX16" s="242"/>
      <c r="NY16" s="242"/>
      <c r="NZ16" s="242"/>
      <c r="OA16" s="242"/>
      <c r="OB16" s="242"/>
      <c r="OC16" s="242"/>
      <c r="OD16" s="243"/>
      <c r="OE16" s="243"/>
      <c r="OF16" s="242"/>
      <c r="OG16" s="242"/>
      <c r="OH16" s="242"/>
      <c r="OI16" s="242"/>
      <c r="OJ16" s="242"/>
      <c r="OK16" s="242"/>
      <c r="OL16" s="242"/>
      <c r="OM16" s="242"/>
      <c r="ON16" s="242"/>
      <c r="OO16" s="242"/>
      <c r="OP16" s="242"/>
      <c r="OQ16" s="242"/>
      <c r="OR16" s="242"/>
      <c r="OS16" s="243"/>
      <c r="OT16" s="242"/>
      <c r="OU16" s="242"/>
      <c r="OV16" s="242"/>
      <c r="OW16" s="242"/>
      <c r="OX16" s="242"/>
      <c r="OY16" s="243"/>
      <c r="OZ16" s="242"/>
      <c r="PA16" s="242"/>
      <c r="PB16" s="242"/>
      <c r="PC16" s="242"/>
      <c r="PD16" s="242"/>
      <c r="PE16" s="242"/>
      <c r="PF16" s="242"/>
      <c r="PG16" s="242"/>
      <c r="PH16" s="242"/>
      <c r="PI16" s="242"/>
      <c r="PJ16" s="242"/>
      <c r="PK16" s="242"/>
      <c r="PL16" s="242"/>
      <c r="PM16" s="242"/>
      <c r="PN16" s="242"/>
      <c r="PO16" s="242"/>
      <c r="PP16" s="242"/>
      <c r="PQ16" s="242"/>
      <c r="PR16" s="242"/>
      <c r="PS16" s="242"/>
      <c r="PT16" s="242"/>
      <c r="PU16" s="242"/>
      <c r="PV16" s="242"/>
      <c r="PW16" s="242"/>
      <c r="PX16" s="242"/>
      <c r="PY16" s="242"/>
      <c r="PZ16" s="242"/>
      <c r="QA16" s="242"/>
      <c r="QB16" s="242"/>
      <c r="QC16" s="242"/>
      <c r="QD16" s="242"/>
      <c r="QE16" s="242"/>
      <c r="QF16" s="242"/>
      <c r="QG16" s="242"/>
      <c r="QH16" s="242"/>
      <c r="QI16" s="244"/>
    </row>
    <row r="17" spans="1:451" ht="18" customHeight="1" outlineLevel="1" x14ac:dyDescent="0.2">
      <c r="A17" s="247" t="s">
        <v>300</v>
      </c>
      <c r="B17" s="245"/>
      <c r="C17" s="242"/>
      <c r="D17" s="242"/>
      <c r="E17" s="242"/>
      <c r="F17" s="242"/>
      <c r="G17" s="242"/>
      <c r="H17" s="242"/>
      <c r="I17" s="242"/>
      <c r="J17" s="242"/>
      <c r="K17" s="242"/>
      <c r="L17" s="242"/>
      <c r="M17" s="242"/>
      <c r="N17" s="242"/>
      <c r="O17" s="242"/>
      <c r="P17" s="242"/>
      <c r="Q17" s="242"/>
      <c r="R17" s="242"/>
      <c r="S17" s="242"/>
      <c r="T17" s="242"/>
      <c r="U17" s="242"/>
      <c r="V17" s="242"/>
      <c r="W17" s="242"/>
      <c r="X17" s="242"/>
      <c r="Y17" s="249"/>
      <c r="Z17" s="249"/>
      <c r="AA17" s="249"/>
      <c r="AB17" s="249"/>
      <c r="AC17" s="243"/>
      <c r="AD17" s="249"/>
      <c r="AE17" s="249"/>
      <c r="AF17" s="249"/>
      <c r="AG17" s="249"/>
      <c r="AH17" s="249"/>
      <c r="AI17" s="249"/>
      <c r="AJ17" s="249"/>
      <c r="AK17" s="249"/>
      <c r="AL17" s="249"/>
      <c r="AM17" s="242"/>
      <c r="AN17" s="242"/>
      <c r="AO17" s="242"/>
      <c r="AP17" s="242"/>
      <c r="AQ17" s="242"/>
      <c r="AR17" s="243"/>
      <c r="AS17" s="242"/>
      <c r="AT17" s="242"/>
      <c r="AU17" s="242"/>
      <c r="AV17" s="242"/>
      <c r="AW17" s="242"/>
      <c r="AX17" s="242"/>
      <c r="AY17" s="242"/>
      <c r="AZ17" s="242"/>
      <c r="BA17" s="242"/>
      <c r="BB17" s="242"/>
      <c r="BC17" s="242"/>
      <c r="BD17" s="242"/>
      <c r="BE17" s="242"/>
      <c r="BF17" s="242"/>
      <c r="BG17" s="242"/>
      <c r="BH17" s="242"/>
      <c r="BI17" s="242"/>
      <c r="BJ17" s="242"/>
      <c r="BK17" s="242"/>
      <c r="BL17" s="242"/>
      <c r="BM17" s="242"/>
      <c r="BN17" s="242"/>
      <c r="BO17" s="242"/>
      <c r="BP17" s="242"/>
      <c r="BQ17" s="242"/>
      <c r="BR17" s="242"/>
      <c r="BS17" s="242"/>
      <c r="BT17" s="242"/>
      <c r="BU17" s="242"/>
      <c r="BV17" s="242"/>
      <c r="BW17" s="242"/>
      <c r="BX17" s="242"/>
      <c r="BY17" s="242"/>
      <c r="BZ17" s="242"/>
      <c r="CA17" s="242"/>
      <c r="CB17" s="242"/>
      <c r="CC17" s="243"/>
      <c r="CD17" s="243"/>
      <c r="CE17" s="242"/>
      <c r="CF17" s="242"/>
      <c r="CG17" s="242"/>
      <c r="CH17" s="242"/>
      <c r="CI17" s="242"/>
      <c r="CJ17" s="242"/>
      <c r="CK17" s="242"/>
      <c r="CL17" s="242"/>
      <c r="CM17" s="242"/>
      <c r="CN17" s="242"/>
      <c r="CO17" s="242"/>
      <c r="CP17" s="242"/>
      <c r="CQ17" s="242"/>
      <c r="CR17" s="243"/>
      <c r="CS17" s="242"/>
      <c r="CT17" s="242"/>
      <c r="CU17" s="242"/>
      <c r="CV17" s="242"/>
      <c r="CW17" s="242"/>
      <c r="CX17" s="243"/>
      <c r="CY17" s="242"/>
      <c r="CZ17" s="242"/>
      <c r="DA17" s="242"/>
      <c r="DB17" s="242"/>
      <c r="DC17" s="242"/>
      <c r="DD17" s="242"/>
      <c r="DE17" s="242"/>
      <c r="DF17" s="242"/>
      <c r="DG17" s="242"/>
      <c r="DH17" s="242"/>
      <c r="DI17" s="242"/>
      <c r="DJ17" s="242"/>
      <c r="DK17" s="242"/>
      <c r="DL17" s="242"/>
      <c r="DM17" s="242"/>
      <c r="DN17" s="242"/>
      <c r="DO17" s="242"/>
      <c r="DP17" s="242"/>
      <c r="DQ17" s="242"/>
      <c r="DR17" s="242"/>
      <c r="DS17" s="242"/>
      <c r="DT17" s="242"/>
      <c r="DU17" s="242"/>
      <c r="DV17" s="242"/>
      <c r="DW17" s="242"/>
      <c r="DX17" s="242"/>
      <c r="DY17" s="242"/>
      <c r="DZ17" s="242"/>
      <c r="EA17" s="242"/>
      <c r="EB17" s="242"/>
      <c r="EC17" s="242"/>
      <c r="ED17" s="242"/>
      <c r="EE17" s="242"/>
      <c r="EF17" s="242"/>
      <c r="EG17" s="242"/>
      <c r="EH17" s="242"/>
      <c r="EI17" s="242"/>
      <c r="EJ17" s="242"/>
      <c r="EK17" s="242"/>
      <c r="EL17" s="242"/>
      <c r="EM17" s="242"/>
      <c r="EN17" s="242"/>
      <c r="EO17" s="242"/>
      <c r="EP17" s="242"/>
      <c r="EQ17" s="242"/>
      <c r="ER17" s="242"/>
      <c r="ES17" s="242"/>
      <c r="ET17" s="242"/>
      <c r="EU17" s="242"/>
      <c r="EV17" s="242"/>
      <c r="EW17" s="242"/>
      <c r="EX17" s="242"/>
      <c r="EY17" s="242"/>
      <c r="EZ17" s="242"/>
      <c r="FA17" s="242"/>
      <c r="FB17" s="242"/>
      <c r="FC17" s="242"/>
      <c r="FD17" s="242"/>
      <c r="FE17" s="242"/>
      <c r="FF17" s="242"/>
      <c r="FG17" s="242"/>
      <c r="FH17" s="242"/>
      <c r="FI17" s="242"/>
      <c r="FJ17" s="242"/>
      <c r="FK17" s="242"/>
      <c r="FL17" s="242"/>
      <c r="FM17" s="242"/>
      <c r="FN17" s="242"/>
      <c r="FO17" s="242"/>
      <c r="FP17" s="242"/>
      <c r="FQ17" s="243"/>
      <c r="FR17" s="243"/>
      <c r="FS17" s="242"/>
      <c r="FT17" s="242"/>
      <c r="FU17" s="242"/>
      <c r="FV17" s="242"/>
      <c r="FW17" s="242"/>
      <c r="FX17" s="242"/>
      <c r="FY17" s="242"/>
      <c r="FZ17" s="242"/>
      <c r="GA17" s="242"/>
      <c r="GB17" s="242"/>
      <c r="GC17" s="242"/>
      <c r="GD17" s="242"/>
      <c r="GE17" s="242"/>
      <c r="GF17" s="242"/>
      <c r="GG17" s="242"/>
      <c r="GH17" s="242"/>
      <c r="GI17" s="242"/>
      <c r="GJ17" s="242"/>
      <c r="GK17" s="242"/>
      <c r="GL17" s="242"/>
      <c r="GM17" s="242"/>
      <c r="GN17" s="242"/>
      <c r="GO17" s="242"/>
      <c r="GP17" s="242"/>
      <c r="GQ17" s="242"/>
      <c r="GR17" s="242"/>
      <c r="GS17" s="242"/>
      <c r="GT17" s="242"/>
      <c r="GU17" s="242"/>
      <c r="GV17" s="242"/>
      <c r="GW17" s="243"/>
      <c r="GX17" s="242"/>
      <c r="GY17" s="242"/>
      <c r="GZ17" s="242"/>
      <c r="HA17" s="242"/>
      <c r="HB17" s="242"/>
      <c r="HC17" s="242"/>
      <c r="HD17" s="242"/>
      <c r="HE17" s="242"/>
      <c r="HF17" s="242"/>
      <c r="HG17" s="242"/>
      <c r="HH17" s="242"/>
      <c r="HI17" s="242"/>
      <c r="HJ17" s="242"/>
      <c r="HK17" s="242"/>
      <c r="HL17" s="242"/>
      <c r="HM17" s="242"/>
      <c r="HN17" s="242"/>
      <c r="HO17" s="242"/>
      <c r="HP17" s="242"/>
      <c r="HQ17" s="242"/>
      <c r="HR17" s="242"/>
      <c r="HS17" s="242"/>
      <c r="HT17" s="242"/>
      <c r="HU17" s="242"/>
      <c r="HV17" s="242"/>
      <c r="HW17" s="242"/>
      <c r="HX17" s="242"/>
      <c r="HY17" s="242"/>
      <c r="HZ17" s="242"/>
      <c r="IA17" s="242"/>
      <c r="IB17" s="242"/>
      <c r="IC17" s="242"/>
      <c r="ID17" s="242"/>
      <c r="IE17" s="242"/>
      <c r="IF17" s="242"/>
      <c r="IG17" s="242"/>
      <c r="IH17" s="242"/>
      <c r="II17" s="242"/>
      <c r="IJ17" s="242"/>
      <c r="IK17" s="242"/>
      <c r="IL17" s="242"/>
      <c r="IM17" s="242"/>
      <c r="IN17" s="242"/>
      <c r="IO17" s="242"/>
      <c r="IP17" s="242"/>
      <c r="IQ17" s="242"/>
      <c r="IR17" s="242"/>
      <c r="IS17" s="242"/>
      <c r="IT17" s="242"/>
      <c r="IU17" s="242"/>
      <c r="IV17" s="243"/>
      <c r="IW17" s="242"/>
      <c r="IX17" s="242"/>
      <c r="IY17" s="242"/>
      <c r="IZ17" s="242"/>
      <c r="JA17" s="242"/>
      <c r="JB17" s="242"/>
      <c r="JC17" s="242"/>
      <c r="JD17" s="242"/>
      <c r="JE17" s="242"/>
      <c r="JF17" s="242"/>
      <c r="JG17" s="242"/>
      <c r="JH17" s="242"/>
      <c r="JI17" s="242"/>
      <c r="JJ17" s="242"/>
      <c r="JK17" s="242"/>
      <c r="JL17" s="242"/>
      <c r="JM17" s="242"/>
      <c r="JN17" s="242"/>
      <c r="JO17" s="242"/>
      <c r="JP17" s="243"/>
      <c r="JQ17" s="242"/>
      <c r="JR17" s="242"/>
      <c r="JS17" s="242"/>
      <c r="JT17" s="243"/>
      <c r="JU17" s="243"/>
      <c r="JV17" s="242"/>
      <c r="JW17" s="242"/>
      <c r="JX17" s="242"/>
      <c r="JY17" s="242"/>
      <c r="JZ17" s="242"/>
      <c r="KA17" s="242"/>
      <c r="KB17" s="243"/>
      <c r="KC17" s="242"/>
      <c r="KD17" s="242"/>
      <c r="KE17" s="242"/>
      <c r="KF17" s="242"/>
      <c r="KG17" s="242"/>
      <c r="KH17" s="242"/>
      <c r="KI17" s="242"/>
      <c r="KJ17" s="242"/>
      <c r="KK17" s="242"/>
      <c r="KL17" s="242"/>
      <c r="KM17" s="242"/>
      <c r="KN17" s="242"/>
      <c r="KO17" s="242"/>
      <c r="KP17" s="242"/>
      <c r="KQ17" s="242"/>
      <c r="KR17" s="242"/>
      <c r="KS17" s="242"/>
      <c r="KT17" s="242"/>
      <c r="KU17" s="242"/>
      <c r="KV17" s="243"/>
      <c r="KW17" s="242"/>
      <c r="KX17" s="242"/>
      <c r="KY17" s="242"/>
      <c r="KZ17" s="242"/>
      <c r="LA17" s="242"/>
      <c r="LB17" s="242"/>
      <c r="LC17" s="242"/>
      <c r="LD17" s="242"/>
      <c r="LE17" s="242"/>
      <c r="LF17" s="242"/>
      <c r="LG17" s="242"/>
      <c r="LH17" s="242"/>
      <c r="LI17" s="242"/>
      <c r="LJ17" s="242"/>
      <c r="LK17" s="242"/>
      <c r="LL17" s="242"/>
      <c r="LM17" s="242"/>
      <c r="LN17" s="242"/>
      <c r="LO17" s="242"/>
      <c r="LP17" s="242"/>
      <c r="LQ17" s="242"/>
      <c r="LR17" s="242"/>
      <c r="LS17" s="242"/>
      <c r="LT17" s="242"/>
      <c r="LU17" s="242"/>
      <c r="LV17" s="242"/>
      <c r="LW17" s="242"/>
      <c r="LX17" s="242"/>
      <c r="LY17" s="242"/>
      <c r="LZ17" s="242"/>
      <c r="MA17" s="242"/>
      <c r="MB17" s="242"/>
      <c r="MC17" s="242"/>
      <c r="MD17" s="243"/>
      <c r="ME17" s="242"/>
      <c r="MF17" s="242"/>
      <c r="MG17" s="242"/>
      <c r="MH17" s="242"/>
      <c r="MI17" s="242"/>
      <c r="MJ17" s="242"/>
      <c r="MK17" s="242"/>
      <c r="ML17" s="242"/>
      <c r="MM17" s="242"/>
      <c r="MN17" s="242"/>
      <c r="MO17" s="242"/>
      <c r="MP17" s="242"/>
      <c r="MQ17" s="242"/>
      <c r="MR17" s="242"/>
      <c r="MS17" s="242"/>
      <c r="MT17" s="242"/>
      <c r="MU17" s="242"/>
      <c r="MV17" s="242"/>
      <c r="MW17" s="242"/>
      <c r="MX17" s="243"/>
      <c r="MY17" s="242"/>
      <c r="MZ17" s="242"/>
      <c r="NA17" s="242"/>
      <c r="NB17" s="242"/>
      <c r="NC17" s="242"/>
      <c r="ND17" s="242"/>
      <c r="NE17" s="242"/>
      <c r="NF17" s="242"/>
      <c r="NG17" s="242"/>
      <c r="NH17" s="242"/>
      <c r="NI17" s="242"/>
      <c r="NJ17" s="242"/>
      <c r="NK17" s="242"/>
      <c r="NL17" s="242"/>
      <c r="NM17" s="242"/>
      <c r="NN17" s="242"/>
      <c r="NO17" s="242"/>
      <c r="NP17" s="242"/>
      <c r="NQ17" s="242"/>
      <c r="NR17" s="242"/>
      <c r="NS17" s="242"/>
      <c r="NT17" s="242"/>
      <c r="NU17" s="242"/>
      <c r="NV17" s="242"/>
      <c r="NW17" s="242"/>
      <c r="NX17" s="242"/>
      <c r="NY17" s="242"/>
      <c r="NZ17" s="242"/>
      <c r="OA17" s="242"/>
      <c r="OB17" s="242"/>
      <c r="OC17" s="242"/>
      <c r="OD17" s="243"/>
      <c r="OE17" s="243"/>
      <c r="OF17" s="242"/>
      <c r="OG17" s="242"/>
      <c r="OH17" s="242"/>
      <c r="OI17" s="242"/>
      <c r="OJ17" s="242"/>
      <c r="OK17" s="242"/>
      <c r="OL17" s="242"/>
      <c r="OM17" s="242"/>
      <c r="ON17" s="242"/>
      <c r="OO17" s="242"/>
      <c r="OP17" s="242"/>
      <c r="OQ17" s="242"/>
      <c r="OR17" s="242"/>
      <c r="OS17" s="243"/>
      <c r="OT17" s="242"/>
      <c r="OU17" s="242"/>
      <c r="OV17" s="242"/>
      <c r="OW17" s="242"/>
      <c r="OX17" s="242"/>
      <c r="OY17" s="243"/>
      <c r="OZ17" s="242"/>
      <c r="PA17" s="242"/>
      <c r="PB17" s="242"/>
      <c r="PC17" s="242"/>
      <c r="PD17" s="242"/>
      <c r="PE17" s="242"/>
      <c r="PF17" s="242"/>
      <c r="PG17" s="242"/>
      <c r="PH17" s="242"/>
      <c r="PI17" s="242"/>
      <c r="PJ17" s="242"/>
      <c r="PK17" s="242"/>
      <c r="PL17" s="242"/>
      <c r="PM17" s="242"/>
      <c r="PN17" s="242"/>
      <c r="PO17" s="242"/>
      <c r="PP17" s="242"/>
      <c r="PQ17" s="242"/>
      <c r="PR17" s="242"/>
      <c r="PS17" s="242"/>
      <c r="PT17" s="242"/>
      <c r="PU17" s="242"/>
      <c r="PV17" s="242"/>
      <c r="PW17" s="242"/>
      <c r="PX17" s="242"/>
      <c r="PY17" s="242"/>
      <c r="PZ17" s="242"/>
      <c r="QA17" s="242"/>
      <c r="QB17" s="242"/>
      <c r="QC17" s="242"/>
      <c r="QD17" s="242"/>
      <c r="QE17" s="242"/>
      <c r="QF17" s="242"/>
      <c r="QG17" s="242"/>
      <c r="QH17" s="242"/>
      <c r="QI17" s="244"/>
    </row>
    <row r="18" spans="1:451" ht="18" customHeight="1" outlineLevel="1" x14ac:dyDescent="0.2">
      <c r="A18" s="247" t="s">
        <v>301</v>
      </c>
      <c r="B18" s="245"/>
      <c r="C18" s="242"/>
      <c r="D18" s="242"/>
      <c r="E18" s="242"/>
      <c r="F18" s="242"/>
      <c r="G18" s="242"/>
      <c r="H18" s="242"/>
      <c r="I18" s="242"/>
      <c r="J18" s="242"/>
      <c r="K18" s="242"/>
      <c r="L18" s="242"/>
      <c r="M18" s="242"/>
      <c r="N18" s="242"/>
      <c r="O18" s="242"/>
      <c r="P18" s="242"/>
      <c r="Q18" s="242"/>
      <c r="R18" s="242"/>
      <c r="S18" s="242"/>
      <c r="T18" s="242"/>
      <c r="U18" s="242"/>
      <c r="V18" s="242"/>
      <c r="W18" s="242"/>
      <c r="X18" s="242"/>
      <c r="Y18" s="241"/>
      <c r="Z18" s="241"/>
      <c r="AA18" s="241"/>
      <c r="AB18" s="241"/>
      <c r="AC18" s="243"/>
      <c r="AD18" s="241"/>
      <c r="AE18" s="241"/>
      <c r="AF18" s="241"/>
      <c r="AG18" s="241"/>
      <c r="AH18" s="241"/>
      <c r="AI18" s="241"/>
      <c r="AJ18" s="241"/>
      <c r="AK18" s="241"/>
      <c r="AL18" s="241"/>
      <c r="AM18" s="242"/>
      <c r="AN18" s="242"/>
      <c r="AO18" s="242"/>
      <c r="AP18" s="242"/>
      <c r="AQ18" s="242"/>
      <c r="AR18" s="243"/>
      <c r="AS18" s="242"/>
      <c r="AT18" s="242"/>
      <c r="AU18" s="242"/>
      <c r="AV18" s="242"/>
      <c r="AW18" s="242"/>
      <c r="AX18" s="242"/>
      <c r="AY18" s="242"/>
      <c r="AZ18" s="242"/>
      <c r="BA18" s="242"/>
      <c r="BB18" s="242"/>
      <c r="BC18" s="242"/>
      <c r="BD18" s="242"/>
      <c r="BE18" s="242"/>
      <c r="BF18" s="242"/>
      <c r="BG18" s="242"/>
      <c r="BH18" s="242"/>
      <c r="BI18" s="242"/>
      <c r="BJ18" s="242"/>
      <c r="BK18" s="242"/>
      <c r="BL18" s="242"/>
      <c r="BM18" s="242"/>
      <c r="BN18" s="242"/>
      <c r="BO18" s="242"/>
      <c r="BP18" s="242"/>
      <c r="BQ18" s="242"/>
      <c r="BR18" s="242"/>
      <c r="BS18" s="242"/>
      <c r="BT18" s="242"/>
      <c r="BU18" s="242"/>
      <c r="BV18" s="242"/>
      <c r="BW18" s="242"/>
      <c r="BX18" s="242"/>
      <c r="BY18" s="242"/>
      <c r="BZ18" s="242"/>
      <c r="CA18" s="242"/>
      <c r="CB18" s="242"/>
      <c r="CC18" s="243"/>
      <c r="CD18" s="243"/>
      <c r="CE18" s="242"/>
      <c r="CF18" s="242"/>
      <c r="CG18" s="242"/>
      <c r="CH18" s="242"/>
      <c r="CI18" s="242"/>
      <c r="CJ18" s="242"/>
      <c r="CK18" s="242"/>
      <c r="CL18" s="242"/>
      <c r="CM18" s="242"/>
      <c r="CN18" s="242"/>
      <c r="CO18" s="242"/>
      <c r="CP18" s="242"/>
      <c r="CQ18" s="242"/>
      <c r="CR18" s="243"/>
      <c r="CS18" s="242"/>
      <c r="CT18" s="242"/>
      <c r="CU18" s="242"/>
      <c r="CV18" s="242"/>
      <c r="CW18" s="242"/>
      <c r="CX18" s="243"/>
      <c r="CY18" s="242"/>
      <c r="CZ18" s="242"/>
      <c r="DA18" s="242"/>
      <c r="DB18" s="242"/>
      <c r="DC18" s="242"/>
      <c r="DD18" s="242"/>
      <c r="DE18" s="242"/>
      <c r="DF18" s="242"/>
      <c r="DG18" s="242"/>
      <c r="DH18" s="242"/>
      <c r="DI18" s="242"/>
      <c r="DJ18" s="242"/>
      <c r="DK18" s="242"/>
      <c r="DL18" s="242"/>
      <c r="DM18" s="242"/>
      <c r="DN18" s="242"/>
      <c r="DO18" s="242"/>
      <c r="DP18" s="242"/>
      <c r="DQ18" s="242"/>
      <c r="DR18" s="242"/>
      <c r="DS18" s="242"/>
      <c r="DT18" s="242"/>
      <c r="DU18" s="242"/>
      <c r="DV18" s="242"/>
      <c r="DW18" s="242"/>
      <c r="DX18" s="242"/>
      <c r="DY18" s="242"/>
      <c r="DZ18" s="242"/>
      <c r="EA18" s="242"/>
      <c r="EB18" s="242"/>
      <c r="EC18" s="242"/>
      <c r="ED18" s="242"/>
      <c r="EE18" s="242"/>
      <c r="EF18" s="242"/>
      <c r="EG18" s="242"/>
      <c r="EH18" s="242"/>
      <c r="EI18" s="242"/>
      <c r="EJ18" s="242"/>
      <c r="EK18" s="242"/>
      <c r="EL18" s="242"/>
      <c r="EM18" s="242"/>
      <c r="EN18" s="242"/>
      <c r="EO18" s="242"/>
      <c r="EP18" s="242"/>
      <c r="EQ18" s="242"/>
      <c r="ER18" s="242"/>
      <c r="ES18" s="242"/>
      <c r="ET18" s="242"/>
      <c r="EU18" s="242"/>
      <c r="EV18" s="242"/>
      <c r="EW18" s="242"/>
      <c r="EX18" s="242"/>
      <c r="EY18" s="242"/>
      <c r="EZ18" s="242"/>
      <c r="FA18" s="242"/>
      <c r="FB18" s="242"/>
      <c r="FC18" s="242"/>
      <c r="FD18" s="242"/>
      <c r="FE18" s="242"/>
      <c r="FF18" s="242"/>
      <c r="FG18" s="242"/>
      <c r="FH18" s="242"/>
      <c r="FI18" s="242"/>
      <c r="FJ18" s="242"/>
      <c r="FK18" s="242"/>
      <c r="FL18" s="242"/>
      <c r="FM18" s="242"/>
      <c r="FN18" s="242"/>
      <c r="FO18" s="242"/>
      <c r="FP18" s="242"/>
      <c r="FQ18" s="243"/>
      <c r="FR18" s="243"/>
      <c r="FS18" s="242"/>
      <c r="FT18" s="242"/>
      <c r="FU18" s="242"/>
      <c r="FV18" s="242"/>
      <c r="FW18" s="242"/>
      <c r="FX18" s="242"/>
      <c r="FY18" s="242"/>
      <c r="FZ18" s="242"/>
      <c r="GA18" s="242"/>
      <c r="GB18" s="242"/>
      <c r="GC18" s="242"/>
      <c r="GD18" s="242"/>
      <c r="GE18" s="242"/>
      <c r="GF18" s="242"/>
      <c r="GG18" s="242"/>
      <c r="GH18" s="242"/>
      <c r="GI18" s="242"/>
      <c r="GJ18" s="242"/>
      <c r="GK18" s="242"/>
      <c r="GL18" s="242"/>
      <c r="GM18" s="242"/>
      <c r="GN18" s="242"/>
      <c r="GO18" s="242"/>
      <c r="GP18" s="242"/>
      <c r="GQ18" s="242"/>
      <c r="GR18" s="242"/>
      <c r="GS18" s="242"/>
      <c r="GT18" s="242"/>
      <c r="GU18" s="242"/>
      <c r="GV18" s="242"/>
      <c r="GW18" s="243"/>
      <c r="GX18" s="242"/>
      <c r="GY18" s="242"/>
      <c r="GZ18" s="242"/>
      <c r="HA18" s="242"/>
      <c r="HB18" s="242"/>
      <c r="HC18" s="242"/>
      <c r="HD18" s="242"/>
      <c r="HE18" s="242"/>
      <c r="HF18" s="242"/>
      <c r="HG18" s="242"/>
      <c r="HH18" s="242"/>
      <c r="HI18" s="242"/>
      <c r="HJ18" s="242"/>
      <c r="HK18" s="242"/>
      <c r="HL18" s="242"/>
      <c r="HM18" s="242"/>
      <c r="HN18" s="242"/>
      <c r="HO18" s="242"/>
      <c r="HP18" s="242"/>
      <c r="HQ18" s="242"/>
      <c r="HR18" s="242"/>
      <c r="HS18" s="242"/>
      <c r="HT18" s="242"/>
      <c r="HU18" s="242"/>
      <c r="HV18" s="242"/>
      <c r="HW18" s="242"/>
      <c r="HX18" s="242"/>
      <c r="HY18" s="242"/>
      <c r="HZ18" s="242"/>
      <c r="IA18" s="242"/>
      <c r="IB18" s="242"/>
      <c r="IC18" s="242"/>
      <c r="ID18" s="242"/>
      <c r="IE18" s="242"/>
      <c r="IF18" s="242"/>
      <c r="IG18" s="242"/>
      <c r="IH18" s="242"/>
      <c r="II18" s="242"/>
      <c r="IJ18" s="242"/>
      <c r="IK18" s="242"/>
      <c r="IL18" s="242"/>
      <c r="IM18" s="242"/>
      <c r="IN18" s="242"/>
      <c r="IO18" s="242"/>
      <c r="IP18" s="242"/>
      <c r="IQ18" s="242"/>
      <c r="IR18" s="242"/>
      <c r="IS18" s="242"/>
      <c r="IT18" s="242"/>
      <c r="IU18" s="242"/>
      <c r="IV18" s="243"/>
      <c r="IW18" s="242"/>
      <c r="IX18" s="242"/>
      <c r="IY18" s="242"/>
      <c r="IZ18" s="242"/>
      <c r="JA18" s="242"/>
      <c r="JB18" s="242"/>
      <c r="JC18" s="242"/>
      <c r="JD18" s="242"/>
      <c r="JE18" s="242"/>
      <c r="JF18" s="242"/>
      <c r="JG18" s="242"/>
      <c r="JH18" s="242"/>
      <c r="JI18" s="242"/>
      <c r="JJ18" s="242"/>
      <c r="JK18" s="242"/>
      <c r="JL18" s="242"/>
      <c r="JM18" s="242"/>
      <c r="JN18" s="242"/>
      <c r="JO18" s="242"/>
      <c r="JP18" s="243"/>
      <c r="JQ18" s="242"/>
      <c r="JR18" s="242"/>
      <c r="JS18" s="242"/>
      <c r="JT18" s="243"/>
      <c r="JU18" s="243"/>
      <c r="JV18" s="242"/>
      <c r="JW18" s="242"/>
      <c r="JX18" s="242"/>
      <c r="JY18" s="242"/>
      <c r="JZ18" s="242"/>
      <c r="KA18" s="242"/>
      <c r="KB18" s="243"/>
      <c r="KC18" s="242"/>
      <c r="KD18" s="242"/>
      <c r="KE18" s="242"/>
      <c r="KF18" s="242"/>
      <c r="KG18" s="242"/>
      <c r="KH18" s="242"/>
      <c r="KI18" s="242"/>
      <c r="KJ18" s="242"/>
      <c r="KK18" s="242"/>
      <c r="KL18" s="242"/>
      <c r="KM18" s="242"/>
      <c r="KN18" s="242"/>
      <c r="KO18" s="242"/>
      <c r="KP18" s="242"/>
      <c r="KQ18" s="242"/>
      <c r="KR18" s="242"/>
      <c r="KS18" s="242"/>
      <c r="KT18" s="242"/>
      <c r="KU18" s="242"/>
      <c r="KV18" s="243"/>
      <c r="KW18" s="242"/>
      <c r="KX18" s="242"/>
      <c r="KY18" s="242"/>
      <c r="KZ18" s="242"/>
      <c r="LA18" s="242"/>
      <c r="LB18" s="242"/>
      <c r="LC18" s="242"/>
      <c r="LD18" s="242"/>
      <c r="LE18" s="242"/>
      <c r="LF18" s="242"/>
      <c r="LG18" s="242"/>
      <c r="LH18" s="242"/>
      <c r="LI18" s="242"/>
      <c r="LJ18" s="242"/>
      <c r="LK18" s="242"/>
      <c r="LL18" s="242"/>
      <c r="LM18" s="242"/>
      <c r="LN18" s="242"/>
      <c r="LO18" s="242"/>
      <c r="LP18" s="242"/>
      <c r="LQ18" s="242"/>
      <c r="LR18" s="242"/>
      <c r="LS18" s="242"/>
      <c r="LT18" s="242"/>
      <c r="LU18" s="242"/>
      <c r="LV18" s="242"/>
      <c r="LW18" s="242"/>
      <c r="LX18" s="242"/>
      <c r="LY18" s="242"/>
      <c r="LZ18" s="242"/>
      <c r="MA18" s="242"/>
      <c r="MB18" s="242"/>
      <c r="MC18" s="242"/>
      <c r="MD18" s="243"/>
      <c r="ME18" s="242"/>
      <c r="MF18" s="242"/>
      <c r="MG18" s="242"/>
      <c r="MH18" s="242"/>
      <c r="MI18" s="242"/>
      <c r="MJ18" s="242"/>
      <c r="MK18" s="242"/>
      <c r="ML18" s="242"/>
      <c r="MM18" s="242"/>
      <c r="MN18" s="242"/>
      <c r="MO18" s="242"/>
      <c r="MP18" s="242"/>
      <c r="MQ18" s="242"/>
      <c r="MR18" s="242"/>
      <c r="MS18" s="242"/>
      <c r="MT18" s="242"/>
      <c r="MU18" s="242"/>
      <c r="MV18" s="242"/>
      <c r="MW18" s="242"/>
      <c r="MX18" s="243"/>
      <c r="MY18" s="242"/>
      <c r="MZ18" s="242"/>
      <c r="NA18" s="242"/>
      <c r="NB18" s="242"/>
      <c r="NC18" s="242"/>
      <c r="ND18" s="242"/>
      <c r="NE18" s="242"/>
      <c r="NF18" s="242"/>
      <c r="NG18" s="242"/>
      <c r="NH18" s="242"/>
      <c r="NI18" s="242"/>
      <c r="NJ18" s="242"/>
      <c r="NK18" s="242"/>
      <c r="NL18" s="242"/>
      <c r="NM18" s="242"/>
      <c r="NN18" s="242"/>
      <c r="NO18" s="242"/>
      <c r="NP18" s="242"/>
      <c r="NQ18" s="242"/>
      <c r="NR18" s="242"/>
      <c r="NS18" s="242"/>
      <c r="NT18" s="242"/>
      <c r="NU18" s="242"/>
      <c r="NV18" s="242"/>
      <c r="NW18" s="242"/>
      <c r="NX18" s="242"/>
      <c r="NY18" s="242"/>
      <c r="NZ18" s="242"/>
      <c r="OA18" s="242"/>
      <c r="OB18" s="242"/>
      <c r="OC18" s="242"/>
      <c r="OD18" s="243"/>
      <c r="OE18" s="243"/>
      <c r="OF18" s="242"/>
      <c r="OG18" s="242"/>
      <c r="OH18" s="242"/>
      <c r="OI18" s="242"/>
      <c r="OJ18" s="242"/>
      <c r="OK18" s="242"/>
      <c r="OL18" s="242"/>
      <c r="OM18" s="242"/>
      <c r="ON18" s="242"/>
      <c r="OO18" s="242"/>
      <c r="OP18" s="242"/>
      <c r="OQ18" s="242"/>
      <c r="OR18" s="242"/>
      <c r="OS18" s="243"/>
      <c r="OT18" s="242"/>
      <c r="OU18" s="242"/>
      <c r="OV18" s="242"/>
      <c r="OW18" s="242"/>
      <c r="OX18" s="242"/>
      <c r="OY18" s="243"/>
      <c r="OZ18" s="242"/>
      <c r="PA18" s="242"/>
      <c r="PB18" s="242"/>
      <c r="PC18" s="242"/>
      <c r="PD18" s="242"/>
      <c r="PE18" s="242"/>
      <c r="PF18" s="242"/>
      <c r="PG18" s="242"/>
      <c r="PH18" s="242"/>
      <c r="PI18" s="242"/>
      <c r="PJ18" s="242"/>
      <c r="PK18" s="242"/>
      <c r="PL18" s="242"/>
      <c r="PM18" s="242"/>
      <c r="PN18" s="242"/>
      <c r="PO18" s="242"/>
      <c r="PP18" s="242"/>
      <c r="PQ18" s="242"/>
      <c r="PR18" s="242"/>
      <c r="PS18" s="242"/>
      <c r="PT18" s="242"/>
      <c r="PU18" s="242"/>
      <c r="PV18" s="242"/>
      <c r="PW18" s="242"/>
      <c r="PX18" s="242"/>
      <c r="PY18" s="242"/>
      <c r="PZ18" s="242"/>
      <c r="QA18" s="242"/>
      <c r="QB18" s="242"/>
      <c r="QC18" s="242"/>
      <c r="QD18" s="242"/>
      <c r="QE18" s="242"/>
      <c r="QF18" s="242"/>
      <c r="QG18" s="242"/>
      <c r="QH18" s="242"/>
      <c r="QI18" s="244"/>
    </row>
    <row r="19" spans="1:451" ht="18" customHeight="1" outlineLevel="1" x14ac:dyDescent="0.2">
      <c r="A19" s="247" t="s">
        <v>302</v>
      </c>
      <c r="B19" s="245"/>
      <c r="C19" s="242"/>
      <c r="D19" s="242"/>
      <c r="E19" s="242"/>
      <c r="F19" s="242"/>
      <c r="G19" s="242"/>
      <c r="H19" s="242"/>
      <c r="I19" s="242"/>
      <c r="J19" s="242"/>
      <c r="K19" s="242"/>
      <c r="L19" s="242"/>
      <c r="M19" s="242"/>
      <c r="N19" s="242"/>
      <c r="O19" s="242"/>
      <c r="P19" s="242"/>
      <c r="Q19" s="242"/>
      <c r="R19" s="242"/>
      <c r="S19" s="242"/>
      <c r="T19" s="242"/>
      <c r="U19" s="242"/>
      <c r="V19" s="242"/>
      <c r="W19" s="242"/>
      <c r="X19" s="242"/>
      <c r="Y19" s="249"/>
      <c r="Z19" s="249"/>
      <c r="AA19" s="249"/>
      <c r="AB19" s="249"/>
      <c r="AC19" s="243"/>
      <c r="AD19" s="249"/>
      <c r="AE19" s="249"/>
      <c r="AF19" s="249"/>
      <c r="AG19" s="249"/>
      <c r="AH19" s="249"/>
      <c r="AI19" s="249"/>
      <c r="AJ19" s="249"/>
      <c r="AK19" s="249"/>
      <c r="AL19" s="249"/>
      <c r="AM19" s="242"/>
      <c r="AN19" s="242"/>
      <c r="AO19" s="242"/>
      <c r="AP19" s="242"/>
      <c r="AQ19" s="242"/>
      <c r="AR19" s="243"/>
      <c r="AS19" s="242"/>
      <c r="AT19" s="242"/>
      <c r="AU19" s="242"/>
      <c r="AV19" s="242"/>
      <c r="AW19" s="242"/>
      <c r="AX19" s="242"/>
      <c r="AY19" s="242"/>
      <c r="AZ19" s="242"/>
      <c r="BA19" s="242"/>
      <c r="BB19" s="242"/>
      <c r="BC19" s="242"/>
      <c r="BD19" s="242"/>
      <c r="BE19" s="242"/>
      <c r="BF19" s="242"/>
      <c r="BG19" s="242"/>
      <c r="BH19" s="242"/>
      <c r="BI19" s="242"/>
      <c r="BJ19" s="242"/>
      <c r="BK19" s="242"/>
      <c r="BL19" s="242"/>
      <c r="BM19" s="242"/>
      <c r="BN19" s="242"/>
      <c r="BO19" s="242"/>
      <c r="BP19" s="242"/>
      <c r="BQ19" s="242"/>
      <c r="BR19" s="242"/>
      <c r="BS19" s="242"/>
      <c r="BT19" s="242"/>
      <c r="BU19" s="242"/>
      <c r="BV19" s="242"/>
      <c r="BW19" s="242"/>
      <c r="BX19" s="242"/>
      <c r="BY19" s="242"/>
      <c r="BZ19" s="242"/>
      <c r="CA19" s="242"/>
      <c r="CB19" s="242"/>
      <c r="CC19" s="243"/>
      <c r="CD19" s="243"/>
      <c r="CE19" s="242"/>
      <c r="CF19" s="242"/>
      <c r="CG19" s="242"/>
      <c r="CH19" s="242"/>
      <c r="CI19" s="242"/>
      <c r="CJ19" s="242"/>
      <c r="CK19" s="242"/>
      <c r="CL19" s="242"/>
      <c r="CM19" s="242"/>
      <c r="CN19" s="242"/>
      <c r="CO19" s="242"/>
      <c r="CP19" s="242"/>
      <c r="CQ19" s="242"/>
      <c r="CR19" s="243"/>
      <c r="CS19" s="242"/>
      <c r="CT19" s="242"/>
      <c r="CU19" s="242"/>
      <c r="CV19" s="242"/>
      <c r="CW19" s="242"/>
      <c r="CX19" s="243"/>
      <c r="CY19" s="242"/>
      <c r="CZ19" s="242"/>
      <c r="DA19" s="242"/>
      <c r="DB19" s="242"/>
      <c r="DC19" s="242"/>
      <c r="DD19" s="242"/>
      <c r="DE19" s="242"/>
      <c r="DF19" s="242"/>
      <c r="DG19" s="242"/>
      <c r="DH19" s="242"/>
      <c r="DI19" s="242"/>
      <c r="DJ19" s="242"/>
      <c r="DK19" s="242"/>
      <c r="DL19" s="242"/>
      <c r="DM19" s="242"/>
      <c r="DN19" s="242"/>
      <c r="DO19" s="242"/>
      <c r="DP19" s="242"/>
      <c r="DQ19" s="242"/>
      <c r="DR19" s="242"/>
      <c r="DS19" s="242"/>
      <c r="DT19" s="242"/>
      <c r="DU19" s="242"/>
      <c r="DV19" s="242"/>
      <c r="DW19" s="242"/>
      <c r="DX19" s="242"/>
      <c r="DY19" s="242"/>
      <c r="DZ19" s="242"/>
      <c r="EA19" s="242"/>
      <c r="EB19" s="242"/>
      <c r="EC19" s="242"/>
      <c r="ED19" s="242"/>
      <c r="EE19" s="242"/>
      <c r="EF19" s="242"/>
      <c r="EG19" s="242"/>
      <c r="EH19" s="242"/>
      <c r="EI19" s="242"/>
      <c r="EJ19" s="242"/>
      <c r="EK19" s="242"/>
      <c r="EL19" s="242"/>
      <c r="EM19" s="242"/>
      <c r="EN19" s="242"/>
      <c r="EO19" s="242"/>
      <c r="EP19" s="242"/>
      <c r="EQ19" s="242"/>
      <c r="ER19" s="242"/>
      <c r="ES19" s="242"/>
      <c r="ET19" s="242"/>
      <c r="EU19" s="242"/>
      <c r="EV19" s="242"/>
      <c r="EW19" s="242"/>
      <c r="EX19" s="242"/>
      <c r="EY19" s="242"/>
      <c r="EZ19" s="242"/>
      <c r="FA19" s="242"/>
      <c r="FB19" s="242"/>
      <c r="FC19" s="242"/>
      <c r="FD19" s="242"/>
      <c r="FE19" s="242"/>
      <c r="FF19" s="242"/>
      <c r="FG19" s="242"/>
      <c r="FH19" s="242"/>
      <c r="FI19" s="242"/>
      <c r="FJ19" s="242"/>
      <c r="FK19" s="242"/>
      <c r="FL19" s="242"/>
      <c r="FM19" s="242"/>
      <c r="FN19" s="242"/>
      <c r="FO19" s="242"/>
      <c r="FP19" s="242"/>
      <c r="FQ19" s="243"/>
      <c r="FR19" s="243"/>
      <c r="FS19" s="242"/>
      <c r="FT19" s="242"/>
      <c r="FU19" s="242"/>
      <c r="FV19" s="242"/>
      <c r="FW19" s="242"/>
      <c r="FX19" s="242"/>
      <c r="FY19" s="242"/>
      <c r="FZ19" s="242"/>
      <c r="GA19" s="242"/>
      <c r="GB19" s="242"/>
      <c r="GC19" s="242"/>
      <c r="GD19" s="242"/>
      <c r="GE19" s="242"/>
      <c r="GF19" s="242"/>
      <c r="GG19" s="242"/>
      <c r="GH19" s="242"/>
      <c r="GI19" s="242"/>
      <c r="GJ19" s="242"/>
      <c r="GK19" s="242"/>
      <c r="GL19" s="242"/>
      <c r="GM19" s="242"/>
      <c r="GN19" s="242"/>
      <c r="GO19" s="242"/>
      <c r="GP19" s="242"/>
      <c r="GQ19" s="242"/>
      <c r="GR19" s="242"/>
      <c r="GS19" s="242"/>
      <c r="GT19" s="242"/>
      <c r="GU19" s="242"/>
      <c r="GV19" s="242"/>
      <c r="GW19" s="243"/>
      <c r="GX19" s="242"/>
      <c r="GY19" s="242"/>
      <c r="GZ19" s="242"/>
      <c r="HA19" s="242"/>
      <c r="HB19" s="242"/>
      <c r="HC19" s="242"/>
      <c r="HD19" s="242"/>
      <c r="HE19" s="242"/>
      <c r="HF19" s="242"/>
      <c r="HG19" s="242"/>
      <c r="HH19" s="242"/>
      <c r="HI19" s="242"/>
      <c r="HJ19" s="242"/>
      <c r="HK19" s="242"/>
      <c r="HL19" s="242"/>
      <c r="HM19" s="242"/>
      <c r="HN19" s="242"/>
      <c r="HO19" s="242"/>
      <c r="HP19" s="242"/>
      <c r="HQ19" s="242"/>
      <c r="HR19" s="242"/>
      <c r="HS19" s="242"/>
      <c r="HT19" s="242"/>
      <c r="HU19" s="242"/>
      <c r="HV19" s="242"/>
      <c r="HW19" s="242"/>
      <c r="HX19" s="242"/>
      <c r="HY19" s="242"/>
      <c r="HZ19" s="242"/>
      <c r="IA19" s="242"/>
      <c r="IB19" s="242"/>
      <c r="IC19" s="242"/>
      <c r="ID19" s="242"/>
      <c r="IE19" s="242"/>
      <c r="IF19" s="242"/>
      <c r="IG19" s="242"/>
      <c r="IH19" s="242"/>
      <c r="II19" s="242"/>
      <c r="IJ19" s="242"/>
      <c r="IK19" s="242"/>
      <c r="IL19" s="242"/>
      <c r="IM19" s="242"/>
      <c r="IN19" s="242"/>
      <c r="IO19" s="242"/>
      <c r="IP19" s="242"/>
      <c r="IQ19" s="242"/>
      <c r="IR19" s="242"/>
      <c r="IS19" s="242"/>
      <c r="IT19" s="242"/>
      <c r="IU19" s="242"/>
      <c r="IV19" s="243"/>
      <c r="IW19" s="242"/>
      <c r="IX19" s="242"/>
      <c r="IY19" s="242"/>
      <c r="IZ19" s="242"/>
      <c r="JA19" s="242"/>
      <c r="JB19" s="242"/>
      <c r="JC19" s="242"/>
      <c r="JD19" s="242"/>
      <c r="JE19" s="242"/>
      <c r="JF19" s="242"/>
      <c r="JG19" s="242"/>
      <c r="JH19" s="242"/>
      <c r="JI19" s="242"/>
      <c r="JJ19" s="242"/>
      <c r="JK19" s="242"/>
      <c r="JL19" s="242"/>
      <c r="JM19" s="242"/>
      <c r="JN19" s="242"/>
      <c r="JO19" s="242"/>
      <c r="JP19" s="243"/>
      <c r="JQ19" s="242"/>
      <c r="JR19" s="242"/>
      <c r="JS19" s="242"/>
      <c r="JT19" s="243"/>
      <c r="JU19" s="243"/>
      <c r="JV19" s="242"/>
      <c r="JW19" s="242"/>
      <c r="JX19" s="242"/>
      <c r="JY19" s="242"/>
      <c r="JZ19" s="242"/>
      <c r="KA19" s="242"/>
      <c r="KB19" s="243"/>
      <c r="KC19" s="242"/>
      <c r="KD19" s="242"/>
      <c r="KE19" s="242"/>
      <c r="KF19" s="242"/>
      <c r="KG19" s="242"/>
      <c r="KH19" s="242"/>
      <c r="KI19" s="242"/>
      <c r="KJ19" s="242"/>
      <c r="KK19" s="242"/>
      <c r="KL19" s="242"/>
      <c r="KM19" s="242"/>
      <c r="KN19" s="242"/>
      <c r="KO19" s="242"/>
      <c r="KP19" s="242"/>
      <c r="KQ19" s="242"/>
      <c r="KR19" s="242"/>
      <c r="KS19" s="242"/>
      <c r="KT19" s="242"/>
      <c r="KU19" s="242"/>
      <c r="KV19" s="243"/>
      <c r="KW19" s="242"/>
      <c r="KX19" s="242"/>
      <c r="KY19" s="242"/>
      <c r="KZ19" s="242"/>
      <c r="LA19" s="242"/>
      <c r="LB19" s="242"/>
      <c r="LC19" s="242"/>
      <c r="LD19" s="242"/>
      <c r="LE19" s="242"/>
      <c r="LF19" s="242"/>
      <c r="LG19" s="242"/>
      <c r="LH19" s="242"/>
      <c r="LI19" s="242"/>
      <c r="LJ19" s="242"/>
      <c r="LK19" s="242"/>
      <c r="LL19" s="242"/>
      <c r="LM19" s="242"/>
      <c r="LN19" s="242"/>
      <c r="LO19" s="242"/>
      <c r="LP19" s="242"/>
      <c r="LQ19" s="242"/>
      <c r="LR19" s="242"/>
      <c r="LS19" s="242"/>
      <c r="LT19" s="242"/>
      <c r="LU19" s="242"/>
      <c r="LV19" s="242"/>
      <c r="LW19" s="242"/>
      <c r="LX19" s="242"/>
      <c r="LY19" s="242"/>
      <c r="LZ19" s="242"/>
      <c r="MA19" s="242"/>
      <c r="MB19" s="242"/>
      <c r="MC19" s="242"/>
      <c r="MD19" s="243"/>
      <c r="ME19" s="242"/>
      <c r="MF19" s="242"/>
      <c r="MG19" s="242"/>
      <c r="MH19" s="242"/>
      <c r="MI19" s="242"/>
      <c r="MJ19" s="242"/>
      <c r="MK19" s="242"/>
      <c r="ML19" s="242"/>
      <c r="MM19" s="242"/>
      <c r="MN19" s="242"/>
      <c r="MO19" s="242"/>
      <c r="MP19" s="242"/>
      <c r="MQ19" s="242"/>
      <c r="MR19" s="242"/>
      <c r="MS19" s="242"/>
      <c r="MT19" s="242"/>
      <c r="MU19" s="242"/>
      <c r="MV19" s="242"/>
      <c r="MW19" s="242"/>
      <c r="MX19" s="243"/>
      <c r="MY19" s="242"/>
      <c r="MZ19" s="242"/>
      <c r="NA19" s="242"/>
      <c r="NB19" s="242"/>
      <c r="NC19" s="242"/>
      <c r="ND19" s="242"/>
      <c r="NE19" s="242"/>
      <c r="NF19" s="242"/>
      <c r="NG19" s="242"/>
      <c r="NH19" s="242"/>
      <c r="NI19" s="242"/>
      <c r="NJ19" s="242"/>
      <c r="NK19" s="242"/>
      <c r="NL19" s="242"/>
      <c r="NM19" s="242"/>
      <c r="NN19" s="242"/>
      <c r="NO19" s="242"/>
      <c r="NP19" s="242"/>
      <c r="NQ19" s="242"/>
      <c r="NR19" s="242"/>
      <c r="NS19" s="242"/>
      <c r="NT19" s="242"/>
      <c r="NU19" s="242"/>
      <c r="NV19" s="242"/>
      <c r="NW19" s="242"/>
      <c r="NX19" s="242"/>
      <c r="NY19" s="242"/>
      <c r="NZ19" s="242"/>
      <c r="OA19" s="242"/>
      <c r="OB19" s="242"/>
      <c r="OC19" s="242"/>
      <c r="OD19" s="243"/>
      <c r="OE19" s="243"/>
      <c r="OF19" s="242"/>
      <c r="OG19" s="242"/>
      <c r="OH19" s="242"/>
      <c r="OI19" s="242"/>
      <c r="OJ19" s="242"/>
      <c r="OK19" s="242"/>
      <c r="OL19" s="242"/>
      <c r="OM19" s="242"/>
      <c r="ON19" s="242"/>
      <c r="OO19" s="242"/>
      <c r="OP19" s="242"/>
      <c r="OQ19" s="242"/>
      <c r="OR19" s="242"/>
      <c r="OS19" s="243"/>
      <c r="OT19" s="242"/>
      <c r="OU19" s="242"/>
      <c r="OV19" s="242"/>
      <c r="OW19" s="242"/>
      <c r="OX19" s="242"/>
      <c r="OY19" s="243"/>
      <c r="OZ19" s="242"/>
      <c r="PA19" s="242"/>
      <c r="PB19" s="242"/>
      <c r="PC19" s="242"/>
      <c r="PD19" s="242"/>
      <c r="PE19" s="242"/>
      <c r="PF19" s="242"/>
      <c r="PG19" s="242"/>
      <c r="PH19" s="242"/>
      <c r="PI19" s="242"/>
      <c r="PJ19" s="242"/>
      <c r="PK19" s="242"/>
      <c r="PL19" s="242"/>
      <c r="PM19" s="242"/>
      <c r="PN19" s="242"/>
      <c r="PO19" s="242"/>
      <c r="PP19" s="242"/>
      <c r="PQ19" s="242"/>
      <c r="PR19" s="242"/>
      <c r="PS19" s="242"/>
      <c r="PT19" s="242"/>
      <c r="PU19" s="242"/>
      <c r="PV19" s="242"/>
      <c r="PW19" s="242"/>
      <c r="PX19" s="242"/>
      <c r="PY19" s="242"/>
      <c r="PZ19" s="242"/>
      <c r="QA19" s="242"/>
      <c r="QB19" s="242"/>
      <c r="QC19" s="242"/>
      <c r="QD19" s="242"/>
      <c r="QE19" s="242"/>
      <c r="QF19" s="242"/>
      <c r="QG19" s="242"/>
      <c r="QH19" s="242"/>
      <c r="QI19" s="244"/>
    </row>
    <row r="20" spans="1:451" ht="18" customHeight="1" outlineLevel="1" x14ac:dyDescent="0.2">
      <c r="A20" s="247" t="s">
        <v>303</v>
      </c>
      <c r="B20" s="245"/>
      <c r="C20" s="242"/>
      <c r="D20" s="242"/>
      <c r="E20" s="242"/>
      <c r="F20" s="242"/>
      <c r="G20" s="242"/>
      <c r="H20" s="242"/>
      <c r="I20" s="242"/>
      <c r="J20" s="242"/>
      <c r="K20" s="242"/>
      <c r="L20" s="242"/>
      <c r="M20" s="242"/>
      <c r="N20" s="242"/>
      <c r="O20" s="242"/>
      <c r="P20" s="242"/>
      <c r="Q20" s="242"/>
      <c r="R20" s="242"/>
      <c r="S20" s="242"/>
      <c r="T20" s="242"/>
      <c r="U20" s="242"/>
      <c r="V20" s="242"/>
      <c r="W20" s="242"/>
      <c r="X20" s="242"/>
      <c r="Y20" s="241"/>
      <c r="Z20" s="241"/>
      <c r="AA20" s="241"/>
      <c r="AB20" s="241"/>
      <c r="AC20" s="243"/>
      <c r="AD20" s="241"/>
      <c r="AE20" s="241"/>
      <c r="AF20" s="241"/>
      <c r="AG20" s="241"/>
      <c r="AH20" s="241"/>
      <c r="AI20" s="241"/>
      <c r="AJ20" s="241"/>
      <c r="AK20" s="241"/>
      <c r="AL20" s="241"/>
      <c r="AM20" s="242"/>
      <c r="AN20" s="242"/>
      <c r="AO20" s="242"/>
      <c r="AP20" s="242"/>
      <c r="AQ20" s="242"/>
      <c r="AR20" s="243"/>
      <c r="AS20" s="242"/>
      <c r="AT20" s="242"/>
      <c r="AU20" s="242"/>
      <c r="AV20" s="242"/>
      <c r="AW20" s="242"/>
      <c r="AX20" s="242"/>
      <c r="AY20" s="242"/>
      <c r="AZ20" s="242"/>
      <c r="BA20" s="242"/>
      <c r="BB20" s="242"/>
      <c r="BC20" s="242"/>
      <c r="BD20" s="242"/>
      <c r="BE20" s="242"/>
      <c r="BF20" s="242"/>
      <c r="BG20" s="242"/>
      <c r="BH20" s="242"/>
      <c r="BI20" s="242"/>
      <c r="BJ20" s="242"/>
      <c r="BK20" s="242"/>
      <c r="BL20" s="242"/>
      <c r="BM20" s="242"/>
      <c r="BN20" s="242"/>
      <c r="BO20" s="242"/>
      <c r="BP20" s="242"/>
      <c r="BQ20" s="242"/>
      <c r="BR20" s="242"/>
      <c r="BS20" s="242"/>
      <c r="BT20" s="242"/>
      <c r="BU20" s="242"/>
      <c r="BV20" s="242"/>
      <c r="BW20" s="242"/>
      <c r="BX20" s="242"/>
      <c r="BY20" s="242"/>
      <c r="BZ20" s="242"/>
      <c r="CA20" s="242"/>
      <c r="CB20" s="242"/>
      <c r="CC20" s="243"/>
      <c r="CD20" s="243"/>
      <c r="CE20" s="242"/>
      <c r="CF20" s="242"/>
      <c r="CG20" s="242"/>
      <c r="CH20" s="242"/>
      <c r="CI20" s="242"/>
      <c r="CJ20" s="242"/>
      <c r="CK20" s="242"/>
      <c r="CL20" s="242"/>
      <c r="CM20" s="242"/>
      <c r="CN20" s="242"/>
      <c r="CO20" s="242"/>
      <c r="CP20" s="242"/>
      <c r="CQ20" s="242"/>
      <c r="CR20" s="243"/>
      <c r="CS20" s="242"/>
      <c r="CT20" s="242"/>
      <c r="CU20" s="242"/>
      <c r="CV20" s="242"/>
      <c r="CW20" s="242"/>
      <c r="CX20" s="243"/>
      <c r="CY20" s="242"/>
      <c r="CZ20" s="242"/>
      <c r="DA20" s="242"/>
      <c r="DB20" s="242"/>
      <c r="DC20" s="242"/>
      <c r="DD20" s="242"/>
      <c r="DE20" s="242"/>
      <c r="DF20" s="242"/>
      <c r="DG20" s="242"/>
      <c r="DH20" s="242"/>
      <c r="DI20" s="242"/>
      <c r="DJ20" s="242"/>
      <c r="DK20" s="242"/>
      <c r="DL20" s="242"/>
      <c r="DM20" s="242"/>
      <c r="DN20" s="242"/>
      <c r="DO20" s="242"/>
      <c r="DP20" s="242"/>
      <c r="DQ20" s="242"/>
      <c r="DR20" s="242"/>
      <c r="DS20" s="242"/>
      <c r="DT20" s="242"/>
      <c r="DU20" s="242"/>
      <c r="DV20" s="242"/>
      <c r="DW20" s="242"/>
      <c r="DX20" s="242"/>
      <c r="DY20" s="242"/>
      <c r="DZ20" s="242"/>
      <c r="EA20" s="242"/>
      <c r="EB20" s="242"/>
      <c r="EC20" s="242"/>
      <c r="ED20" s="242"/>
      <c r="EE20" s="242"/>
      <c r="EF20" s="242"/>
      <c r="EG20" s="242"/>
      <c r="EH20" s="242"/>
      <c r="EI20" s="242"/>
      <c r="EJ20" s="242"/>
      <c r="EK20" s="242"/>
      <c r="EL20" s="242"/>
      <c r="EM20" s="242"/>
      <c r="EN20" s="242"/>
      <c r="EO20" s="242"/>
      <c r="EP20" s="242"/>
      <c r="EQ20" s="242"/>
      <c r="ER20" s="242"/>
      <c r="ES20" s="242"/>
      <c r="ET20" s="242"/>
      <c r="EU20" s="242"/>
      <c r="EV20" s="242"/>
      <c r="EW20" s="242"/>
      <c r="EX20" s="242"/>
      <c r="EY20" s="242"/>
      <c r="EZ20" s="242"/>
      <c r="FA20" s="242"/>
      <c r="FB20" s="242"/>
      <c r="FC20" s="242"/>
      <c r="FD20" s="242"/>
      <c r="FE20" s="242"/>
      <c r="FF20" s="242"/>
      <c r="FG20" s="242"/>
      <c r="FH20" s="242"/>
      <c r="FI20" s="242"/>
      <c r="FJ20" s="242"/>
      <c r="FK20" s="242"/>
      <c r="FL20" s="242"/>
      <c r="FM20" s="242"/>
      <c r="FN20" s="242"/>
      <c r="FO20" s="242"/>
      <c r="FP20" s="242"/>
      <c r="FQ20" s="243"/>
      <c r="FR20" s="243"/>
      <c r="FS20" s="242"/>
      <c r="FT20" s="242"/>
      <c r="FU20" s="242"/>
      <c r="FV20" s="242"/>
      <c r="FW20" s="242"/>
      <c r="FX20" s="242"/>
      <c r="FY20" s="242"/>
      <c r="FZ20" s="242"/>
      <c r="GA20" s="242"/>
      <c r="GB20" s="242"/>
      <c r="GC20" s="242"/>
      <c r="GD20" s="242"/>
      <c r="GE20" s="242"/>
      <c r="GF20" s="242"/>
      <c r="GG20" s="242"/>
      <c r="GH20" s="242"/>
      <c r="GI20" s="242"/>
      <c r="GJ20" s="242"/>
      <c r="GK20" s="242"/>
      <c r="GL20" s="242"/>
      <c r="GM20" s="242"/>
      <c r="GN20" s="242"/>
      <c r="GO20" s="242"/>
      <c r="GP20" s="242"/>
      <c r="GQ20" s="242"/>
      <c r="GR20" s="242"/>
      <c r="GS20" s="242"/>
      <c r="GT20" s="242"/>
      <c r="GU20" s="242"/>
      <c r="GV20" s="242"/>
      <c r="GW20" s="243"/>
      <c r="GX20" s="242"/>
      <c r="GY20" s="242"/>
      <c r="GZ20" s="242"/>
      <c r="HA20" s="242"/>
      <c r="HB20" s="242"/>
      <c r="HC20" s="242"/>
      <c r="HD20" s="242"/>
      <c r="HE20" s="242"/>
      <c r="HF20" s="242"/>
      <c r="HG20" s="242"/>
      <c r="HH20" s="242"/>
      <c r="HI20" s="242"/>
      <c r="HJ20" s="242"/>
      <c r="HK20" s="242"/>
      <c r="HL20" s="242"/>
      <c r="HM20" s="242"/>
      <c r="HN20" s="242"/>
      <c r="HO20" s="242"/>
      <c r="HP20" s="242"/>
      <c r="HQ20" s="242"/>
      <c r="HR20" s="242"/>
      <c r="HS20" s="242"/>
      <c r="HT20" s="242"/>
      <c r="HU20" s="242"/>
      <c r="HV20" s="242"/>
      <c r="HW20" s="242"/>
      <c r="HX20" s="242"/>
      <c r="HY20" s="242"/>
      <c r="HZ20" s="242"/>
      <c r="IA20" s="242"/>
      <c r="IB20" s="242"/>
      <c r="IC20" s="242"/>
      <c r="ID20" s="242"/>
      <c r="IE20" s="242"/>
      <c r="IF20" s="242"/>
      <c r="IG20" s="242"/>
      <c r="IH20" s="242"/>
      <c r="II20" s="242"/>
      <c r="IJ20" s="242"/>
      <c r="IK20" s="242"/>
      <c r="IL20" s="242"/>
      <c r="IM20" s="242"/>
      <c r="IN20" s="242"/>
      <c r="IO20" s="242"/>
      <c r="IP20" s="242"/>
      <c r="IQ20" s="242"/>
      <c r="IR20" s="242"/>
      <c r="IS20" s="242"/>
      <c r="IT20" s="242"/>
      <c r="IU20" s="242"/>
      <c r="IV20" s="243"/>
      <c r="IW20" s="242"/>
      <c r="IX20" s="242"/>
      <c r="IY20" s="242"/>
      <c r="IZ20" s="242"/>
      <c r="JA20" s="242"/>
      <c r="JB20" s="242"/>
      <c r="JC20" s="242"/>
      <c r="JD20" s="242"/>
      <c r="JE20" s="242"/>
      <c r="JF20" s="242"/>
      <c r="JG20" s="242"/>
      <c r="JH20" s="242"/>
      <c r="JI20" s="242"/>
      <c r="JJ20" s="242"/>
      <c r="JK20" s="242"/>
      <c r="JL20" s="242"/>
      <c r="JM20" s="242"/>
      <c r="JN20" s="242"/>
      <c r="JO20" s="242"/>
      <c r="JP20" s="243"/>
      <c r="JQ20" s="242"/>
      <c r="JR20" s="242"/>
      <c r="JS20" s="242"/>
      <c r="JT20" s="243"/>
      <c r="JU20" s="243"/>
      <c r="JV20" s="242"/>
      <c r="JW20" s="242"/>
      <c r="JX20" s="242"/>
      <c r="JY20" s="242"/>
      <c r="JZ20" s="242"/>
      <c r="KA20" s="242"/>
      <c r="KB20" s="243"/>
      <c r="KC20" s="242"/>
      <c r="KD20" s="242"/>
      <c r="KE20" s="242"/>
      <c r="KF20" s="242"/>
      <c r="KG20" s="242"/>
      <c r="KH20" s="242"/>
      <c r="KI20" s="242"/>
      <c r="KJ20" s="242"/>
      <c r="KK20" s="242"/>
      <c r="KL20" s="242"/>
      <c r="KM20" s="242"/>
      <c r="KN20" s="242"/>
      <c r="KO20" s="242"/>
      <c r="KP20" s="242"/>
      <c r="KQ20" s="242"/>
      <c r="KR20" s="242"/>
      <c r="KS20" s="242"/>
      <c r="KT20" s="242"/>
      <c r="KU20" s="242"/>
      <c r="KV20" s="243"/>
      <c r="KW20" s="242"/>
      <c r="KX20" s="242"/>
      <c r="KY20" s="242"/>
      <c r="KZ20" s="242"/>
      <c r="LA20" s="242"/>
      <c r="LB20" s="242"/>
      <c r="LC20" s="242"/>
      <c r="LD20" s="242"/>
      <c r="LE20" s="242"/>
      <c r="LF20" s="242"/>
      <c r="LG20" s="242"/>
      <c r="LH20" s="242"/>
      <c r="LI20" s="242"/>
      <c r="LJ20" s="242"/>
      <c r="LK20" s="242"/>
      <c r="LL20" s="242"/>
      <c r="LM20" s="242"/>
      <c r="LN20" s="242"/>
      <c r="LO20" s="242"/>
      <c r="LP20" s="242"/>
      <c r="LQ20" s="242"/>
      <c r="LR20" s="242"/>
      <c r="LS20" s="242"/>
      <c r="LT20" s="242"/>
      <c r="LU20" s="242"/>
      <c r="LV20" s="242"/>
      <c r="LW20" s="242"/>
      <c r="LX20" s="242"/>
      <c r="LY20" s="242"/>
      <c r="LZ20" s="242"/>
      <c r="MA20" s="242"/>
      <c r="MB20" s="242"/>
      <c r="MC20" s="242"/>
      <c r="MD20" s="243"/>
      <c r="ME20" s="242"/>
      <c r="MF20" s="242"/>
      <c r="MG20" s="242"/>
      <c r="MH20" s="242"/>
      <c r="MI20" s="242"/>
      <c r="MJ20" s="242"/>
      <c r="MK20" s="242"/>
      <c r="ML20" s="242"/>
      <c r="MM20" s="242"/>
      <c r="MN20" s="242"/>
      <c r="MO20" s="242"/>
      <c r="MP20" s="242"/>
      <c r="MQ20" s="242"/>
      <c r="MR20" s="242"/>
      <c r="MS20" s="242"/>
      <c r="MT20" s="242"/>
      <c r="MU20" s="242"/>
      <c r="MV20" s="242"/>
      <c r="MW20" s="242"/>
      <c r="MX20" s="243"/>
      <c r="MY20" s="242"/>
      <c r="MZ20" s="242"/>
      <c r="NA20" s="242"/>
      <c r="NB20" s="242"/>
      <c r="NC20" s="242"/>
      <c r="ND20" s="242"/>
      <c r="NE20" s="242"/>
      <c r="NF20" s="242"/>
      <c r="NG20" s="242"/>
      <c r="NH20" s="242"/>
      <c r="NI20" s="242"/>
      <c r="NJ20" s="242"/>
      <c r="NK20" s="242"/>
      <c r="NL20" s="242"/>
      <c r="NM20" s="242"/>
      <c r="NN20" s="242"/>
      <c r="NO20" s="242"/>
      <c r="NP20" s="242"/>
      <c r="NQ20" s="242"/>
      <c r="NR20" s="242"/>
      <c r="NS20" s="242"/>
      <c r="NT20" s="242"/>
      <c r="NU20" s="242"/>
      <c r="NV20" s="242"/>
      <c r="NW20" s="242"/>
      <c r="NX20" s="242"/>
      <c r="NY20" s="242"/>
      <c r="NZ20" s="242"/>
      <c r="OA20" s="242"/>
      <c r="OB20" s="242"/>
      <c r="OC20" s="242"/>
      <c r="OD20" s="243"/>
      <c r="OE20" s="243"/>
      <c r="OF20" s="242"/>
      <c r="OG20" s="242"/>
      <c r="OH20" s="242"/>
      <c r="OI20" s="242"/>
      <c r="OJ20" s="242"/>
      <c r="OK20" s="242"/>
      <c r="OL20" s="242"/>
      <c r="OM20" s="242"/>
      <c r="ON20" s="242"/>
      <c r="OO20" s="242"/>
      <c r="OP20" s="242"/>
      <c r="OQ20" s="242"/>
      <c r="OR20" s="242"/>
      <c r="OS20" s="243"/>
      <c r="OT20" s="242"/>
      <c r="OU20" s="242"/>
      <c r="OV20" s="242"/>
      <c r="OW20" s="242"/>
      <c r="OX20" s="242"/>
      <c r="OY20" s="243"/>
      <c r="OZ20" s="242"/>
      <c r="PA20" s="242"/>
      <c r="PB20" s="242"/>
      <c r="PC20" s="242"/>
      <c r="PD20" s="242"/>
      <c r="PE20" s="242"/>
      <c r="PF20" s="242"/>
      <c r="PG20" s="242"/>
      <c r="PH20" s="242"/>
      <c r="PI20" s="242"/>
      <c r="PJ20" s="242"/>
      <c r="PK20" s="242"/>
      <c r="PL20" s="242"/>
      <c r="PM20" s="242"/>
      <c r="PN20" s="242"/>
      <c r="PO20" s="242"/>
      <c r="PP20" s="242"/>
      <c r="PQ20" s="242"/>
      <c r="PR20" s="242"/>
      <c r="PS20" s="242"/>
      <c r="PT20" s="242"/>
      <c r="PU20" s="242"/>
      <c r="PV20" s="242"/>
      <c r="PW20" s="242"/>
      <c r="PX20" s="242"/>
      <c r="PY20" s="242"/>
      <c r="PZ20" s="242"/>
      <c r="QA20" s="242"/>
      <c r="QB20" s="242"/>
      <c r="QC20" s="242"/>
      <c r="QD20" s="242"/>
      <c r="QE20" s="242"/>
      <c r="QF20" s="242"/>
      <c r="QG20" s="242"/>
      <c r="QH20" s="242"/>
      <c r="QI20" s="244"/>
    </row>
    <row r="21" spans="1:451" ht="18" customHeight="1" outlineLevel="1" x14ac:dyDescent="0.2">
      <c r="A21" s="247" t="s">
        <v>304</v>
      </c>
      <c r="B21" s="245"/>
      <c r="C21" s="242"/>
      <c r="D21" s="242"/>
      <c r="E21" s="242"/>
      <c r="F21" s="242"/>
      <c r="G21" s="242"/>
      <c r="H21" s="242"/>
      <c r="I21" s="242"/>
      <c r="J21" s="242"/>
      <c r="K21" s="242"/>
      <c r="L21" s="242"/>
      <c r="M21" s="242"/>
      <c r="N21" s="242"/>
      <c r="O21" s="242"/>
      <c r="P21" s="242"/>
      <c r="Q21" s="242"/>
      <c r="R21" s="242"/>
      <c r="S21" s="242"/>
      <c r="T21" s="242"/>
      <c r="U21" s="242"/>
      <c r="V21" s="242"/>
      <c r="W21" s="242"/>
      <c r="X21" s="242"/>
      <c r="Y21" s="249"/>
      <c r="Z21" s="249"/>
      <c r="AA21" s="249"/>
      <c r="AB21" s="249"/>
      <c r="AC21" s="243"/>
      <c r="AD21" s="249"/>
      <c r="AE21" s="249"/>
      <c r="AF21" s="249"/>
      <c r="AG21" s="249"/>
      <c r="AH21" s="249"/>
      <c r="AI21" s="249"/>
      <c r="AJ21" s="249"/>
      <c r="AK21" s="249"/>
      <c r="AL21" s="249"/>
      <c r="AM21" s="242"/>
      <c r="AN21" s="242"/>
      <c r="AO21" s="242"/>
      <c r="AP21" s="242"/>
      <c r="AQ21" s="242"/>
      <c r="AR21" s="243"/>
      <c r="AS21" s="242"/>
      <c r="AT21" s="242"/>
      <c r="AU21" s="242"/>
      <c r="AV21" s="242"/>
      <c r="AW21" s="242"/>
      <c r="AX21" s="242"/>
      <c r="AY21" s="242"/>
      <c r="AZ21" s="242"/>
      <c r="BA21" s="242"/>
      <c r="BB21" s="242"/>
      <c r="BC21" s="242"/>
      <c r="BD21" s="242"/>
      <c r="BE21" s="242"/>
      <c r="BF21" s="242"/>
      <c r="BG21" s="242"/>
      <c r="BH21" s="242"/>
      <c r="BI21" s="242"/>
      <c r="BJ21" s="242"/>
      <c r="BK21" s="242"/>
      <c r="BL21" s="242"/>
      <c r="BM21" s="242"/>
      <c r="BN21" s="242"/>
      <c r="BO21" s="242"/>
      <c r="BP21" s="242"/>
      <c r="BQ21" s="242"/>
      <c r="BR21" s="242"/>
      <c r="BS21" s="242"/>
      <c r="BT21" s="242"/>
      <c r="BU21" s="242"/>
      <c r="BV21" s="242"/>
      <c r="BW21" s="242"/>
      <c r="BX21" s="242"/>
      <c r="BY21" s="242"/>
      <c r="BZ21" s="242"/>
      <c r="CA21" s="242"/>
      <c r="CB21" s="242"/>
      <c r="CC21" s="243"/>
      <c r="CD21" s="243"/>
      <c r="CE21" s="242"/>
      <c r="CF21" s="242"/>
      <c r="CG21" s="242"/>
      <c r="CH21" s="242"/>
      <c r="CI21" s="242"/>
      <c r="CJ21" s="242"/>
      <c r="CK21" s="242"/>
      <c r="CL21" s="242"/>
      <c r="CM21" s="242"/>
      <c r="CN21" s="242"/>
      <c r="CO21" s="242"/>
      <c r="CP21" s="242"/>
      <c r="CQ21" s="242"/>
      <c r="CR21" s="243"/>
      <c r="CS21" s="242"/>
      <c r="CT21" s="242"/>
      <c r="CU21" s="242"/>
      <c r="CV21" s="242"/>
      <c r="CW21" s="242"/>
      <c r="CX21" s="243"/>
      <c r="CY21" s="242"/>
      <c r="CZ21" s="242"/>
      <c r="DA21" s="242"/>
      <c r="DB21" s="242"/>
      <c r="DC21" s="242"/>
      <c r="DD21" s="242"/>
      <c r="DE21" s="242"/>
      <c r="DF21" s="242"/>
      <c r="DG21" s="242"/>
      <c r="DH21" s="242"/>
      <c r="DI21" s="242"/>
      <c r="DJ21" s="242"/>
      <c r="DK21" s="242"/>
      <c r="DL21" s="242"/>
      <c r="DM21" s="242"/>
      <c r="DN21" s="242"/>
      <c r="DO21" s="242"/>
      <c r="DP21" s="242"/>
      <c r="DQ21" s="242"/>
      <c r="DR21" s="242"/>
      <c r="DS21" s="242"/>
      <c r="DT21" s="242"/>
      <c r="DU21" s="242"/>
      <c r="DV21" s="242"/>
      <c r="DW21" s="242"/>
      <c r="DX21" s="242"/>
      <c r="DY21" s="242"/>
      <c r="DZ21" s="242"/>
      <c r="EA21" s="242"/>
      <c r="EB21" s="242"/>
      <c r="EC21" s="242"/>
      <c r="ED21" s="242"/>
      <c r="EE21" s="242"/>
      <c r="EF21" s="242"/>
      <c r="EG21" s="242"/>
      <c r="EH21" s="242"/>
      <c r="EI21" s="242"/>
      <c r="EJ21" s="242"/>
      <c r="EK21" s="242"/>
      <c r="EL21" s="242"/>
      <c r="EM21" s="242"/>
      <c r="EN21" s="242"/>
      <c r="EO21" s="242"/>
      <c r="EP21" s="242"/>
      <c r="EQ21" s="242"/>
      <c r="ER21" s="242"/>
      <c r="ES21" s="242"/>
      <c r="ET21" s="242"/>
      <c r="EU21" s="242"/>
      <c r="EV21" s="242"/>
      <c r="EW21" s="242"/>
      <c r="EX21" s="242"/>
      <c r="EY21" s="242"/>
      <c r="EZ21" s="242"/>
      <c r="FA21" s="242"/>
      <c r="FB21" s="242"/>
      <c r="FC21" s="242"/>
      <c r="FD21" s="242"/>
      <c r="FE21" s="242"/>
      <c r="FF21" s="242"/>
      <c r="FG21" s="242"/>
      <c r="FH21" s="242"/>
      <c r="FI21" s="242"/>
      <c r="FJ21" s="242"/>
      <c r="FK21" s="242"/>
      <c r="FL21" s="242"/>
      <c r="FM21" s="242"/>
      <c r="FN21" s="242"/>
      <c r="FO21" s="242"/>
      <c r="FP21" s="242"/>
      <c r="FQ21" s="243"/>
      <c r="FR21" s="243"/>
      <c r="FS21" s="242"/>
      <c r="FT21" s="242"/>
      <c r="FU21" s="242"/>
      <c r="FV21" s="242"/>
      <c r="FW21" s="242"/>
      <c r="FX21" s="242"/>
      <c r="FY21" s="242"/>
      <c r="FZ21" s="242"/>
      <c r="GA21" s="242"/>
      <c r="GB21" s="242"/>
      <c r="GC21" s="242"/>
      <c r="GD21" s="242"/>
      <c r="GE21" s="242"/>
      <c r="GF21" s="242"/>
      <c r="GG21" s="242"/>
      <c r="GH21" s="242"/>
      <c r="GI21" s="242"/>
      <c r="GJ21" s="242"/>
      <c r="GK21" s="242"/>
      <c r="GL21" s="242"/>
      <c r="GM21" s="242"/>
      <c r="GN21" s="242"/>
      <c r="GO21" s="242"/>
      <c r="GP21" s="242"/>
      <c r="GQ21" s="242"/>
      <c r="GR21" s="242"/>
      <c r="GS21" s="242"/>
      <c r="GT21" s="242"/>
      <c r="GU21" s="242"/>
      <c r="GV21" s="242"/>
      <c r="GW21" s="243"/>
      <c r="GX21" s="242"/>
      <c r="GY21" s="242"/>
      <c r="GZ21" s="242"/>
      <c r="HA21" s="242"/>
      <c r="HB21" s="242"/>
      <c r="HC21" s="242"/>
      <c r="HD21" s="242"/>
      <c r="HE21" s="242"/>
      <c r="HF21" s="242"/>
      <c r="HG21" s="242"/>
      <c r="HH21" s="242"/>
      <c r="HI21" s="242"/>
      <c r="HJ21" s="242"/>
      <c r="HK21" s="242"/>
      <c r="HL21" s="242"/>
      <c r="HM21" s="242"/>
      <c r="HN21" s="242"/>
      <c r="HO21" s="242"/>
      <c r="HP21" s="242"/>
      <c r="HQ21" s="242"/>
      <c r="HR21" s="242"/>
      <c r="HS21" s="242"/>
      <c r="HT21" s="242"/>
      <c r="HU21" s="242"/>
      <c r="HV21" s="242"/>
      <c r="HW21" s="242"/>
      <c r="HX21" s="242"/>
      <c r="HY21" s="242"/>
      <c r="HZ21" s="242"/>
      <c r="IA21" s="242"/>
      <c r="IB21" s="242"/>
      <c r="IC21" s="242"/>
      <c r="ID21" s="242"/>
      <c r="IE21" s="242"/>
      <c r="IF21" s="242"/>
      <c r="IG21" s="242"/>
      <c r="IH21" s="242"/>
      <c r="II21" s="242"/>
      <c r="IJ21" s="242"/>
      <c r="IK21" s="242"/>
      <c r="IL21" s="242"/>
      <c r="IM21" s="242"/>
      <c r="IN21" s="242"/>
      <c r="IO21" s="242"/>
      <c r="IP21" s="242"/>
      <c r="IQ21" s="242"/>
      <c r="IR21" s="242"/>
      <c r="IS21" s="242"/>
      <c r="IT21" s="242"/>
      <c r="IU21" s="242"/>
      <c r="IV21" s="243"/>
      <c r="IW21" s="242"/>
      <c r="IX21" s="242"/>
      <c r="IY21" s="242"/>
      <c r="IZ21" s="242"/>
      <c r="JA21" s="242"/>
      <c r="JB21" s="242"/>
      <c r="JC21" s="242"/>
      <c r="JD21" s="242"/>
      <c r="JE21" s="242"/>
      <c r="JF21" s="242"/>
      <c r="JG21" s="242"/>
      <c r="JH21" s="242"/>
      <c r="JI21" s="242"/>
      <c r="JJ21" s="242"/>
      <c r="JK21" s="242"/>
      <c r="JL21" s="242"/>
      <c r="JM21" s="242"/>
      <c r="JN21" s="242"/>
      <c r="JO21" s="242"/>
      <c r="JP21" s="243"/>
      <c r="JQ21" s="242"/>
      <c r="JR21" s="242"/>
      <c r="JS21" s="242"/>
      <c r="JT21" s="243"/>
      <c r="JU21" s="243"/>
      <c r="JV21" s="242"/>
      <c r="JW21" s="242"/>
      <c r="JX21" s="242"/>
      <c r="JY21" s="242"/>
      <c r="JZ21" s="242"/>
      <c r="KA21" s="242"/>
      <c r="KB21" s="243"/>
      <c r="KC21" s="242"/>
      <c r="KD21" s="242"/>
      <c r="KE21" s="242"/>
      <c r="KF21" s="242"/>
      <c r="KG21" s="242"/>
      <c r="KH21" s="242"/>
      <c r="KI21" s="242"/>
      <c r="KJ21" s="242"/>
      <c r="KK21" s="242"/>
      <c r="KL21" s="242"/>
      <c r="KM21" s="242"/>
      <c r="KN21" s="242"/>
      <c r="KO21" s="242"/>
      <c r="KP21" s="242"/>
      <c r="KQ21" s="242"/>
      <c r="KR21" s="242"/>
      <c r="KS21" s="242"/>
      <c r="KT21" s="242"/>
      <c r="KU21" s="242"/>
      <c r="KV21" s="243"/>
      <c r="KW21" s="242"/>
      <c r="KX21" s="242"/>
      <c r="KY21" s="242"/>
      <c r="KZ21" s="242"/>
      <c r="LA21" s="242"/>
      <c r="LB21" s="242"/>
      <c r="LC21" s="242"/>
      <c r="LD21" s="242"/>
      <c r="LE21" s="242"/>
      <c r="LF21" s="242"/>
      <c r="LG21" s="242"/>
      <c r="LH21" s="242"/>
      <c r="LI21" s="242"/>
      <c r="LJ21" s="242"/>
      <c r="LK21" s="242"/>
      <c r="LL21" s="242"/>
      <c r="LM21" s="242"/>
      <c r="LN21" s="242"/>
      <c r="LO21" s="242"/>
      <c r="LP21" s="242"/>
      <c r="LQ21" s="242"/>
      <c r="LR21" s="242"/>
      <c r="LS21" s="242"/>
      <c r="LT21" s="242"/>
      <c r="LU21" s="242"/>
      <c r="LV21" s="242"/>
      <c r="LW21" s="242"/>
      <c r="LX21" s="242"/>
      <c r="LY21" s="242"/>
      <c r="LZ21" s="242"/>
      <c r="MA21" s="242"/>
      <c r="MB21" s="242"/>
      <c r="MC21" s="242"/>
      <c r="MD21" s="243"/>
      <c r="ME21" s="242"/>
      <c r="MF21" s="242"/>
      <c r="MG21" s="242"/>
      <c r="MH21" s="242"/>
      <c r="MI21" s="242"/>
      <c r="MJ21" s="242"/>
      <c r="MK21" s="242"/>
      <c r="ML21" s="242"/>
      <c r="MM21" s="242"/>
      <c r="MN21" s="242"/>
      <c r="MO21" s="242"/>
      <c r="MP21" s="242"/>
      <c r="MQ21" s="242"/>
      <c r="MR21" s="242"/>
      <c r="MS21" s="242"/>
      <c r="MT21" s="242"/>
      <c r="MU21" s="242"/>
      <c r="MV21" s="242"/>
      <c r="MW21" s="242"/>
      <c r="MX21" s="243"/>
      <c r="MY21" s="242"/>
      <c r="MZ21" s="242"/>
      <c r="NA21" s="242"/>
      <c r="NB21" s="242"/>
      <c r="NC21" s="242"/>
      <c r="ND21" s="242"/>
      <c r="NE21" s="242"/>
      <c r="NF21" s="242"/>
      <c r="NG21" s="242"/>
      <c r="NH21" s="242"/>
      <c r="NI21" s="242"/>
      <c r="NJ21" s="242"/>
      <c r="NK21" s="242"/>
      <c r="NL21" s="242"/>
      <c r="NM21" s="242"/>
      <c r="NN21" s="242"/>
      <c r="NO21" s="242"/>
      <c r="NP21" s="242"/>
      <c r="NQ21" s="242"/>
      <c r="NR21" s="242"/>
      <c r="NS21" s="242"/>
      <c r="NT21" s="242"/>
      <c r="NU21" s="242"/>
      <c r="NV21" s="242"/>
      <c r="NW21" s="242"/>
      <c r="NX21" s="242"/>
      <c r="NY21" s="242"/>
      <c r="NZ21" s="242"/>
      <c r="OA21" s="242"/>
      <c r="OB21" s="242"/>
      <c r="OC21" s="242"/>
      <c r="OD21" s="243"/>
      <c r="OE21" s="243"/>
      <c r="OF21" s="242"/>
      <c r="OG21" s="242"/>
      <c r="OH21" s="242"/>
      <c r="OI21" s="242"/>
      <c r="OJ21" s="242"/>
      <c r="OK21" s="242"/>
      <c r="OL21" s="242"/>
      <c r="OM21" s="242"/>
      <c r="ON21" s="242"/>
      <c r="OO21" s="242"/>
      <c r="OP21" s="242"/>
      <c r="OQ21" s="242"/>
      <c r="OR21" s="242"/>
      <c r="OS21" s="243"/>
      <c r="OT21" s="242"/>
      <c r="OU21" s="242"/>
      <c r="OV21" s="242"/>
      <c r="OW21" s="242"/>
      <c r="OX21" s="242"/>
      <c r="OY21" s="243"/>
      <c r="OZ21" s="242"/>
      <c r="PA21" s="242"/>
      <c r="PB21" s="242"/>
      <c r="PC21" s="242"/>
      <c r="PD21" s="242"/>
      <c r="PE21" s="242"/>
      <c r="PF21" s="242"/>
      <c r="PG21" s="242"/>
      <c r="PH21" s="242"/>
      <c r="PI21" s="242"/>
      <c r="PJ21" s="242"/>
      <c r="PK21" s="242"/>
      <c r="PL21" s="242"/>
      <c r="PM21" s="242"/>
      <c r="PN21" s="242"/>
      <c r="PO21" s="242"/>
      <c r="PP21" s="242"/>
      <c r="PQ21" s="242"/>
      <c r="PR21" s="242"/>
      <c r="PS21" s="242"/>
      <c r="PT21" s="242"/>
      <c r="PU21" s="242"/>
      <c r="PV21" s="242"/>
      <c r="PW21" s="242"/>
      <c r="PX21" s="242"/>
      <c r="PY21" s="242"/>
      <c r="PZ21" s="242"/>
      <c r="QA21" s="242"/>
      <c r="QB21" s="242"/>
      <c r="QC21" s="242"/>
      <c r="QD21" s="242"/>
      <c r="QE21" s="242"/>
      <c r="QF21" s="242"/>
      <c r="QG21" s="242"/>
      <c r="QH21" s="242"/>
      <c r="QI21" s="244"/>
    </row>
    <row r="22" spans="1:451" ht="18" customHeight="1" outlineLevel="1" x14ac:dyDescent="0.2">
      <c r="A22" s="247" t="s">
        <v>305</v>
      </c>
      <c r="B22" s="245"/>
      <c r="C22" s="242"/>
      <c r="D22" s="242"/>
      <c r="E22" s="242"/>
      <c r="F22" s="242"/>
      <c r="G22" s="242"/>
      <c r="H22" s="242"/>
      <c r="I22" s="242"/>
      <c r="J22" s="242"/>
      <c r="K22" s="242"/>
      <c r="L22" s="242"/>
      <c r="M22" s="242"/>
      <c r="N22" s="242"/>
      <c r="O22" s="242"/>
      <c r="P22" s="242"/>
      <c r="Q22" s="242"/>
      <c r="R22" s="242"/>
      <c r="S22" s="242"/>
      <c r="T22" s="242"/>
      <c r="U22" s="242"/>
      <c r="V22" s="242"/>
      <c r="W22" s="242"/>
      <c r="X22" s="242"/>
      <c r="Y22" s="242"/>
      <c r="Z22" s="242"/>
      <c r="AA22" s="241"/>
      <c r="AB22" s="241"/>
      <c r="AC22" s="243"/>
      <c r="AD22" s="241"/>
      <c r="AE22" s="241"/>
      <c r="AF22" s="241"/>
      <c r="AG22" s="241"/>
      <c r="AH22" s="241"/>
      <c r="AI22" s="241"/>
      <c r="AJ22" s="241"/>
      <c r="AK22" s="241"/>
      <c r="AL22" s="241"/>
      <c r="AM22" s="241"/>
      <c r="AN22" s="241"/>
      <c r="AO22" s="242"/>
      <c r="AP22" s="242"/>
      <c r="AQ22" s="242"/>
      <c r="AR22" s="243"/>
      <c r="AS22" s="242"/>
      <c r="AT22" s="242"/>
      <c r="AU22" s="242"/>
      <c r="AV22" s="242"/>
      <c r="AW22" s="242"/>
      <c r="AX22" s="242"/>
      <c r="AY22" s="242"/>
      <c r="AZ22" s="242"/>
      <c r="BA22" s="242"/>
      <c r="BB22" s="242"/>
      <c r="BC22" s="242"/>
      <c r="BD22" s="242"/>
      <c r="BE22" s="242"/>
      <c r="BF22" s="242"/>
      <c r="BG22" s="242"/>
      <c r="BH22" s="242"/>
      <c r="BI22" s="242"/>
      <c r="BJ22" s="242"/>
      <c r="BK22" s="242"/>
      <c r="BL22" s="242"/>
      <c r="BM22" s="242"/>
      <c r="BN22" s="242"/>
      <c r="BO22" s="242"/>
      <c r="BP22" s="242"/>
      <c r="BQ22" s="242"/>
      <c r="BR22" s="242"/>
      <c r="BS22" s="242"/>
      <c r="BT22" s="242"/>
      <c r="BU22" s="242"/>
      <c r="BV22" s="242"/>
      <c r="BW22" s="242"/>
      <c r="BX22" s="242"/>
      <c r="BY22" s="242"/>
      <c r="BZ22" s="242"/>
      <c r="CA22" s="242"/>
      <c r="CB22" s="242"/>
      <c r="CC22" s="243"/>
      <c r="CD22" s="243"/>
      <c r="CE22" s="242"/>
      <c r="CF22" s="242"/>
      <c r="CG22" s="242"/>
      <c r="CH22" s="242"/>
      <c r="CI22" s="242"/>
      <c r="CJ22" s="242"/>
      <c r="CK22" s="242"/>
      <c r="CL22" s="242"/>
      <c r="CM22" s="242"/>
      <c r="CN22" s="242"/>
      <c r="CO22" s="242"/>
      <c r="CP22" s="242"/>
      <c r="CQ22" s="242"/>
      <c r="CR22" s="243"/>
      <c r="CS22" s="242"/>
      <c r="CT22" s="242"/>
      <c r="CU22" s="242"/>
      <c r="CV22" s="242"/>
      <c r="CW22" s="242"/>
      <c r="CX22" s="243"/>
      <c r="CY22" s="242"/>
      <c r="CZ22" s="242"/>
      <c r="DA22" s="242"/>
      <c r="DB22" s="242"/>
      <c r="DC22" s="242"/>
      <c r="DD22" s="242"/>
      <c r="DE22" s="242"/>
      <c r="DF22" s="242"/>
      <c r="DG22" s="242"/>
      <c r="DH22" s="242"/>
      <c r="DI22" s="242"/>
      <c r="DJ22" s="242"/>
      <c r="DK22" s="242"/>
      <c r="DL22" s="242"/>
      <c r="DM22" s="242"/>
      <c r="DN22" s="242"/>
      <c r="DO22" s="242"/>
      <c r="DP22" s="242"/>
      <c r="DQ22" s="242"/>
      <c r="DR22" s="242"/>
      <c r="DS22" s="242"/>
      <c r="DT22" s="242"/>
      <c r="DU22" s="242"/>
      <c r="DV22" s="242"/>
      <c r="DW22" s="242"/>
      <c r="DX22" s="242"/>
      <c r="DY22" s="242"/>
      <c r="DZ22" s="242"/>
      <c r="EA22" s="242"/>
      <c r="EB22" s="242"/>
      <c r="EC22" s="242"/>
      <c r="ED22" s="242"/>
      <c r="EE22" s="242"/>
      <c r="EF22" s="242"/>
      <c r="EG22" s="242"/>
      <c r="EH22" s="242"/>
      <c r="EI22" s="242"/>
      <c r="EJ22" s="242"/>
      <c r="EK22" s="242"/>
      <c r="EL22" s="242"/>
      <c r="EM22" s="242"/>
      <c r="EN22" s="242"/>
      <c r="EO22" s="242"/>
      <c r="EP22" s="242"/>
      <c r="EQ22" s="242"/>
      <c r="ER22" s="242"/>
      <c r="ES22" s="242"/>
      <c r="ET22" s="242"/>
      <c r="EU22" s="242"/>
      <c r="EV22" s="242"/>
      <c r="EW22" s="242"/>
      <c r="EX22" s="242"/>
      <c r="EY22" s="242"/>
      <c r="EZ22" s="242"/>
      <c r="FA22" s="242"/>
      <c r="FB22" s="242"/>
      <c r="FC22" s="242"/>
      <c r="FD22" s="242"/>
      <c r="FE22" s="242"/>
      <c r="FF22" s="242"/>
      <c r="FG22" s="242"/>
      <c r="FH22" s="242"/>
      <c r="FI22" s="242"/>
      <c r="FJ22" s="242"/>
      <c r="FK22" s="242"/>
      <c r="FL22" s="242"/>
      <c r="FM22" s="242"/>
      <c r="FN22" s="242"/>
      <c r="FO22" s="242"/>
      <c r="FP22" s="242"/>
      <c r="FQ22" s="243"/>
      <c r="FR22" s="243"/>
      <c r="FS22" s="242"/>
      <c r="FT22" s="242"/>
      <c r="FU22" s="242"/>
      <c r="FV22" s="242"/>
      <c r="FW22" s="242"/>
      <c r="FX22" s="242"/>
      <c r="FY22" s="242"/>
      <c r="FZ22" s="242"/>
      <c r="GA22" s="242"/>
      <c r="GB22" s="242"/>
      <c r="GC22" s="242"/>
      <c r="GD22" s="242"/>
      <c r="GE22" s="242"/>
      <c r="GF22" s="242"/>
      <c r="GG22" s="242"/>
      <c r="GH22" s="242"/>
      <c r="GI22" s="242"/>
      <c r="GJ22" s="242"/>
      <c r="GK22" s="242"/>
      <c r="GL22" s="242"/>
      <c r="GM22" s="242"/>
      <c r="GN22" s="242"/>
      <c r="GO22" s="242"/>
      <c r="GP22" s="242"/>
      <c r="GQ22" s="242"/>
      <c r="GR22" s="242"/>
      <c r="GS22" s="242"/>
      <c r="GT22" s="242"/>
      <c r="GU22" s="242"/>
      <c r="GV22" s="242"/>
      <c r="GW22" s="243"/>
      <c r="GX22" s="242"/>
      <c r="GY22" s="242"/>
      <c r="GZ22" s="242"/>
      <c r="HA22" s="242"/>
      <c r="HB22" s="242"/>
      <c r="HC22" s="242"/>
      <c r="HD22" s="242"/>
      <c r="HE22" s="242"/>
      <c r="HF22" s="242"/>
      <c r="HG22" s="242"/>
      <c r="HH22" s="242"/>
      <c r="HI22" s="242"/>
      <c r="HJ22" s="242"/>
      <c r="HK22" s="242"/>
      <c r="HL22" s="242"/>
      <c r="HM22" s="242"/>
      <c r="HN22" s="242"/>
      <c r="HO22" s="242"/>
      <c r="HP22" s="242"/>
      <c r="HQ22" s="242"/>
      <c r="HR22" s="242"/>
      <c r="HS22" s="242"/>
      <c r="HT22" s="242"/>
      <c r="HU22" s="242"/>
      <c r="HV22" s="242"/>
      <c r="HW22" s="242"/>
      <c r="HX22" s="242"/>
      <c r="HY22" s="242"/>
      <c r="HZ22" s="242"/>
      <c r="IA22" s="242"/>
      <c r="IB22" s="242"/>
      <c r="IC22" s="242"/>
      <c r="ID22" s="242"/>
      <c r="IE22" s="242"/>
      <c r="IF22" s="242"/>
      <c r="IG22" s="242"/>
      <c r="IH22" s="242"/>
      <c r="II22" s="242"/>
      <c r="IJ22" s="242"/>
      <c r="IK22" s="242"/>
      <c r="IL22" s="242"/>
      <c r="IM22" s="242"/>
      <c r="IN22" s="242"/>
      <c r="IO22" s="242"/>
      <c r="IP22" s="242"/>
      <c r="IQ22" s="242"/>
      <c r="IR22" s="242"/>
      <c r="IS22" s="242"/>
      <c r="IT22" s="242"/>
      <c r="IU22" s="242"/>
      <c r="IV22" s="243"/>
      <c r="IW22" s="242"/>
      <c r="IX22" s="242"/>
      <c r="IY22" s="242"/>
      <c r="IZ22" s="242"/>
      <c r="JA22" s="242"/>
      <c r="JB22" s="242"/>
      <c r="JC22" s="242"/>
      <c r="JD22" s="242"/>
      <c r="JE22" s="242"/>
      <c r="JF22" s="242"/>
      <c r="JG22" s="242"/>
      <c r="JH22" s="242"/>
      <c r="JI22" s="242"/>
      <c r="JJ22" s="242"/>
      <c r="JK22" s="242"/>
      <c r="JL22" s="242"/>
      <c r="JM22" s="242"/>
      <c r="JN22" s="242"/>
      <c r="JO22" s="242"/>
      <c r="JP22" s="243"/>
      <c r="JQ22" s="242"/>
      <c r="JR22" s="242"/>
      <c r="JS22" s="242"/>
      <c r="JT22" s="243"/>
      <c r="JU22" s="243"/>
      <c r="JV22" s="242"/>
      <c r="JW22" s="242"/>
      <c r="JX22" s="242"/>
      <c r="JY22" s="242"/>
      <c r="JZ22" s="242"/>
      <c r="KA22" s="242"/>
      <c r="KB22" s="243"/>
      <c r="KC22" s="242"/>
      <c r="KD22" s="242"/>
      <c r="KE22" s="242"/>
      <c r="KF22" s="242"/>
      <c r="KG22" s="242"/>
      <c r="KH22" s="242"/>
      <c r="KI22" s="242"/>
      <c r="KJ22" s="242"/>
      <c r="KK22" s="242"/>
      <c r="KL22" s="242"/>
      <c r="KM22" s="242"/>
      <c r="KN22" s="242"/>
      <c r="KO22" s="242"/>
      <c r="KP22" s="242"/>
      <c r="KQ22" s="242"/>
      <c r="KR22" s="242"/>
      <c r="KS22" s="242"/>
      <c r="KT22" s="242"/>
      <c r="KU22" s="242"/>
      <c r="KV22" s="243"/>
      <c r="KW22" s="242"/>
      <c r="KX22" s="242"/>
      <c r="KY22" s="242"/>
      <c r="KZ22" s="242"/>
      <c r="LA22" s="242"/>
      <c r="LB22" s="242"/>
      <c r="LC22" s="242"/>
      <c r="LD22" s="242"/>
      <c r="LE22" s="242"/>
      <c r="LF22" s="242"/>
      <c r="LG22" s="242"/>
      <c r="LH22" s="242"/>
      <c r="LI22" s="242"/>
      <c r="LJ22" s="242"/>
      <c r="LK22" s="242"/>
      <c r="LL22" s="242"/>
      <c r="LM22" s="242"/>
      <c r="LN22" s="242"/>
      <c r="LO22" s="242"/>
      <c r="LP22" s="242"/>
      <c r="LQ22" s="242"/>
      <c r="LR22" s="242"/>
      <c r="LS22" s="242"/>
      <c r="LT22" s="242"/>
      <c r="LU22" s="242"/>
      <c r="LV22" s="242"/>
      <c r="LW22" s="242"/>
      <c r="LX22" s="242"/>
      <c r="LY22" s="242"/>
      <c r="LZ22" s="242"/>
      <c r="MA22" s="242"/>
      <c r="MB22" s="242"/>
      <c r="MC22" s="242"/>
      <c r="MD22" s="243"/>
      <c r="ME22" s="242"/>
      <c r="MF22" s="242"/>
      <c r="MG22" s="242"/>
      <c r="MH22" s="242"/>
      <c r="MI22" s="242"/>
      <c r="MJ22" s="242"/>
      <c r="MK22" s="242"/>
      <c r="ML22" s="242"/>
      <c r="MM22" s="242"/>
      <c r="MN22" s="242"/>
      <c r="MO22" s="242"/>
      <c r="MP22" s="242"/>
      <c r="MQ22" s="242"/>
      <c r="MR22" s="242"/>
      <c r="MS22" s="242"/>
      <c r="MT22" s="242"/>
      <c r="MU22" s="242"/>
      <c r="MV22" s="242"/>
      <c r="MW22" s="242"/>
      <c r="MX22" s="243"/>
      <c r="MY22" s="242"/>
      <c r="MZ22" s="242"/>
      <c r="NA22" s="242"/>
      <c r="NB22" s="242"/>
      <c r="NC22" s="242"/>
      <c r="ND22" s="242"/>
      <c r="NE22" s="242"/>
      <c r="NF22" s="242"/>
      <c r="NG22" s="242"/>
      <c r="NH22" s="242"/>
      <c r="NI22" s="242"/>
      <c r="NJ22" s="242"/>
      <c r="NK22" s="242"/>
      <c r="NL22" s="242"/>
      <c r="NM22" s="242"/>
      <c r="NN22" s="242"/>
      <c r="NO22" s="242"/>
      <c r="NP22" s="242"/>
      <c r="NQ22" s="242"/>
      <c r="NR22" s="242"/>
      <c r="NS22" s="242"/>
      <c r="NT22" s="242"/>
      <c r="NU22" s="242"/>
      <c r="NV22" s="242"/>
      <c r="NW22" s="242"/>
      <c r="NX22" s="242"/>
      <c r="NY22" s="242"/>
      <c r="NZ22" s="242"/>
      <c r="OA22" s="242"/>
      <c r="OB22" s="242"/>
      <c r="OC22" s="242"/>
      <c r="OD22" s="243"/>
      <c r="OE22" s="243"/>
      <c r="OF22" s="242"/>
      <c r="OG22" s="242"/>
      <c r="OH22" s="242"/>
      <c r="OI22" s="242"/>
      <c r="OJ22" s="242"/>
      <c r="OK22" s="242"/>
      <c r="OL22" s="242"/>
      <c r="OM22" s="242"/>
      <c r="ON22" s="242"/>
      <c r="OO22" s="242"/>
      <c r="OP22" s="242"/>
      <c r="OQ22" s="242"/>
      <c r="OR22" s="242"/>
      <c r="OS22" s="243"/>
      <c r="OT22" s="242"/>
      <c r="OU22" s="242"/>
      <c r="OV22" s="242"/>
      <c r="OW22" s="242"/>
      <c r="OX22" s="242"/>
      <c r="OY22" s="243"/>
      <c r="OZ22" s="242"/>
      <c r="PA22" s="242"/>
      <c r="PB22" s="242"/>
      <c r="PC22" s="242"/>
      <c r="PD22" s="242"/>
      <c r="PE22" s="242"/>
      <c r="PF22" s="242"/>
      <c r="PG22" s="242"/>
      <c r="PH22" s="242"/>
      <c r="PI22" s="242"/>
      <c r="PJ22" s="242"/>
      <c r="PK22" s="242"/>
      <c r="PL22" s="242"/>
      <c r="PM22" s="242"/>
      <c r="PN22" s="242"/>
      <c r="PO22" s="242"/>
      <c r="PP22" s="242"/>
      <c r="PQ22" s="242"/>
      <c r="PR22" s="242"/>
      <c r="PS22" s="242"/>
      <c r="PT22" s="242"/>
      <c r="PU22" s="242"/>
      <c r="PV22" s="242"/>
      <c r="PW22" s="242"/>
      <c r="PX22" s="242"/>
      <c r="PY22" s="242"/>
      <c r="PZ22" s="242"/>
      <c r="QA22" s="242"/>
      <c r="QB22" s="242"/>
      <c r="QC22" s="242"/>
      <c r="QD22" s="242"/>
      <c r="QE22" s="242"/>
      <c r="QF22" s="242"/>
      <c r="QG22" s="242"/>
      <c r="QH22" s="242"/>
      <c r="QI22" s="244"/>
    </row>
    <row r="23" spans="1:451" ht="18" customHeight="1" x14ac:dyDescent="0.2">
      <c r="A23" s="247" t="s">
        <v>306</v>
      </c>
      <c r="B23" s="245"/>
      <c r="C23" s="242"/>
      <c r="D23" s="242"/>
      <c r="E23" s="242"/>
      <c r="F23" s="242"/>
      <c r="G23" s="242"/>
      <c r="H23" s="242"/>
      <c r="I23" s="242"/>
      <c r="J23" s="242"/>
      <c r="K23" s="242"/>
      <c r="L23" s="242"/>
      <c r="M23" s="242"/>
      <c r="N23" s="242"/>
      <c r="O23" s="242"/>
      <c r="P23" s="242"/>
      <c r="Q23" s="242"/>
      <c r="R23" s="242"/>
      <c r="S23" s="242"/>
      <c r="T23" s="242"/>
      <c r="U23" s="242"/>
      <c r="V23" s="242"/>
      <c r="W23" s="242"/>
      <c r="X23" s="242"/>
      <c r="Y23" s="242"/>
      <c r="Z23" s="242"/>
      <c r="AA23" s="242"/>
      <c r="AB23" s="242"/>
      <c r="AC23" s="243"/>
      <c r="AD23" s="242"/>
      <c r="AE23" s="242"/>
      <c r="AF23" s="242"/>
      <c r="AG23" s="242"/>
      <c r="AH23" s="242"/>
      <c r="AI23" s="242"/>
      <c r="AJ23" s="242"/>
      <c r="AK23" s="242"/>
      <c r="AL23" s="242"/>
      <c r="AM23" s="248" t="s">
        <v>307</v>
      </c>
      <c r="AN23" s="248" t="s">
        <v>308</v>
      </c>
      <c r="AO23" s="248" t="s">
        <v>309</v>
      </c>
      <c r="AP23" s="248" t="s">
        <v>310</v>
      </c>
      <c r="AQ23" s="248" t="s">
        <v>311</v>
      </c>
      <c r="AR23" s="243"/>
      <c r="AS23" s="248" t="s">
        <v>312</v>
      </c>
      <c r="AT23" s="248" t="s">
        <v>313</v>
      </c>
      <c r="AU23" s="248" t="s">
        <v>314</v>
      </c>
      <c r="AV23" s="248" t="s">
        <v>315</v>
      </c>
      <c r="AW23" s="248" t="s">
        <v>316</v>
      </c>
      <c r="AX23" s="248" t="s">
        <v>317</v>
      </c>
      <c r="AY23" s="248" t="s">
        <v>318</v>
      </c>
      <c r="AZ23" s="248" t="s">
        <v>319</v>
      </c>
      <c r="BA23" s="248" t="s">
        <v>320</v>
      </c>
      <c r="BB23" s="248" t="s">
        <v>321</v>
      </c>
      <c r="BC23" s="248" t="s">
        <v>322</v>
      </c>
      <c r="BD23" s="248" t="s">
        <v>323</v>
      </c>
      <c r="BE23" s="248" t="s">
        <v>324</v>
      </c>
      <c r="BF23" s="242"/>
      <c r="BG23" s="242"/>
      <c r="BH23" s="242"/>
      <c r="BI23" s="242"/>
      <c r="BJ23" s="242"/>
      <c r="BK23" s="242"/>
      <c r="BL23" s="242"/>
      <c r="BM23" s="242"/>
      <c r="BN23" s="242"/>
      <c r="BO23" s="242"/>
      <c r="BP23" s="242"/>
      <c r="BQ23" s="242"/>
      <c r="BR23" s="242"/>
      <c r="BS23" s="242"/>
      <c r="BT23" s="242"/>
      <c r="BU23" s="242"/>
      <c r="BV23" s="242"/>
      <c r="BW23" s="242"/>
      <c r="BX23" s="242"/>
      <c r="BY23" s="242"/>
      <c r="BZ23" s="242"/>
      <c r="CA23" s="242"/>
      <c r="CB23" s="242"/>
      <c r="CC23" s="243"/>
      <c r="CD23" s="243"/>
      <c r="CE23" s="242"/>
      <c r="CF23" s="242"/>
      <c r="CG23" s="242"/>
      <c r="CH23" s="242"/>
      <c r="CI23" s="242"/>
      <c r="CJ23" s="242"/>
      <c r="CK23" s="242"/>
      <c r="CL23" s="242"/>
      <c r="CM23" s="242"/>
      <c r="CN23" s="242"/>
      <c r="CO23" s="242"/>
      <c r="CP23" s="242"/>
      <c r="CQ23" s="242"/>
      <c r="CR23" s="243"/>
      <c r="CS23" s="242"/>
      <c r="CT23" s="242"/>
      <c r="CU23" s="242"/>
      <c r="CV23" s="242"/>
      <c r="CW23" s="242"/>
      <c r="CX23" s="243"/>
      <c r="CY23" s="242"/>
      <c r="CZ23" s="242"/>
      <c r="DA23" s="242"/>
      <c r="DB23" s="242"/>
      <c r="DC23" s="242"/>
      <c r="DD23" s="242"/>
      <c r="DE23" s="242"/>
      <c r="DF23" s="242"/>
      <c r="DG23" s="242"/>
      <c r="DH23" s="242"/>
      <c r="DI23" s="242"/>
      <c r="DJ23" s="242"/>
      <c r="DK23" s="242"/>
      <c r="DL23" s="242"/>
      <c r="DM23" s="242"/>
      <c r="DN23" s="242"/>
      <c r="DO23" s="242"/>
      <c r="DP23" s="242"/>
      <c r="DQ23" s="242"/>
      <c r="DR23" s="242"/>
      <c r="DS23" s="242"/>
      <c r="DT23" s="242"/>
      <c r="DU23" s="242"/>
      <c r="DV23" s="242"/>
      <c r="DW23" s="242"/>
      <c r="DX23" s="242"/>
      <c r="DY23" s="242"/>
      <c r="DZ23" s="242"/>
      <c r="EA23" s="242"/>
      <c r="EB23" s="242"/>
      <c r="EC23" s="242"/>
      <c r="ED23" s="242"/>
      <c r="EE23" s="242"/>
      <c r="EF23" s="242"/>
      <c r="EG23" s="242"/>
      <c r="EH23" s="242"/>
      <c r="EI23" s="242"/>
      <c r="EJ23" s="242"/>
      <c r="EK23" s="242"/>
      <c r="EL23" s="242"/>
      <c r="EM23" s="242"/>
      <c r="EN23" s="242"/>
      <c r="EO23" s="242"/>
      <c r="EP23" s="242"/>
      <c r="EQ23" s="242"/>
      <c r="ER23" s="242"/>
      <c r="ES23" s="242"/>
      <c r="ET23" s="242"/>
      <c r="EU23" s="242"/>
      <c r="EV23" s="242"/>
      <c r="EW23" s="242"/>
      <c r="EX23" s="242"/>
      <c r="EY23" s="242"/>
      <c r="EZ23" s="242"/>
      <c r="FA23" s="242"/>
      <c r="FB23" s="242"/>
      <c r="FC23" s="242"/>
      <c r="FD23" s="242"/>
      <c r="FE23" s="242"/>
      <c r="FF23" s="242"/>
      <c r="FG23" s="242"/>
      <c r="FH23" s="242"/>
      <c r="FI23" s="242"/>
      <c r="FJ23" s="242"/>
      <c r="FK23" s="242"/>
      <c r="FL23" s="242"/>
      <c r="FM23" s="242"/>
      <c r="FN23" s="242"/>
      <c r="FO23" s="242"/>
      <c r="FP23" s="242"/>
      <c r="FQ23" s="243"/>
      <c r="FR23" s="243"/>
      <c r="FS23" s="242"/>
      <c r="FT23" s="242"/>
      <c r="FU23" s="242"/>
      <c r="FV23" s="242"/>
      <c r="FW23" s="242"/>
      <c r="FX23" s="242"/>
      <c r="FY23" s="242"/>
      <c r="FZ23" s="242"/>
      <c r="GA23" s="242"/>
      <c r="GB23" s="242"/>
      <c r="GC23" s="242"/>
      <c r="GD23" s="242"/>
      <c r="GE23" s="242"/>
      <c r="GF23" s="242"/>
      <c r="GG23" s="242"/>
      <c r="GH23" s="242"/>
      <c r="GI23" s="242"/>
      <c r="GJ23" s="242"/>
      <c r="GK23" s="242"/>
      <c r="GL23" s="242"/>
      <c r="GM23" s="242"/>
      <c r="GN23" s="242"/>
      <c r="GO23" s="242"/>
      <c r="GP23" s="242"/>
      <c r="GQ23" s="242"/>
      <c r="GR23" s="242"/>
      <c r="GS23" s="242"/>
      <c r="GT23" s="242"/>
      <c r="GU23" s="242"/>
      <c r="GV23" s="242"/>
      <c r="GW23" s="243"/>
      <c r="GX23" s="242"/>
      <c r="GY23" s="242"/>
      <c r="GZ23" s="242"/>
      <c r="HA23" s="242"/>
      <c r="HB23" s="242"/>
      <c r="HC23" s="242"/>
      <c r="HD23" s="242"/>
      <c r="HE23" s="242"/>
      <c r="HF23" s="242"/>
      <c r="HG23" s="242"/>
      <c r="HH23" s="242"/>
      <c r="HI23" s="242"/>
      <c r="HJ23" s="242"/>
      <c r="HK23" s="242"/>
      <c r="HL23" s="242"/>
      <c r="HM23" s="242"/>
      <c r="HN23" s="242"/>
      <c r="HO23" s="242"/>
      <c r="HP23" s="242"/>
      <c r="HQ23" s="242"/>
      <c r="HR23" s="242"/>
      <c r="HS23" s="242"/>
      <c r="HT23" s="242"/>
      <c r="HU23" s="242"/>
      <c r="HV23" s="242"/>
      <c r="HW23" s="242"/>
      <c r="HX23" s="242"/>
      <c r="HY23" s="242"/>
      <c r="HZ23" s="242"/>
      <c r="IA23" s="242"/>
      <c r="IB23" s="242"/>
      <c r="IC23" s="242"/>
      <c r="ID23" s="242"/>
      <c r="IE23" s="242"/>
      <c r="IF23" s="242"/>
      <c r="IG23" s="242"/>
      <c r="IH23" s="242"/>
      <c r="II23" s="242"/>
      <c r="IJ23" s="242"/>
      <c r="IK23" s="242"/>
      <c r="IL23" s="242"/>
      <c r="IM23" s="242"/>
      <c r="IN23" s="242"/>
      <c r="IO23" s="242"/>
      <c r="IP23" s="242"/>
      <c r="IQ23" s="242"/>
      <c r="IR23" s="242"/>
      <c r="IS23" s="242"/>
      <c r="IT23" s="242"/>
      <c r="IU23" s="242"/>
      <c r="IV23" s="243"/>
      <c r="IW23" s="242"/>
      <c r="IX23" s="242"/>
      <c r="IY23" s="242"/>
      <c r="IZ23" s="242"/>
      <c r="JA23" s="242"/>
      <c r="JB23" s="242"/>
      <c r="JC23" s="242"/>
      <c r="JD23" s="242"/>
      <c r="JE23" s="242"/>
      <c r="JF23" s="242"/>
      <c r="JG23" s="242"/>
      <c r="JH23" s="242"/>
      <c r="JI23" s="242"/>
      <c r="JJ23" s="242"/>
      <c r="JK23" s="242"/>
      <c r="JL23" s="242"/>
      <c r="JM23" s="242"/>
      <c r="JN23" s="242"/>
      <c r="JO23" s="242"/>
      <c r="JP23" s="243"/>
      <c r="JQ23" s="242"/>
      <c r="JR23" s="242"/>
      <c r="JS23" s="242"/>
      <c r="JT23" s="243"/>
      <c r="JU23" s="243"/>
      <c r="JV23" s="242"/>
      <c r="JW23" s="242"/>
      <c r="JX23" s="242"/>
      <c r="JY23" s="242"/>
      <c r="JZ23" s="242"/>
      <c r="KA23" s="242"/>
      <c r="KB23" s="243"/>
      <c r="KC23" s="242"/>
      <c r="KD23" s="242"/>
      <c r="KE23" s="242"/>
      <c r="KF23" s="242"/>
      <c r="KG23" s="242"/>
      <c r="KH23" s="242"/>
      <c r="KI23" s="242"/>
      <c r="KJ23" s="242"/>
      <c r="KK23" s="242"/>
      <c r="KL23" s="242"/>
      <c r="KM23" s="242"/>
      <c r="KN23" s="242"/>
      <c r="KO23" s="242"/>
      <c r="KP23" s="242"/>
      <c r="KQ23" s="242"/>
      <c r="KR23" s="242"/>
      <c r="KS23" s="242"/>
      <c r="KT23" s="242"/>
      <c r="KU23" s="242"/>
      <c r="KV23" s="243"/>
      <c r="KW23" s="242"/>
      <c r="KX23" s="242"/>
      <c r="KY23" s="242"/>
      <c r="KZ23" s="242"/>
      <c r="LA23" s="242"/>
      <c r="LB23" s="242"/>
      <c r="LC23" s="242"/>
      <c r="LD23" s="242"/>
      <c r="LE23" s="242"/>
      <c r="LF23" s="242"/>
      <c r="LG23" s="242"/>
      <c r="LH23" s="242"/>
      <c r="LI23" s="242"/>
      <c r="LJ23" s="242"/>
      <c r="LK23" s="242"/>
      <c r="LL23" s="242"/>
      <c r="LM23" s="242"/>
      <c r="LN23" s="242"/>
      <c r="LO23" s="242"/>
      <c r="LP23" s="242"/>
      <c r="LQ23" s="242"/>
      <c r="LR23" s="242"/>
      <c r="LS23" s="242"/>
      <c r="LT23" s="242"/>
      <c r="LU23" s="242"/>
      <c r="LV23" s="242"/>
      <c r="LW23" s="242"/>
      <c r="LX23" s="242"/>
      <c r="LY23" s="242"/>
      <c r="LZ23" s="242"/>
      <c r="MA23" s="242"/>
      <c r="MB23" s="242"/>
      <c r="MC23" s="242"/>
      <c r="MD23" s="243"/>
      <c r="ME23" s="242"/>
      <c r="MF23" s="242"/>
      <c r="MG23" s="242"/>
      <c r="MH23" s="242"/>
      <c r="MI23" s="242"/>
      <c r="MJ23" s="242"/>
      <c r="MK23" s="242"/>
      <c r="ML23" s="242"/>
      <c r="MM23" s="242"/>
      <c r="MN23" s="242"/>
      <c r="MO23" s="242"/>
      <c r="MP23" s="242"/>
      <c r="MQ23" s="242"/>
      <c r="MR23" s="242"/>
      <c r="MS23" s="242"/>
      <c r="MT23" s="242"/>
      <c r="MU23" s="242"/>
      <c r="MV23" s="242"/>
      <c r="MW23" s="242"/>
      <c r="MX23" s="243"/>
      <c r="MY23" s="242"/>
      <c r="MZ23" s="242"/>
      <c r="NA23" s="242"/>
      <c r="NB23" s="242"/>
      <c r="NC23" s="242"/>
      <c r="ND23" s="242"/>
      <c r="NE23" s="242"/>
      <c r="NF23" s="242"/>
      <c r="NG23" s="242"/>
      <c r="NH23" s="242"/>
      <c r="NI23" s="242"/>
      <c r="NJ23" s="242"/>
      <c r="NK23" s="242"/>
      <c r="NL23" s="242"/>
      <c r="NM23" s="242"/>
      <c r="NN23" s="242"/>
      <c r="NO23" s="242"/>
      <c r="NP23" s="242"/>
      <c r="NQ23" s="242"/>
      <c r="NR23" s="242"/>
      <c r="NS23" s="242"/>
      <c r="NT23" s="242"/>
      <c r="NU23" s="242"/>
      <c r="NV23" s="242"/>
      <c r="NW23" s="242"/>
      <c r="NX23" s="242"/>
      <c r="NY23" s="242"/>
      <c r="NZ23" s="242"/>
      <c r="OA23" s="242"/>
      <c r="OB23" s="242"/>
      <c r="OC23" s="242"/>
      <c r="OD23" s="243"/>
      <c r="OE23" s="243"/>
      <c r="OF23" s="242"/>
      <c r="OG23" s="242"/>
      <c r="OH23" s="242"/>
      <c r="OI23" s="242"/>
      <c r="OJ23" s="242"/>
      <c r="OK23" s="242"/>
      <c r="OL23" s="242"/>
      <c r="OM23" s="242"/>
      <c r="ON23" s="242"/>
      <c r="OO23" s="242"/>
      <c r="OP23" s="242"/>
      <c r="OQ23" s="242"/>
      <c r="OR23" s="242"/>
      <c r="OS23" s="243"/>
      <c r="OT23" s="242"/>
      <c r="OU23" s="242"/>
      <c r="OV23" s="242"/>
      <c r="OW23" s="242"/>
      <c r="OX23" s="242"/>
      <c r="OY23" s="243"/>
      <c r="OZ23" s="242"/>
      <c r="PA23" s="242"/>
      <c r="PB23" s="242"/>
      <c r="PC23" s="242"/>
      <c r="PD23" s="242"/>
      <c r="PE23" s="242"/>
      <c r="PF23" s="242"/>
      <c r="PG23" s="242"/>
      <c r="PH23" s="242"/>
      <c r="PI23" s="242"/>
      <c r="PJ23" s="242"/>
      <c r="PK23" s="242"/>
      <c r="PL23" s="242"/>
      <c r="PM23" s="242"/>
      <c r="PN23" s="242"/>
      <c r="PO23" s="242"/>
      <c r="PP23" s="242"/>
      <c r="PQ23" s="242"/>
      <c r="PR23" s="242"/>
      <c r="PS23" s="242"/>
      <c r="PT23" s="242"/>
      <c r="PU23" s="242"/>
      <c r="PV23" s="242"/>
      <c r="PW23" s="242"/>
      <c r="PX23" s="242"/>
      <c r="PY23" s="242"/>
      <c r="PZ23" s="242"/>
      <c r="QA23" s="242"/>
      <c r="QB23" s="242"/>
      <c r="QC23" s="242"/>
      <c r="QD23" s="242"/>
      <c r="QE23" s="242"/>
      <c r="QF23" s="242"/>
      <c r="QG23" s="242"/>
      <c r="QH23" s="242"/>
      <c r="QI23" s="244"/>
    </row>
    <row r="24" spans="1:451" ht="18" customHeight="1" x14ac:dyDescent="0.2">
      <c r="A24" s="247" t="s">
        <v>271</v>
      </c>
      <c r="B24" s="245"/>
      <c r="C24" s="242"/>
      <c r="D24" s="242"/>
      <c r="E24" s="242"/>
      <c r="F24" s="242"/>
      <c r="G24" s="242"/>
      <c r="H24" s="242"/>
      <c r="I24" s="242"/>
      <c r="J24" s="242"/>
      <c r="K24" s="242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V24" s="242"/>
      <c r="W24" s="242"/>
      <c r="X24" s="242"/>
      <c r="Y24" s="242"/>
      <c r="Z24" s="242"/>
      <c r="AA24" s="242"/>
      <c r="AB24" s="242"/>
      <c r="AC24" s="243"/>
      <c r="AD24" s="242"/>
      <c r="AE24" s="242"/>
      <c r="AF24" s="242"/>
      <c r="AG24" s="242"/>
      <c r="AH24" s="242"/>
      <c r="AI24" s="242"/>
      <c r="AJ24" s="242"/>
      <c r="AK24" s="242"/>
      <c r="AL24" s="242"/>
      <c r="AM24" s="242">
        <v>1</v>
      </c>
      <c r="AN24" s="242">
        <v>2</v>
      </c>
      <c r="AO24" s="242">
        <v>3</v>
      </c>
      <c r="AP24" s="242">
        <v>4</v>
      </c>
      <c r="AQ24" s="242">
        <v>5</v>
      </c>
      <c r="AR24" s="243"/>
      <c r="AS24" s="242">
        <v>6</v>
      </c>
      <c r="AT24" s="242">
        <v>7</v>
      </c>
      <c r="AU24" s="242">
        <v>8</v>
      </c>
      <c r="AV24" s="242">
        <v>9</v>
      </c>
      <c r="AW24" s="242">
        <v>10</v>
      </c>
      <c r="AX24" s="242">
        <v>11</v>
      </c>
      <c r="AY24" s="242">
        <v>12</v>
      </c>
      <c r="AZ24" s="242">
        <v>13</v>
      </c>
      <c r="BA24" s="242">
        <v>14</v>
      </c>
      <c r="BB24" s="242">
        <v>15</v>
      </c>
      <c r="BC24" s="242">
        <v>16</v>
      </c>
      <c r="BD24" s="242">
        <v>17</v>
      </c>
      <c r="BE24" s="242">
        <v>18</v>
      </c>
      <c r="BF24" s="242"/>
      <c r="BG24" s="242"/>
      <c r="BH24" s="242"/>
      <c r="BI24" s="242"/>
      <c r="BJ24" s="242"/>
      <c r="BK24" s="242"/>
      <c r="BL24" s="242"/>
      <c r="BM24" s="242"/>
      <c r="BN24" s="242"/>
      <c r="BO24" s="242"/>
      <c r="BP24" s="242"/>
      <c r="BQ24" s="242"/>
      <c r="BR24" s="242"/>
      <c r="BS24" s="242"/>
      <c r="BT24" s="242"/>
      <c r="BU24" s="242"/>
      <c r="BV24" s="242"/>
      <c r="BW24" s="242"/>
      <c r="BX24" s="242"/>
      <c r="BY24" s="242"/>
      <c r="BZ24" s="242"/>
      <c r="CA24" s="242"/>
      <c r="CB24" s="242"/>
      <c r="CC24" s="243"/>
      <c r="CD24" s="243"/>
      <c r="CE24" s="242"/>
      <c r="CF24" s="242"/>
      <c r="CG24" s="242"/>
      <c r="CH24" s="242"/>
      <c r="CI24" s="242"/>
      <c r="CJ24" s="242"/>
      <c r="CK24" s="242"/>
      <c r="CL24" s="242"/>
      <c r="CM24" s="242"/>
      <c r="CN24" s="242"/>
      <c r="CO24" s="242"/>
      <c r="CP24" s="242"/>
      <c r="CQ24" s="242"/>
      <c r="CR24" s="243"/>
      <c r="CS24" s="242"/>
      <c r="CT24" s="242"/>
      <c r="CU24" s="242"/>
      <c r="CV24" s="242"/>
      <c r="CW24" s="242"/>
      <c r="CX24" s="243"/>
      <c r="CY24" s="242"/>
      <c r="CZ24" s="242"/>
      <c r="DA24" s="242"/>
      <c r="DB24" s="242"/>
      <c r="DC24" s="242"/>
      <c r="DD24" s="242"/>
      <c r="DE24" s="242"/>
      <c r="DF24" s="242"/>
      <c r="DG24" s="242"/>
      <c r="DH24" s="242"/>
      <c r="DI24" s="242"/>
      <c r="DJ24" s="242"/>
      <c r="DK24" s="242"/>
      <c r="DL24" s="242"/>
      <c r="DM24" s="242"/>
      <c r="DN24" s="242"/>
      <c r="DO24" s="242"/>
      <c r="DP24" s="242"/>
      <c r="DQ24" s="242"/>
      <c r="DR24" s="242"/>
      <c r="DS24" s="242"/>
      <c r="DT24" s="242"/>
      <c r="DU24" s="242"/>
      <c r="DV24" s="242"/>
      <c r="DW24" s="242"/>
      <c r="DX24" s="242"/>
      <c r="DY24" s="242"/>
      <c r="DZ24" s="242"/>
      <c r="EA24" s="242"/>
      <c r="EB24" s="242"/>
      <c r="EC24" s="242"/>
      <c r="ED24" s="242"/>
      <c r="EE24" s="242"/>
      <c r="EF24" s="242"/>
      <c r="EG24" s="242"/>
      <c r="EH24" s="242"/>
      <c r="EI24" s="242"/>
      <c r="EJ24" s="242"/>
      <c r="EK24" s="242"/>
      <c r="EL24" s="242"/>
      <c r="EM24" s="242"/>
      <c r="EN24" s="242"/>
      <c r="EO24" s="242"/>
      <c r="EP24" s="242"/>
      <c r="EQ24" s="242"/>
      <c r="ER24" s="242"/>
      <c r="ES24" s="242"/>
      <c r="ET24" s="242"/>
      <c r="EU24" s="242"/>
      <c r="EV24" s="242"/>
      <c r="EW24" s="242"/>
      <c r="EX24" s="242"/>
      <c r="EY24" s="242"/>
      <c r="EZ24" s="242"/>
      <c r="FA24" s="242"/>
      <c r="FB24" s="242"/>
      <c r="FC24" s="242"/>
      <c r="FD24" s="242"/>
      <c r="FE24" s="242"/>
      <c r="FF24" s="242"/>
      <c r="FG24" s="242"/>
      <c r="FH24" s="242"/>
      <c r="FI24" s="242"/>
      <c r="FJ24" s="242"/>
      <c r="FK24" s="242"/>
      <c r="FL24" s="242"/>
      <c r="FM24" s="242"/>
      <c r="FN24" s="242"/>
      <c r="FO24" s="242"/>
      <c r="FP24" s="242"/>
      <c r="FQ24" s="243"/>
      <c r="FR24" s="243"/>
      <c r="FS24" s="242"/>
      <c r="FT24" s="242"/>
      <c r="FU24" s="242"/>
      <c r="FV24" s="242"/>
      <c r="FW24" s="242"/>
      <c r="FX24" s="242"/>
      <c r="FY24" s="242"/>
      <c r="FZ24" s="242"/>
      <c r="GA24" s="242"/>
      <c r="GB24" s="242"/>
      <c r="GC24" s="242"/>
      <c r="GD24" s="242"/>
      <c r="GE24" s="242"/>
      <c r="GF24" s="242"/>
      <c r="GG24" s="242"/>
      <c r="GH24" s="242"/>
      <c r="GI24" s="242"/>
      <c r="GJ24" s="242"/>
      <c r="GK24" s="242"/>
      <c r="GL24" s="242"/>
      <c r="GM24" s="242"/>
      <c r="GN24" s="242"/>
      <c r="GO24" s="242"/>
      <c r="GP24" s="242"/>
      <c r="GQ24" s="242"/>
      <c r="GR24" s="242"/>
      <c r="GS24" s="242"/>
      <c r="GT24" s="242"/>
      <c r="GU24" s="242"/>
      <c r="GV24" s="242"/>
      <c r="GW24" s="243"/>
      <c r="GX24" s="242"/>
      <c r="GY24" s="242"/>
      <c r="GZ24" s="242"/>
      <c r="HA24" s="242"/>
      <c r="HB24" s="242"/>
      <c r="HC24" s="242"/>
      <c r="HD24" s="242"/>
      <c r="HE24" s="242"/>
      <c r="HF24" s="242"/>
      <c r="HG24" s="242"/>
      <c r="HH24" s="242"/>
      <c r="HI24" s="242"/>
      <c r="HJ24" s="242"/>
      <c r="HK24" s="242"/>
      <c r="HL24" s="242"/>
      <c r="HM24" s="242"/>
      <c r="HN24" s="242"/>
      <c r="HO24" s="242"/>
      <c r="HP24" s="242"/>
      <c r="HQ24" s="242"/>
      <c r="HR24" s="242"/>
      <c r="HS24" s="242"/>
      <c r="HT24" s="242"/>
      <c r="HU24" s="242"/>
      <c r="HV24" s="242"/>
      <c r="HW24" s="242"/>
      <c r="HX24" s="242"/>
      <c r="HY24" s="242"/>
      <c r="HZ24" s="242"/>
      <c r="IA24" s="242"/>
      <c r="IB24" s="242"/>
      <c r="IC24" s="242"/>
      <c r="ID24" s="242"/>
      <c r="IE24" s="242"/>
      <c r="IF24" s="242"/>
      <c r="IG24" s="242"/>
      <c r="IH24" s="242"/>
      <c r="II24" s="242"/>
      <c r="IJ24" s="242"/>
      <c r="IK24" s="242"/>
      <c r="IL24" s="242"/>
      <c r="IM24" s="242"/>
      <c r="IN24" s="242"/>
      <c r="IO24" s="242"/>
      <c r="IP24" s="242"/>
      <c r="IQ24" s="242"/>
      <c r="IR24" s="242"/>
      <c r="IS24" s="242"/>
      <c r="IT24" s="242"/>
      <c r="IU24" s="242"/>
      <c r="IV24" s="243"/>
      <c r="IW24" s="242"/>
      <c r="IX24" s="242"/>
      <c r="IY24" s="242"/>
      <c r="IZ24" s="242"/>
      <c r="JA24" s="242"/>
      <c r="JB24" s="242"/>
      <c r="JC24" s="242"/>
      <c r="JD24" s="242"/>
      <c r="JE24" s="242"/>
      <c r="JF24" s="242"/>
      <c r="JG24" s="242"/>
      <c r="JH24" s="242"/>
      <c r="JI24" s="242"/>
      <c r="JJ24" s="242"/>
      <c r="JK24" s="242"/>
      <c r="JL24" s="242"/>
      <c r="JM24" s="242"/>
      <c r="JN24" s="242"/>
      <c r="JO24" s="242"/>
      <c r="JP24" s="243"/>
      <c r="JQ24" s="242"/>
      <c r="JR24" s="242"/>
      <c r="JS24" s="242"/>
      <c r="JT24" s="243"/>
      <c r="JU24" s="243"/>
      <c r="JV24" s="242"/>
      <c r="JW24" s="242"/>
      <c r="JX24" s="242"/>
      <c r="JY24" s="242"/>
      <c r="JZ24" s="242"/>
      <c r="KA24" s="242"/>
      <c r="KB24" s="243"/>
      <c r="KC24" s="242"/>
      <c r="KD24" s="242"/>
      <c r="KE24" s="242"/>
      <c r="KF24" s="242"/>
      <c r="KG24" s="242"/>
      <c r="KH24" s="242"/>
      <c r="KI24" s="242"/>
      <c r="KJ24" s="242"/>
      <c r="KK24" s="242"/>
      <c r="KL24" s="242"/>
      <c r="KM24" s="242"/>
      <c r="KN24" s="242"/>
      <c r="KO24" s="242"/>
      <c r="KP24" s="242"/>
      <c r="KQ24" s="242"/>
      <c r="KR24" s="242"/>
      <c r="KS24" s="242"/>
      <c r="KT24" s="242"/>
      <c r="KU24" s="242"/>
      <c r="KV24" s="243"/>
      <c r="KW24" s="242"/>
      <c r="KX24" s="242"/>
      <c r="KY24" s="242"/>
      <c r="KZ24" s="242"/>
      <c r="LA24" s="242"/>
      <c r="LB24" s="242"/>
      <c r="LC24" s="242"/>
      <c r="LD24" s="242"/>
      <c r="LE24" s="242"/>
      <c r="LF24" s="242"/>
      <c r="LG24" s="242"/>
      <c r="LH24" s="242"/>
      <c r="LI24" s="242"/>
      <c r="LJ24" s="242"/>
      <c r="LK24" s="242"/>
      <c r="LL24" s="242"/>
      <c r="LM24" s="242"/>
      <c r="LN24" s="242"/>
      <c r="LO24" s="242"/>
      <c r="LP24" s="242"/>
      <c r="LQ24" s="242"/>
      <c r="LR24" s="242"/>
      <c r="LS24" s="242"/>
      <c r="LT24" s="242"/>
      <c r="LU24" s="242"/>
      <c r="LV24" s="242"/>
      <c r="LW24" s="242"/>
      <c r="LX24" s="242"/>
      <c r="LY24" s="242"/>
      <c r="LZ24" s="242"/>
      <c r="MA24" s="242"/>
      <c r="MB24" s="242"/>
      <c r="MC24" s="242"/>
      <c r="MD24" s="243"/>
      <c r="ME24" s="242"/>
      <c r="MF24" s="242"/>
      <c r="MG24" s="242"/>
      <c r="MH24" s="242"/>
      <c r="MI24" s="242"/>
      <c r="MJ24" s="242"/>
      <c r="MK24" s="242"/>
      <c r="ML24" s="242"/>
      <c r="MM24" s="242"/>
      <c r="MN24" s="242"/>
      <c r="MO24" s="242"/>
      <c r="MP24" s="242"/>
      <c r="MQ24" s="242"/>
      <c r="MR24" s="242"/>
      <c r="MS24" s="242"/>
      <c r="MT24" s="242"/>
      <c r="MU24" s="242"/>
      <c r="MV24" s="242"/>
      <c r="MW24" s="242"/>
      <c r="MX24" s="243"/>
      <c r="MY24" s="242"/>
      <c r="MZ24" s="242"/>
      <c r="NA24" s="242"/>
      <c r="NB24" s="242"/>
      <c r="NC24" s="242"/>
      <c r="ND24" s="242"/>
      <c r="NE24" s="242"/>
      <c r="NF24" s="242"/>
      <c r="NG24" s="242"/>
      <c r="NH24" s="242"/>
      <c r="NI24" s="242"/>
      <c r="NJ24" s="242"/>
      <c r="NK24" s="242"/>
      <c r="NL24" s="242"/>
      <c r="NM24" s="242"/>
      <c r="NN24" s="242"/>
      <c r="NO24" s="242"/>
      <c r="NP24" s="242"/>
      <c r="NQ24" s="242"/>
      <c r="NR24" s="242"/>
      <c r="NS24" s="242"/>
      <c r="NT24" s="242"/>
      <c r="NU24" s="242"/>
      <c r="NV24" s="242"/>
      <c r="NW24" s="242"/>
      <c r="NX24" s="242"/>
      <c r="NY24" s="242"/>
      <c r="NZ24" s="242"/>
      <c r="OA24" s="242"/>
      <c r="OB24" s="242"/>
      <c r="OC24" s="242"/>
      <c r="OD24" s="243"/>
      <c r="OE24" s="243"/>
      <c r="OF24" s="242"/>
      <c r="OG24" s="242"/>
      <c r="OH24" s="242"/>
      <c r="OI24" s="242"/>
      <c r="OJ24" s="242"/>
      <c r="OK24" s="242"/>
      <c r="OL24" s="242"/>
      <c r="OM24" s="242"/>
      <c r="ON24" s="242"/>
      <c r="OO24" s="242"/>
      <c r="OP24" s="242"/>
      <c r="OQ24" s="242"/>
      <c r="OR24" s="242"/>
      <c r="OS24" s="243"/>
      <c r="OT24" s="242"/>
      <c r="OU24" s="242"/>
      <c r="OV24" s="242"/>
      <c r="OW24" s="242"/>
      <c r="OX24" s="242"/>
      <c r="OY24" s="243"/>
      <c r="OZ24" s="242"/>
      <c r="PA24" s="242"/>
      <c r="PB24" s="242"/>
      <c r="PC24" s="242"/>
      <c r="PD24" s="242"/>
      <c r="PE24" s="242"/>
      <c r="PF24" s="242"/>
      <c r="PG24" s="242"/>
      <c r="PH24" s="242"/>
      <c r="PI24" s="242"/>
      <c r="PJ24" s="242"/>
      <c r="PK24" s="242"/>
      <c r="PL24" s="242"/>
      <c r="PM24" s="242"/>
      <c r="PN24" s="242"/>
      <c r="PO24" s="242"/>
      <c r="PP24" s="242"/>
      <c r="PQ24" s="242"/>
      <c r="PR24" s="242"/>
      <c r="PS24" s="242"/>
      <c r="PT24" s="242"/>
      <c r="PU24" s="242"/>
      <c r="PV24" s="242"/>
      <c r="PW24" s="242"/>
      <c r="PX24" s="242"/>
      <c r="PY24" s="242"/>
      <c r="PZ24" s="242"/>
      <c r="QA24" s="242"/>
      <c r="QB24" s="242"/>
      <c r="QC24" s="242"/>
      <c r="QD24" s="242"/>
      <c r="QE24" s="242"/>
      <c r="QF24" s="242"/>
      <c r="QG24" s="242"/>
      <c r="QH24" s="242"/>
      <c r="QI24" s="244"/>
    </row>
    <row r="25" spans="1:451" ht="18" customHeight="1" outlineLevel="1" x14ac:dyDescent="0.2">
      <c r="A25" s="247" t="s">
        <v>298</v>
      </c>
      <c r="B25" s="245"/>
      <c r="C25" s="242"/>
      <c r="D25" s="242"/>
      <c r="E25" s="242"/>
      <c r="F25" s="242"/>
      <c r="G25" s="242"/>
      <c r="H25" s="242"/>
      <c r="I25" s="242"/>
      <c r="J25" s="242"/>
      <c r="K25" s="242"/>
      <c r="L25" s="242"/>
      <c r="M25" s="242"/>
      <c r="N25" s="242"/>
      <c r="O25" s="242"/>
      <c r="P25" s="242"/>
      <c r="Q25" s="242"/>
      <c r="R25" s="242"/>
      <c r="S25" s="242"/>
      <c r="T25" s="242"/>
      <c r="U25" s="242"/>
      <c r="V25" s="242"/>
      <c r="W25" s="242"/>
      <c r="X25" s="242"/>
      <c r="Y25" s="242"/>
      <c r="Z25" s="242"/>
      <c r="AA25" s="242"/>
      <c r="AB25" s="242"/>
      <c r="AC25" s="243"/>
      <c r="AD25" s="242"/>
      <c r="AE25" s="242"/>
      <c r="AF25" s="242"/>
      <c r="AG25" s="242"/>
      <c r="AH25" s="242"/>
      <c r="AI25" s="242"/>
      <c r="AJ25" s="242"/>
      <c r="AK25" s="242"/>
      <c r="AL25" s="242"/>
      <c r="AM25" s="249"/>
      <c r="AN25" s="249"/>
      <c r="AO25" s="249"/>
      <c r="AP25" s="249"/>
      <c r="AQ25" s="249"/>
      <c r="AR25" s="243"/>
      <c r="AS25" s="249"/>
      <c r="AT25" s="242"/>
      <c r="AU25" s="242"/>
      <c r="AV25" s="242"/>
      <c r="AW25" s="242"/>
      <c r="AX25" s="242"/>
      <c r="AY25" s="242"/>
      <c r="AZ25" s="242"/>
      <c r="BA25" s="242"/>
      <c r="BB25" s="242"/>
      <c r="BC25" s="242"/>
      <c r="BD25" s="242"/>
      <c r="BE25" s="242"/>
      <c r="BF25" s="242"/>
      <c r="BG25" s="242"/>
      <c r="BH25" s="242"/>
      <c r="BI25" s="242"/>
      <c r="BJ25" s="242"/>
      <c r="BK25" s="242"/>
      <c r="BL25" s="242"/>
      <c r="BM25" s="242"/>
      <c r="BN25" s="242"/>
      <c r="BO25" s="242"/>
      <c r="BP25" s="242"/>
      <c r="BQ25" s="242"/>
      <c r="BR25" s="242"/>
      <c r="BS25" s="242"/>
      <c r="BT25" s="242"/>
      <c r="BU25" s="242"/>
      <c r="BV25" s="242"/>
      <c r="BW25" s="242"/>
      <c r="BX25" s="242"/>
      <c r="BY25" s="242"/>
      <c r="BZ25" s="242"/>
      <c r="CA25" s="242"/>
      <c r="CB25" s="242"/>
      <c r="CC25" s="243"/>
      <c r="CD25" s="243"/>
      <c r="CE25" s="242"/>
      <c r="CF25" s="242"/>
      <c r="CG25" s="242"/>
      <c r="CH25" s="242"/>
      <c r="CI25" s="242"/>
      <c r="CJ25" s="242"/>
      <c r="CK25" s="242"/>
      <c r="CL25" s="242"/>
      <c r="CM25" s="242"/>
      <c r="CN25" s="242"/>
      <c r="CO25" s="242"/>
      <c r="CP25" s="242"/>
      <c r="CQ25" s="242"/>
      <c r="CR25" s="243"/>
      <c r="CS25" s="242"/>
      <c r="CT25" s="242"/>
      <c r="CU25" s="242"/>
      <c r="CV25" s="242"/>
      <c r="CW25" s="242"/>
      <c r="CX25" s="243"/>
      <c r="CY25" s="242"/>
      <c r="CZ25" s="242"/>
      <c r="DA25" s="242"/>
      <c r="DB25" s="242"/>
      <c r="DC25" s="242"/>
      <c r="DD25" s="242"/>
      <c r="DE25" s="242"/>
      <c r="DF25" s="242"/>
      <c r="DG25" s="242"/>
      <c r="DH25" s="242"/>
      <c r="DI25" s="242"/>
      <c r="DJ25" s="242"/>
      <c r="DK25" s="242"/>
      <c r="DL25" s="242"/>
      <c r="DM25" s="242"/>
      <c r="DN25" s="242"/>
      <c r="DO25" s="242"/>
      <c r="DP25" s="242"/>
      <c r="DQ25" s="242"/>
      <c r="DR25" s="242"/>
      <c r="DS25" s="242"/>
      <c r="DT25" s="242"/>
      <c r="DU25" s="242"/>
      <c r="DV25" s="242"/>
      <c r="DW25" s="242"/>
      <c r="DX25" s="242"/>
      <c r="DY25" s="242"/>
      <c r="DZ25" s="242"/>
      <c r="EA25" s="242"/>
      <c r="EB25" s="242"/>
      <c r="EC25" s="242"/>
      <c r="ED25" s="242"/>
      <c r="EE25" s="242"/>
      <c r="EF25" s="242"/>
      <c r="EG25" s="242"/>
      <c r="EH25" s="242"/>
      <c r="EI25" s="242"/>
      <c r="EJ25" s="242"/>
      <c r="EK25" s="242"/>
      <c r="EL25" s="242"/>
      <c r="EM25" s="242"/>
      <c r="EN25" s="242"/>
      <c r="EO25" s="242"/>
      <c r="EP25" s="242"/>
      <c r="EQ25" s="242"/>
      <c r="ER25" s="242"/>
      <c r="ES25" s="242"/>
      <c r="ET25" s="242"/>
      <c r="EU25" s="242"/>
      <c r="EV25" s="242"/>
      <c r="EW25" s="242"/>
      <c r="EX25" s="242"/>
      <c r="EY25" s="242"/>
      <c r="EZ25" s="242"/>
      <c r="FA25" s="242"/>
      <c r="FB25" s="242"/>
      <c r="FC25" s="242"/>
      <c r="FD25" s="242"/>
      <c r="FE25" s="242"/>
      <c r="FF25" s="242"/>
      <c r="FG25" s="242"/>
      <c r="FH25" s="242"/>
      <c r="FI25" s="242"/>
      <c r="FJ25" s="242"/>
      <c r="FK25" s="242"/>
      <c r="FL25" s="242"/>
      <c r="FM25" s="242"/>
      <c r="FN25" s="242"/>
      <c r="FO25" s="242"/>
      <c r="FP25" s="242"/>
      <c r="FQ25" s="243"/>
      <c r="FR25" s="243"/>
      <c r="FS25" s="242"/>
      <c r="FT25" s="242"/>
      <c r="FU25" s="242"/>
      <c r="FV25" s="242"/>
      <c r="FW25" s="242"/>
      <c r="FX25" s="242"/>
      <c r="FY25" s="242"/>
      <c r="FZ25" s="242"/>
      <c r="GA25" s="242"/>
      <c r="GB25" s="242"/>
      <c r="GC25" s="242"/>
      <c r="GD25" s="242"/>
      <c r="GE25" s="242"/>
      <c r="GF25" s="242"/>
      <c r="GG25" s="242"/>
      <c r="GH25" s="242"/>
      <c r="GI25" s="242"/>
      <c r="GJ25" s="242"/>
      <c r="GK25" s="242"/>
      <c r="GL25" s="242"/>
      <c r="GM25" s="242"/>
      <c r="GN25" s="242"/>
      <c r="GO25" s="242"/>
      <c r="GP25" s="242"/>
      <c r="GQ25" s="242"/>
      <c r="GR25" s="242"/>
      <c r="GS25" s="242"/>
      <c r="GT25" s="242"/>
      <c r="GU25" s="242"/>
      <c r="GV25" s="242"/>
      <c r="GW25" s="243"/>
      <c r="GX25" s="242"/>
      <c r="GY25" s="242"/>
      <c r="GZ25" s="242"/>
      <c r="HA25" s="242"/>
      <c r="HB25" s="242"/>
      <c r="HC25" s="242"/>
      <c r="HD25" s="242"/>
      <c r="HE25" s="242"/>
      <c r="HF25" s="242"/>
      <c r="HG25" s="242"/>
      <c r="HH25" s="242"/>
      <c r="HI25" s="242"/>
      <c r="HJ25" s="242"/>
      <c r="HK25" s="242"/>
      <c r="HL25" s="242"/>
      <c r="HM25" s="242"/>
      <c r="HN25" s="242"/>
      <c r="HO25" s="242"/>
      <c r="HP25" s="242"/>
      <c r="HQ25" s="242"/>
      <c r="HR25" s="242"/>
      <c r="HS25" s="242"/>
      <c r="HT25" s="242"/>
      <c r="HU25" s="242"/>
      <c r="HV25" s="242"/>
      <c r="HW25" s="242"/>
      <c r="HX25" s="242"/>
      <c r="HY25" s="242"/>
      <c r="HZ25" s="242"/>
      <c r="IA25" s="242"/>
      <c r="IB25" s="242"/>
      <c r="IC25" s="242"/>
      <c r="ID25" s="242"/>
      <c r="IE25" s="242"/>
      <c r="IF25" s="242"/>
      <c r="IG25" s="242"/>
      <c r="IH25" s="242"/>
      <c r="II25" s="242"/>
      <c r="IJ25" s="242"/>
      <c r="IK25" s="242"/>
      <c r="IL25" s="242"/>
      <c r="IM25" s="242"/>
      <c r="IN25" s="242"/>
      <c r="IO25" s="242"/>
      <c r="IP25" s="242"/>
      <c r="IQ25" s="242"/>
      <c r="IR25" s="242"/>
      <c r="IS25" s="242"/>
      <c r="IT25" s="242"/>
      <c r="IU25" s="242"/>
      <c r="IV25" s="243"/>
      <c r="IW25" s="242"/>
      <c r="IX25" s="242"/>
      <c r="IY25" s="242"/>
      <c r="IZ25" s="242"/>
      <c r="JA25" s="242"/>
      <c r="JB25" s="242"/>
      <c r="JC25" s="242"/>
      <c r="JD25" s="242"/>
      <c r="JE25" s="242"/>
      <c r="JF25" s="242"/>
      <c r="JG25" s="242"/>
      <c r="JH25" s="242"/>
      <c r="JI25" s="242"/>
      <c r="JJ25" s="242"/>
      <c r="JK25" s="242"/>
      <c r="JL25" s="242"/>
      <c r="JM25" s="242"/>
      <c r="JN25" s="242"/>
      <c r="JO25" s="242"/>
      <c r="JP25" s="243"/>
      <c r="JQ25" s="242"/>
      <c r="JR25" s="242"/>
      <c r="JS25" s="242"/>
      <c r="JT25" s="243"/>
      <c r="JU25" s="243"/>
      <c r="JV25" s="242"/>
      <c r="JW25" s="242"/>
      <c r="JX25" s="242"/>
      <c r="JY25" s="242"/>
      <c r="JZ25" s="242"/>
      <c r="KA25" s="242"/>
      <c r="KB25" s="243"/>
      <c r="KC25" s="242"/>
      <c r="KD25" s="242"/>
      <c r="KE25" s="242"/>
      <c r="KF25" s="242"/>
      <c r="KG25" s="242"/>
      <c r="KH25" s="242"/>
      <c r="KI25" s="242"/>
      <c r="KJ25" s="242"/>
      <c r="KK25" s="242"/>
      <c r="KL25" s="242"/>
      <c r="KM25" s="242"/>
      <c r="KN25" s="242"/>
      <c r="KO25" s="242"/>
      <c r="KP25" s="242"/>
      <c r="KQ25" s="242"/>
      <c r="KR25" s="242"/>
      <c r="KS25" s="242"/>
      <c r="KT25" s="242"/>
      <c r="KU25" s="242"/>
      <c r="KV25" s="243"/>
      <c r="KW25" s="242"/>
      <c r="KX25" s="242"/>
      <c r="KY25" s="242"/>
      <c r="KZ25" s="242"/>
      <c r="LA25" s="242"/>
      <c r="LB25" s="242"/>
      <c r="LC25" s="242"/>
      <c r="LD25" s="242"/>
      <c r="LE25" s="242"/>
      <c r="LF25" s="242"/>
      <c r="LG25" s="242"/>
      <c r="LH25" s="242"/>
      <c r="LI25" s="242"/>
      <c r="LJ25" s="242"/>
      <c r="LK25" s="242"/>
      <c r="LL25" s="242"/>
      <c r="LM25" s="242"/>
      <c r="LN25" s="242"/>
      <c r="LO25" s="242"/>
      <c r="LP25" s="242"/>
      <c r="LQ25" s="242"/>
      <c r="LR25" s="242"/>
      <c r="LS25" s="242"/>
      <c r="LT25" s="242"/>
      <c r="LU25" s="242"/>
      <c r="LV25" s="242"/>
      <c r="LW25" s="242"/>
      <c r="LX25" s="242"/>
      <c r="LY25" s="242"/>
      <c r="LZ25" s="242"/>
      <c r="MA25" s="242"/>
      <c r="MB25" s="242"/>
      <c r="MC25" s="242"/>
      <c r="MD25" s="243"/>
      <c r="ME25" s="242"/>
      <c r="MF25" s="242"/>
      <c r="MG25" s="242"/>
      <c r="MH25" s="242"/>
      <c r="MI25" s="242"/>
      <c r="MJ25" s="242"/>
      <c r="MK25" s="242"/>
      <c r="ML25" s="242"/>
      <c r="MM25" s="242"/>
      <c r="MN25" s="242"/>
      <c r="MO25" s="242"/>
      <c r="MP25" s="242"/>
      <c r="MQ25" s="242"/>
      <c r="MR25" s="242"/>
      <c r="MS25" s="242"/>
      <c r="MT25" s="242"/>
      <c r="MU25" s="242"/>
      <c r="MV25" s="242"/>
      <c r="MW25" s="242"/>
      <c r="MX25" s="243"/>
      <c r="MY25" s="242"/>
      <c r="MZ25" s="242"/>
      <c r="NA25" s="242"/>
      <c r="NB25" s="242"/>
      <c r="NC25" s="242"/>
      <c r="ND25" s="242"/>
      <c r="NE25" s="242"/>
      <c r="NF25" s="242"/>
      <c r="NG25" s="242"/>
      <c r="NH25" s="242"/>
      <c r="NI25" s="242"/>
      <c r="NJ25" s="242"/>
      <c r="NK25" s="242"/>
      <c r="NL25" s="242"/>
      <c r="NM25" s="242"/>
      <c r="NN25" s="242"/>
      <c r="NO25" s="242"/>
      <c r="NP25" s="242"/>
      <c r="NQ25" s="242"/>
      <c r="NR25" s="242"/>
      <c r="NS25" s="242"/>
      <c r="NT25" s="242"/>
      <c r="NU25" s="242"/>
      <c r="NV25" s="242"/>
      <c r="NW25" s="242"/>
      <c r="NX25" s="242"/>
      <c r="NY25" s="242"/>
      <c r="NZ25" s="242"/>
      <c r="OA25" s="242"/>
      <c r="OB25" s="242"/>
      <c r="OC25" s="242"/>
      <c r="OD25" s="243"/>
      <c r="OE25" s="243"/>
      <c r="OF25" s="242"/>
      <c r="OG25" s="242"/>
      <c r="OH25" s="242"/>
      <c r="OI25" s="242"/>
      <c r="OJ25" s="242"/>
      <c r="OK25" s="242"/>
      <c r="OL25" s="242"/>
      <c r="OM25" s="242"/>
      <c r="ON25" s="242"/>
      <c r="OO25" s="242"/>
      <c r="OP25" s="242"/>
      <c r="OQ25" s="242"/>
      <c r="OR25" s="242"/>
      <c r="OS25" s="243"/>
      <c r="OT25" s="242"/>
      <c r="OU25" s="242"/>
      <c r="OV25" s="242"/>
      <c r="OW25" s="242"/>
      <c r="OX25" s="242"/>
      <c r="OY25" s="243"/>
      <c r="OZ25" s="242"/>
      <c r="PA25" s="242"/>
      <c r="PB25" s="242"/>
      <c r="PC25" s="242"/>
      <c r="PD25" s="242"/>
      <c r="PE25" s="242"/>
      <c r="PF25" s="242"/>
      <c r="PG25" s="242"/>
      <c r="PH25" s="242"/>
      <c r="PI25" s="242"/>
      <c r="PJ25" s="242"/>
      <c r="PK25" s="242"/>
      <c r="PL25" s="242"/>
      <c r="PM25" s="242"/>
      <c r="PN25" s="242"/>
      <c r="PO25" s="242"/>
      <c r="PP25" s="242"/>
      <c r="PQ25" s="242"/>
      <c r="PR25" s="242"/>
      <c r="PS25" s="242"/>
      <c r="PT25" s="242"/>
      <c r="PU25" s="242"/>
      <c r="PV25" s="242"/>
      <c r="PW25" s="242"/>
      <c r="PX25" s="242"/>
      <c r="PY25" s="242"/>
      <c r="PZ25" s="242"/>
      <c r="QA25" s="242"/>
      <c r="QB25" s="242"/>
      <c r="QC25" s="242"/>
      <c r="QD25" s="242"/>
      <c r="QE25" s="242"/>
      <c r="QF25" s="242"/>
      <c r="QG25" s="242"/>
      <c r="QH25" s="242"/>
      <c r="QI25" s="244"/>
    </row>
    <row r="26" spans="1:451" ht="18" customHeight="1" outlineLevel="1" x14ac:dyDescent="0.2">
      <c r="A26" s="247" t="s">
        <v>300</v>
      </c>
      <c r="B26" s="245"/>
      <c r="C26" s="242"/>
      <c r="D26" s="242"/>
      <c r="E26" s="242"/>
      <c r="F26" s="242"/>
      <c r="G26" s="242"/>
      <c r="H26" s="242"/>
      <c r="I26" s="242"/>
      <c r="J26" s="242"/>
      <c r="K26" s="242"/>
      <c r="L26" s="242"/>
      <c r="M26" s="242"/>
      <c r="N26" s="242"/>
      <c r="O26" s="242"/>
      <c r="P26" s="242"/>
      <c r="Q26" s="242"/>
      <c r="R26" s="242"/>
      <c r="S26" s="242"/>
      <c r="T26" s="242"/>
      <c r="U26" s="242"/>
      <c r="V26" s="242"/>
      <c r="W26" s="242"/>
      <c r="X26" s="242"/>
      <c r="Y26" s="242"/>
      <c r="Z26" s="242"/>
      <c r="AA26" s="242"/>
      <c r="AB26" s="242"/>
      <c r="AC26" s="243"/>
      <c r="AD26" s="242"/>
      <c r="AE26" s="242"/>
      <c r="AF26" s="242"/>
      <c r="AG26" s="242"/>
      <c r="AH26" s="242"/>
      <c r="AI26" s="242"/>
      <c r="AJ26" s="242"/>
      <c r="AK26" s="242"/>
      <c r="AL26" s="242"/>
      <c r="AM26" s="242"/>
      <c r="AN26" s="242"/>
      <c r="AO26" s="242"/>
      <c r="AP26" s="242"/>
      <c r="AQ26" s="242"/>
      <c r="AR26" s="243"/>
      <c r="AS26" s="242"/>
      <c r="AT26" s="249"/>
      <c r="AU26" s="249"/>
      <c r="AV26" s="249"/>
      <c r="AW26" s="249"/>
      <c r="AX26" s="249"/>
      <c r="AY26" s="249"/>
      <c r="AZ26" s="249"/>
      <c r="BA26" s="249"/>
      <c r="BB26" s="249"/>
      <c r="BC26" s="249"/>
      <c r="BD26" s="249"/>
      <c r="BE26" s="249"/>
      <c r="BF26" s="242"/>
      <c r="BG26" s="242"/>
      <c r="BH26" s="242"/>
      <c r="BI26" s="242"/>
      <c r="BJ26" s="242"/>
      <c r="BK26" s="242"/>
      <c r="BL26" s="242"/>
      <c r="BM26" s="242"/>
      <c r="BN26" s="242"/>
      <c r="BO26" s="242"/>
      <c r="BP26" s="242"/>
      <c r="BQ26" s="242"/>
      <c r="BR26" s="242"/>
      <c r="BS26" s="242"/>
      <c r="BT26" s="242"/>
      <c r="BU26" s="242"/>
      <c r="BV26" s="242"/>
      <c r="BW26" s="242"/>
      <c r="BX26" s="242"/>
      <c r="BY26" s="242"/>
      <c r="BZ26" s="242"/>
      <c r="CA26" s="242"/>
      <c r="CB26" s="242"/>
      <c r="CC26" s="243"/>
      <c r="CD26" s="243"/>
      <c r="CE26" s="242"/>
      <c r="CF26" s="242"/>
      <c r="CG26" s="242"/>
      <c r="CH26" s="242"/>
      <c r="CI26" s="242"/>
      <c r="CJ26" s="242"/>
      <c r="CK26" s="242"/>
      <c r="CL26" s="242"/>
      <c r="CM26" s="242"/>
      <c r="CN26" s="242"/>
      <c r="CO26" s="242"/>
      <c r="CP26" s="242"/>
      <c r="CQ26" s="242"/>
      <c r="CR26" s="243"/>
      <c r="CS26" s="242"/>
      <c r="CT26" s="242"/>
      <c r="CU26" s="242"/>
      <c r="CV26" s="242"/>
      <c r="CW26" s="242"/>
      <c r="CX26" s="243"/>
      <c r="CY26" s="242"/>
      <c r="CZ26" s="242"/>
      <c r="DA26" s="242"/>
      <c r="DB26" s="242"/>
      <c r="DC26" s="242"/>
      <c r="DD26" s="242"/>
      <c r="DE26" s="242"/>
      <c r="DF26" s="242"/>
      <c r="DG26" s="242"/>
      <c r="DH26" s="242"/>
      <c r="DI26" s="242"/>
      <c r="DJ26" s="242"/>
      <c r="DK26" s="242"/>
      <c r="DL26" s="242"/>
      <c r="DM26" s="242"/>
      <c r="DN26" s="242"/>
      <c r="DO26" s="242"/>
      <c r="DP26" s="242"/>
      <c r="DQ26" s="242"/>
      <c r="DR26" s="242"/>
      <c r="DS26" s="242"/>
      <c r="DT26" s="242"/>
      <c r="DU26" s="242"/>
      <c r="DV26" s="242"/>
      <c r="DW26" s="242"/>
      <c r="DX26" s="242"/>
      <c r="DY26" s="242"/>
      <c r="DZ26" s="242"/>
      <c r="EA26" s="242"/>
      <c r="EB26" s="242"/>
      <c r="EC26" s="242"/>
      <c r="ED26" s="242"/>
      <c r="EE26" s="242"/>
      <c r="EF26" s="242"/>
      <c r="EG26" s="242"/>
      <c r="EH26" s="242"/>
      <c r="EI26" s="242"/>
      <c r="EJ26" s="242"/>
      <c r="EK26" s="242"/>
      <c r="EL26" s="242"/>
      <c r="EM26" s="242"/>
      <c r="EN26" s="242"/>
      <c r="EO26" s="242"/>
      <c r="EP26" s="242"/>
      <c r="EQ26" s="242"/>
      <c r="ER26" s="242"/>
      <c r="ES26" s="242"/>
      <c r="ET26" s="242"/>
      <c r="EU26" s="242"/>
      <c r="EV26" s="242"/>
      <c r="EW26" s="242"/>
      <c r="EX26" s="242"/>
      <c r="EY26" s="242"/>
      <c r="EZ26" s="242"/>
      <c r="FA26" s="242"/>
      <c r="FB26" s="242"/>
      <c r="FC26" s="242"/>
      <c r="FD26" s="242"/>
      <c r="FE26" s="242"/>
      <c r="FF26" s="242"/>
      <c r="FG26" s="242"/>
      <c r="FH26" s="242"/>
      <c r="FI26" s="242"/>
      <c r="FJ26" s="242"/>
      <c r="FK26" s="242"/>
      <c r="FL26" s="242"/>
      <c r="FM26" s="242"/>
      <c r="FN26" s="242"/>
      <c r="FO26" s="242"/>
      <c r="FP26" s="242"/>
      <c r="FQ26" s="243"/>
      <c r="FR26" s="243"/>
      <c r="FS26" s="242"/>
      <c r="FT26" s="242"/>
      <c r="FU26" s="242"/>
      <c r="FV26" s="242"/>
      <c r="FW26" s="242"/>
      <c r="FX26" s="242"/>
      <c r="FY26" s="242"/>
      <c r="FZ26" s="242"/>
      <c r="GA26" s="242"/>
      <c r="GB26" s="242"/>
      <c r="GC26" s="242"/>
      <c r="GD26" s="242"/>
      <c r="GE26" s="242"/>
      <c r="GF26" s="242"/>
      <c r="GG26" s="242"/>
      <c r="GH26" s="242"/>
      <c r="GI26" s="242"/>
      <c r="GJ26" s="242"/>
      <c r="GK26" s="242"/>
      <c r="GL26" s="242"/>
      <c r="GM26" s="242"/>
      <c r="GN26" s="242"/>
      <c r="GO26" s="242"/>
      <c r="GP26" s="242"/>
      <c r="GQ26" s="242"/>
      <c r="GR26" s="242"/>
      <c r="GS26" s="242"/>
      <c r="GT26" s="242"/>
      <c r="GU26" s="242"/>
      <c r="GV26" s="242"/>
      <c r="GW26" s="243"/>
      <c r="GX26" s="242"/>
      <c r="GY26" s="242"/>
      <c r="GZ26" s="242"/>
      <c r="HA26" s="242"/>
      <c r="HB26" s="242"/>
      <c r="HC26" s="242"/>
      <c r="HD26" s="242"/>
      <c r="HE26" s="242"/>
      <c r="HF26" s="242"/>
      <c r="HG26" s="242"/>
      <c r="HH26" s="242"/>
      <c r="HI26" s="242"/>
      <c r="HJ26" s="242"/>
      <c r="HK26" s="242"/>
      <c r="HL26" s="242"/>
      <c r="HM26" s="242"/>
      <c r="HN26" s="242"/>
      <c r="HO26" s="242"/>
      <c r="HP26" s="242"/>
      <c r="HQ26" s="242"/>
      <c r="HR26" s="242"/>
      <c r="HS26" s="242"/>
      <c r="HT26" s="242"/>
      <c r="HU26" s="242"/>
      <c r="HV26" s="242"/>
      <c r="HW26" s="242"/>
      <c r="HX26" s="242"/>
      <c r="HY26" s="242"/>
      <c r="HZ26" s="242"/>
      <c r="IA26" s="242"/>
      <c r="IB26" s="242"/>
      <c r="IC26" s="242"/>
      <c r="ID26" s="242"/>
      <c r="IE26" s="242"/>
      <c r="IF26" s="242"/>
      <c r="IG26" s="242"/>
      <c r="IH26" s="242"/>
      <c r="II26" s="242"/>
      <c r="IJ26" s="242"/>
      <c r="IK26" s="242"/>
      <c r="IL26" s="242"/>
      <c r="IM26" s="242"/>
      <c r="IN26" s="242"/>
      <c r="IO26" s="242"/>
      <c r="IP26" s="242"/>
      <c r="IQ26" s="242"/>
      <c r="IR26" s="242"/>
      <c r="IS26" s="242"/>
      <c r="IT26" s="242"/>
      <c r="IU26" s="242"/>
      <c r="IV26" s="243"/>
      <c r="IW26" s="242"/>
      <c r="IX26" s="242"/>
      <c r="IY26" s="242"/>
      <c r="IZ26" s="242"/>
      <c r="JA26" s="242"/>
      <c r="JB26" s="242"/>
      <c r="JC26" s="242"/>
      <c r="JD26" s="242"/>
      <c r="JE26" s="242"/>
      <c r="JF26" s="242"/>
      <c r="JG26" s="242"/>
      <c r="JH26" s="242"/>
      <c r="JI26" s="242"/>
      <c r="JJ26" s="242"/>
      <c r="JK26" s="242"/>
      <c r="JL26" s="242"/>
      <c r="JM26" s="242"/>
      <c r="JN26" s="242"/>
      <c r="JO26" s="242"/>
      <c r="JP26" s="243"/>
      <c r="JQ26" s="242"/>
      <c r="JR26" s="242"/>
      <c r="JS26" s="242"/>
      <c r="JT26" s="243"/>
      <c r="JU26" s="243"/>
      <c r="JV26" s="242"/>
      <c r="JW26" s="242"/>
      <c r="JX26" s="242"/>
      <c r="JY26" s="242"/>
      <c r="JZ26" s="242"/>
      <c r="KA26" s="242"/>
      <c r="KB26" s="243"/>
      <c r="KC26" s="242"/>
      <c r="KD26" s="242"/>
      <c r="KE26" s="242"/>
      <c r="KF26" s="242"/>
      <c r="KG26" s="242"/>
      <c r="KH26" s="242"/>
      <c r="KI26" s="242"/>
      <c r="KJ26" s="242"/>
      <c r="KK26" s="242"/>
      <c r="KL26" s="242"/>
      <c r="KM26" s="242"/>
      <c r="KN26" s="242"/>
      <c r="KO26" s="242"/>
      <c r="KP26" s="242"/>
      <c r="KQ26" s="242"/>
      <c r="KR26" s="242"/>
      <c r="KS26" s="242"/>
      <c r="KT26" s="242"/>
      <c r="KU26" s="242"/>
      <c r="KV26" s="243"/>
      <c r="KW26" s="242"/>
      <c r="KX26" s="242"/>
      <c r="KY26" s="242"/>
      <c r="KZ26" s="242"/>
      <c r="LA26" s="242"/>
      <c r="LB26" s="242"/>
      <c r="LC26" s="242"/>
      <c r="LD26" s="242"/>
      <c r="LE26" s="242"/>
      <c r="LF26" s="242"/>
      <c r="LG26" s="242"/>
      <c r="LH26" s="242"/>
      <c r="LI26" s="242"/>
      <c r="LJ26" s="242"/>
      <c r="LK26" s="242"/>
      <c r="LL26" s="242"/>
      <c r="LM26" s="242"/>
      <c r="LN26" s="242"/>
      <c r="LO26" s="242"/>
      <c r="LP26" s="242"/>
      <c r="LQ26" s="242"/>
      <c r="LR26" s="242"/>
      <c r="LS26" s="242"/>
      <c r="LT26" s="242"/>
      <c r="LU26" s="242"/>
      <c r="LV26" s="242"/>
      <c r="LW26" s="242"/>
      <c r="LX26" s="242"/>
      <c r="LY26" s="242"/>
      <c r="LZ26" s="242"/>
      <c r="MA26" s="242"/>
      <c r="MB26" s="242"/>
      <c r="MC26" s="242"/>
      <c r="MD26" s="243"/>
      <c r="ME26" s="242"/>
      <c r="MF26" s="242"/>
      <c r="MG26" s="242"/>
      <c r="MH26" s="242"/>
      <c r="MI26" s="242"/>
      <c r="MJ26" s="242"/>
      <c r="MK26" s="242"/>
      <c r="ML26" s="242"/>
      <c r="MM26" s="242"/>
      <c r="MN26" s="242"/>
      <c r="MO26" s="242"/>
      <c r="MP26" s="242"/>
      <c r="MQ26" s="242"/>
      <c r="MR26" s="242"/>
      <c r="MS26" s="242"/>
      <c r="MT26" s="242"/>
      <c r="MU26" s="242"/>
      <c r="MV26" s="242"/>
      <c r="MW26" s="242"/>
      <c r="MX26" s="243"/>
      <c r="MY26" s="242"/>
      <c r="MZ26" s="242"/>
      <c r="NA26" s="242"/>
      <c r="NB26" s="242"/>
      <c r="NC26" s="242"/>
      <c r="ND26" s="242"/>
      <c r="NE26" s="242"/>
      <c r="NF26" s="242"/>
      <c r="NG26" s="242"/>
      <c r="NH26" s="242"/>
      <c r="NI26" s="242"/>
      <c r="NJ26" s="242"/>
      <c r="NK26" s="242"/>
      <c r="NL26" s="242"/>
      <c r="NM26" s="242"/>
      <c r="NN26" s="242"/>
      <c r="NO26" s="242"/>
      <c r="NP26" s="242"/>
      <c r="NQ26" s="242"/>
      <c r="NR26" s="242"/>
      <c r="NS26" s="242"/>
      <c r="NT26" s="242"/>
      <c r="NU26" s="242"/>
      <c r="NV26" s="242"/>
      <c r="NW26" s="242"/>
      <c r="NX26" s="242"/>
      <c r="NY26" s="242"/>
      <c r="NZ26" s="242"/>
      <c r="OA26" s="242"/>
      <c r="OB26" s="242"/>
      <c r="OC26" s="242"/>
      <c r="OD26" s="243"/>
      <c r="OE26" s="243"/>
      <c r="OF26" s="242"/>
      <c r="OG26" s="242"/>
      <c r="OH26" s="242"/>
      <c r="OI26" s="242"/>
      <c r="OJ26" s="242"/>
      <c r="OK26" s="242"/>
      <c r="OL26" s="242"/>
      <c r="OM26" s="242"/>
      <c r="ON26" s="242"/>
      <c r="OO26" s="242"/>
      <c r="OP26" s="242"/>
      <c r="OQ26" s="242"/>
      <c r="OR26" s="242"/>
      <c r="OS26" s="243"/>
      <c r="OT26" s="242"/>
      <c r="OU26" s="242"/>
      <c r="OV26" s="242"/>
      <c r="OW26" s="242"/>
      <c r="OX26" s="242"/>
      <c r="OY26" s="243"/>
      <c r="OZ26" s="242"/>
      <c r="PA26" s="242"/>
      <c r="PB26" s="242"/>
      <c r="PC26" s="242"/>
      <c r="PD26" s="242"/>
      <c r="PE26" s="242"/>
      <c r="PF26" s="242"/>
      <c r="PG26" s="242"/>
      <c r="PH26" s="242"/>
      <c r="PI26" s="242"/>
      <c r="PJ26" s="242"/>
      <c r="PK26" s="242"/>
      <c r="PL26" s="242"/>
      <c r="PM26" s="242"/>
      <c r="PN26" s="242"/>
      <c r="PO26" s="242"/>
      <c r="PP26" s="242"/>
      <c r="PQ26" s="242"/>
      <c r="PR26" s="242"/>
      <c r="PS26" s="242"/>
      <c r="PT26" s="242"/>
      <c r="PU26" s="242"/>
      <c r="PV26" s="242"/>
      <c r="PW26" s="242"/>
      <c r="PX26" s="242"/>
      <c r="PY26" s="242"/>
      <c r="PZ26" s="242"/>
      <c r="QA26" s="242"/>
      <c r="QB26" s="242"/>
      <c r="QC26" s="242"/>
      <c r="QD26" s="242"/>
      <c r="QE26" s="242"/>
      <c r="QF26" s="242"/>
      <c r="QG26" s="242"/>
      <c r="QH26" s="242"/>
      <c r="QI26" s="244"/>
    </row>
    <row r="27" spans="1:451" ht="18" customHeight="1" outlineLevel="1" x14ac:dyDescent="0.2">
      <c r="A27" s="247" t="s">
        <v>301</v>
      </c>
      <c r="B27" s="245"/>
      <c r="C27" s="242"/>
      <c r="D27" s="242"/>
      <c r="E27" s="242"/>
      <c r="F27" s="242"/>
      <c r="G27" s="242"/>
      <c r="H27" s="242"/>
      <c r="I27" s="242"/>
      <c r="J27" s="242"/>
      <c r="K27" s="242"/>
      <c r="L27" s="242"/>
      <c r="M27" s="242"/>
      <c r="N27" s="242"/>
      <c r="O27" s="242"/>
      <c r="P27" s="242"/>
      <c r="Q27" s="242"/>
      <c r="R27" s="242"/>
      <c r="S27" s="242"/>
      <c r="T27" s="242"/>
      <c r="U27" s="242"/>
      <c r="V27" s="242"/>
      <c r="W27" s="242"/>
      <c r="X27" s="242"/>
      <c r="Y27" s="242"/>
      <c r="Z27" s="242"/>
      <c r="AA27" s="242"/>
      <c r="AB27" s="242"/>
      <c r="AC27" s="243"/>
      <c r="AD27" s="242"/>
      <c r="AE27" s="242"/>
      <c r="AF27" s="242"/>
      <c r="AG27" s="242"/>
      <c r="AH27" s="242"/>
      <c r="AI27" s="242"/>
      <c r="AJ27" s="242"/>
      <c r="AK27" s="242"/>
      <c r="AL27" s="242"/>
      <c r="AM27" s="242"/>
      <c r="AN27" s="242"/>
      <c r="AO27" s="242"/>
      <c r="AP27" s="242"/>
      <c r="AQ27" s="242"/>
      <c r="AR27" s="243"/>
      <c r="AS27" s="242"/>
      <c r="AT27" s="241"/>
      <c r="AU27" s="241"/>
      <c r="AV27" s="241"/>
      <c r="AW27" s="241"/>
      <c r="AX27" s="241"/>
      <c r="AY27" s="241"/>
      <c r="AZ27" s="241"/>
      <c r="BA27" s="241"/>
      <c r="BB27" s="241"/>
      <c r="BC27" s="241"/>
      <c r="BD27" s="241"/>
      <c r="BE27" s="241"/>
      <c r="BF27" s="242"/>
      <c r="BG27" s="242"/>
      <c r="BH27" s="242"/>
      <c r="BI27" s="242"/>
      <c r="BJ27" s="242"/>
      <c r="BK27" s="242"/>
      <c r="BL27" s="242"/>
      <c r="BM27" s="242"/>
      <c r="BN27" s="242"/>
      <c r="BO27" s="242"/>
      <c r="BP27" s="242"/>
      <c r="BQ27" s="242"/>
      <c r="BR27" s="242"/>
      <c r="BS27" s="242"/>
      <c r="BT27" s="242"/>
      <c r="BU27" s="242"/>
      <c r="BV27" s="242"/>
      <c r="BW27" s="242"/>
      <c r="BX27" s="242"/>
      <c r="BY27" s="242"/>
      <c r="BZ27" s="242"/>
      <c r="CA27" s="242"/>
      <c r="CB27" s="242"/>
      <c r="CC27" s="243"/>
      <c r="CD27" s="243"/>
      <c r="CE27" s="242"/>
      <c r="CF27" s="242"/>
      <c r="CG27" s="242"/>
      <c r="CH27" s="242"/>
      <c r="CI27" s="242"/>
      <c r="CJ27" s="242"/>
      <c r="CK27" s="242"/>
      <c r="CL27" s="242"/>
      <c r="CM27" s="242"/>
      <c r="CN27" s="242"/>
      <c r="CO27" s="242"/>
      <c r="CP27" s="242"/>
      <c r="CQ27" s="242"/>
      <c r="CR27" s="243"/>
      <c r="CS27" s="242"/>
      <c r="CT27" s="242"/>
      <c r="CU27" s="242"/>
      <c r="CV27" s="242"/>
      <c r="CW27" s="242"/>
      <c r="CX27" s="243"/>
      <c r="CY27" s="242"/>
      <c r="CZ27" s="242"/>
      <c r="DA27" s="242"/>
      <c r="DB27" s="242"/>
      <c r="DC27" s="242"/>
      <c r="DD27" s="242"/>
      <c r="DE27" s="242"/>
      <c r="DF27" s="242"/>
      <c r="DG27" s="242"/>
      <c r="DH27" s="242"/>
      <c r="DI27" s="242"/>
      <c r="DJ27" s="242"/>
      <c r="DK27" s="242"/>
      <c r="DL27" s="242"/>
      <c r="DM27" s="242"/>
      <c r="DN27" s="242"/>
      <c r="DO27" s="242"/>
      <c r="DP27" s="242"/>
      <c r="DQ27" s="242"/>
      <c r="DR27" s="242"/>
      <c r="DS27" s="242"/>
      <c r="DT27" s="242"/>
      <c r="DU27" s="242"/>
      <c r="DV27" s="242"/>
      <c r="DW27" s="242"/>
      <c r="DX27" s="242"/>
      <c r="DY27" s="242"/>
      <c r="DZ27" s="242"/>
      <c r="EA27" s="242"/>
      <c r="EB27" s="242"/>
      <c r="EC27" s="242"/>
      <c r="ED27" s="242"/>
      <c r="EE27" s="242"/>
      <c r="EF27" s="242"/>
      <c r="EG27" s="242"/>
      <c r="EH27" s="242"/>
      <c r="EI27" s="242"/>
      <c r="EJ27" s="242"/>
      <c r="EK27" s="242"/>
      <c r="EL27" s="242"/>
      <c r="EM27" s="242"/>
      <c r="EN27" s="242"/>
      <c r="EO27" s="242"/>
      <c r="EP27" s="242"/>
      <c r="EQ27" s="242"/>
      <c r="ER27" s="242"/>
      <c r="ES27" s="242"/>
      <c r="ET27" s="242"/>
      <c r="EU27" s="242"/>
      <c r="EV27" s="242"/>
      <c r="EW27" s="242"/>
      <c r="EX27" s="242"/>
      <c r="EY27" s="242"/>
      <c r="EZ27" s="242"/>
      <c r="FA27" s="242"/>
      <c r="FB27" s="242"/>
      <c r="FC27" s="242"/>
      <c r="FD27" s="242"/>
      <c r="FE27" s="242"/>
      <c r="FF27" s="242"/>
      <c r="FG27" s="242"/>
      <c r="FH27" s="242"/>
      <c r="FI27" s="242"/>
      <c r="FJ27" s="242"/>
      <c r="FK27" s="242"/>
      <c r="FL27" s="242"/>
      <c r="FM27" s="242"/>
      <c r="FN27" s="242"/>
      <c r="FO27" s="242"/>
      <c r="FP27" s="242"/>
      <c r="FQ27" s="243"/>
      <c r="FR27" s="243"/>
      <c r="FS27" s="242"/>
      <c r="FT27" s="242"/>
      <c r="FU27" s="242"/>
      <c r="FV27" s="242"/>
      <c r="FW27" s="242"/>
      <c r="FX27" s="242"/>
      <c r="FY27" s="242"/>
      <c r="FZ27" s="242"/>
      <c r="GA27" s="242"/>
      <c r="GB27" s="242"/>
      <c r="GC27" s="242"/>
      <c r="GD27" s="242"/>
      <c r="GE27" s="242"/>
      <c r="GF27" s="242"/>
      <c r="GG27" s="242"/>
      <c r="GH27" s="242"/>
      <c r="GI27" s="242"/>
      <c r="GJ27" s="242"/>
      <c r="GK27" s="242"/>
      <c r="GL27" s="242"/>
      <c r="GM27" s="242"/>
      <c r="GN27" s="242"/>
      <c r="GO27" s="242"/>
      <c r="GP27" s="242"/>
      <c r="GQ27" s="242"/>
      <c r="GR27" s="242"/>
      <c r="GS27" s="242"/>
      <c r="GT27" s="242"/>
      <c r="GU27" s="242"/>
      <c r="GV27" s="242"/>
      <c r="GW27" s="243"/>
      <c r="GX27" s="242"/>
      <c r="GY27" s="242"/>
      <c r="GZ27" s="242"/>
      <c r="HA27" s="242"/>
      <c r="HB27" s="242"/>
      <c r="HC27" s="242"/>
      <c r="HD27" s="242"/>
      <c r="HE27" s="242"/>
      <c r="HF27" s="242"/>
      <c r="HG27" s="242"/>
      <c r="HH27" s="242"/>
      <c r="HI27" s="242"/>
      <c r="HJ27" s="242"/>
      <c r="HK27" s="242"/>
      <c r="HL27" s="242"/>
      <c r="HM27" s="242"/>
      <c r="HN27" s="242"/>
      <c r="HO27" s="242"/>
      <c r="HP27" s="242"/>
      <c r="HQ27" s="242"/>
      <c r="HR27" s="242"/>
      <c r="HS27" s="242"/>
      <c r="HT27" s="242"/>
      <c r="HU27" s="242"/>
      <c r="HV27" s="242"/>
      <c r="HW27" s="242"/>
      <c r="HX27" s="242"/>
      <c r="HY27" s="242"/>
      <c r="HZ27" s="242"/>
      <c r="IA27" s="242"/>
      <c r="IB27" s="242"/>
      <c r="IC27" s="242"/>
      <c r="ID27" s="242"/>
      <c r="IE27" s="242"/>
      <c r="IF27" s="242"/>
      <c r="IG27" s="242"/>
      <c r="IH27" s="242"/>
      <c r="II27" s="242"/>
      <c r="IJ27" s="242"/>
      <c r="IK27" s="242"/>
      <c r="IL27" s="242"/>
      <c r="IM27" s="242"/>
      <c r="IN27" s="242"/>
      <c r="IO27" s="242"/>
      <c r="IP27" s="242"/>
      <c r="IQ27" s="242"/>
      <c r="IR27" s="242"/>
      <c r="IS27" s="242"/>
      <c r="IT27" s="242"/>
      <c r="IU27" s="242"/>
      <c r="IV27" s="243"/>
      <c r="IW27" s="242"/>
      <c r="IX27" s="242"/>
      <c r="IY27" s="242"/>
      <c r="IZ27" s="242"/>
      <c r="JA27" s="242"/>
      <c r="JB27" s="242"/>
      <c r="JC27" s="242"/>
      <c r="JD27" s="242"/>
      <c r="JE27" s="242"/>
      <c r="JF27" s="242"/>
      <c r="JG27" s="242"/>
      <c r="JH27" s="242"/>
      <c r="JI27" s="242"/>
      <c r="JJ27" s="242"/>
      <c r="JK27" s="242"/>
      <c r="JL27" s="242"/>
      <c r="JM27" s="242"/>
      <c r="JN27" s="242"/>
      <c r="JO27" s="242"/>
      <c r="JP27" s="243"/>
      <c r="JQ27" s="242"/>
      <c r="JR27" s="242"/>
      <c r="JS27" s="242"/>
      <c r="JT27" s="243"/>
      <c r="JU27" s="243"/>
      <c r="JV27" s="242"/>
      <c r="JW27" s="242"/>
      <c r="JX27" s="242"/>
      <c r="JY27" s="242"/>
      <c r="JZ27" s="242"/>
      <c r="KA27" s="242"/>
      <c r="KB27" s="243"/>
      <c r="KC27" s="242"/>
      <c r="KD27" s="242"/>
      <c r="KE27" s="242"/>
      <c r="KF27" s="242"/>
      <c r="KG27" s="242"/>
      <c r="KH27" s="242"/>
      <c r="KI27" s="242"/>
      <c r="KJ27" s="242"/>
      <c r="KK27" s="242"/>
      <c r="KL27" s="242"/>
      <c r="KM27" s="242"/>
      <c r="KN27" s="242"/>
      <c r="KO27" s="242"/>
      <c r="KP27" s="242"/>
      <c r="KQ27" s="242"/>
      <c r="KR27" s="242"/>
      <c r="KS27" s="242"/>
      <c r="KT27" s="242"/>
      <c r="KU27" s="242"/>
      <c r="KV27" s="243"/>
      <c r="KW27" s="242"/>
      <c r="KX27" s="242"/>
      <c r="KY27" s="242"/>
      <c r="KZ27" s="242"/>
      <c r="LA27" s="242"/>
      <c r="LB27" s="242"/>
      <c r="LC27" s="242"/>
      <c r="LD27" s="242"/>
      <c r="LE27" s="242"/>
      <c r="LF27" s="242"/>
      <c r="LG27" s="242"/>
      <c r="LH27" s="242"/>
      <c r="LI27" s="242"/>
      <c r="LJ27" s="242"/>
      <c r="LK27" s="242"/>
      <c r="LL27" s="242"/>
      <c r="LM27" s="242"/>
      <c r="LN27" s="242"/>
      <c r="LO27" s="242"/>
      <c r="LP27" s="242"/>
      <c r="LQ27" s="242"/>
      <c r="LR27" s="242"/>
      <c r="LS27" s="242"/>
      <c r="LT27" s="242"/>
      <c r="LU27" s="242"/>
      <c r="LV27" s="242"/>
      <c r="LW27" s="242"/>
      <c r="LX27" s="242"/>
      <c r="LY27" s="242"/>
      <c r="LZ27" s="242"/>
      <c r="MA27" s="242"/>
      <c r="MB27" s="242"/>
      <c r="MC27" s="242"/>
      <c r="MD27" s="243"/>
      <c r="ME27" s="242"/>
      <c r="MF27" s="242"/>
      <c r="MG27" s="242"/>
      <c r="MH27" s="242"/>
      <c r="MI27" s="242"/>
      <c r="MJ27" s="242"/>
      <c r="MK27" s="242"/>
      <c r="ML27" s="242"/>
      <c r="MM27" s="242"/>
      <c r="MN27" s="242"/>
      <c r="MO27" s="242"/>
      <c r="MP27" s="242"/>
      <c r="MQ27" s="242"/>
      <c r="MR27" s="242"/>
      <c r="MS27" s="242"/>
      <c r="MT27" s="242"/>
      <c r="MU27" s="242"/>
      <c r="MV27" s="242"/>
      <c r="MW27" s="242"/>
      <c r="MX27" s="243"/>
      <c r="MY27" s="242"/>
      <c r="MZ27" s="242"/>
      <c r="NA27" s="242"/>
      <c r="NB27" s="242"/>
      <c r="NC27" s="242"/>
      <c r="ND27" s="242"/>
      <c r="NE27" s="242"/>
      <c r="NF27" s="242"/>
      <c r="NG27" s="242"/>
      <c r="NH27" s="242"/>
      <c r="NI27" s="242"/>
      <c r="NJ27" s="242"/>
      <c r="NK27" s="242"/>
      <c r="NL27" s="242"/>
      <c r="NM27" s="242"/>
      <c r="NN27" s="242"/>
      <c r="NO27" s="242"/>
      <c r="NP27" s="242"/>
      <c r="NQ27" s="242"/>
      <c r="NR27" s="242"/>
      <c r="NS27" s="242"/>
      <c r="NT27" s="242"/>
      <c r="NU27" s="242"/>
      <c r="NV27" s="242"/>
      <c r="NW27" s="242"/>
      <c r="NX27" s="242"/>
      <c r="NY27" s="242"/>
      <c r="NZ27" s="242"/>
      <c r="OA27" s="242"/>
      <c r="OB27" s="242"/>
      <c r="OC27" s="242"/>
      <c r="OD27" s="243"/>
      <c r="OE27" s="243"/>
      <c r="OF27" s="242"/>
      <c r="OG27" s="242"/>
      <c r="OH27" s="242"/>
      <c r="OI27" s="242"/>
      <c r="OJ27" s="242"/>
      <c r="OK27" s="242"/>
      <c r="OL27" s="242"/>
      <c r="OM27" s="242"/>
      <c r="ON27" s="242"/>
      <c r="OO27" s="242"/>
      <c r="OP27" s="242"/>
      <c r="OQ27" s="242"/>
      <c r="OR27" s="242"/>
      <c r="OS27" s="243"/>
      <c r="OT27" s="242"/>
      <c r="OU27" s="242"/>
      <c r="OV27" s="242"/>
      <c r="OW27" s="242"/>
      <c r="OX27" s="242"/>
      <c r="OY27" s="243"/>
      <c r="OZ27" s="242"/>
      <c r="PA27" s="242"/>
      <c r="PB27" s="242"/>
      <c r="PC27" s="242"/>
      <c r="PD27" s="242"/>
      <c r="PE27" s="242"/>
      <c r="PF27" s="242"/>
      <c r="PG27" s="242"/>
      <c r="PH27" s="242"/>
      <c r="PI27" s="242"/>
      <c r="PJ27" s="242"/>
      <c r="PK27" s="242"/>
      <c r="PL27" s="242"/>
      <c r="PM27" s="242"/>
      <c r="PN27" s="242"/>
      <c r="PO27" s="242"/>
      <c r="PP27" s="242"/>
      <c r="PQ27" s="242"/>
      <c r="PR27" s="242"/>
      <c r="PS27" s="242"/>
      <c r="PT27" s="242"/>
      <c r="PU27" s="242"/>
      <c r="PV27" s="242"/>
      <c r="PW27" s="242"/>
      <c r="PX27" s="242"/>
      <c r="PY27" s="242"/>
      <c r="PZ27" s="242"/>
      <c r="QA27" s="242"/>
      <c r="QB27" s="242"/>
      <c r="QC27" s="242"/>
      <c r="QD27" s="242"/>
      <c r="QE27" s="242"/>
      <c r="QF27" s="242"/>
      <c r="QG27" s="242"/>
      <c r="QH27" s="242"/>
      <c r="QI27" s="244"/>
    </row>
    <row r="28" spans="1:451" ht="18" customHeight="1" outlineLevel="1" x14ac:dyDescent="0.2">
      <c r="A28" s="247" t="s">
        <v>302</v>
      </c>
      <c r="B28" s="245"/>
      <c r="C28" s="242"/>
      <c r="D28" s="242"/>
      <c r="E28" s="242"/>
      <c r="F28" s="242"/>
      <c r="G28" s="242"/>
      <c r="H28" s="242"/>
      <c r="I28" s="242"/>
      <c r="J28" s="242"/>
      <c r="K28" s="242"/>
      <c r="L28" s="242"/>
      <c r="M28" s="242"/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  <c r="Y28" s="242"/>
      <c r="Z28" s="242"/>
      <c r="AA28" s="242"/>
      <c r="AB28" s="242"/>
      <c r="AC28" s="243"/>
      <c r="AD28" s="242"/>
      <c r="AE28" s="242"/>
      <c r="AF28" s="242"/>
      <c r="AG28" s="242"/>
      <c r="AH28" s="242"/>
      <c r="AI28" s="242"/>
      <c r="AJ28" s="242"/>
      <c r="AK28" s="242"/>
      <c r="AL28" s="242"/>
      <c r="AM28" s="242"/>
      <c r="AN28" s="242"/>
      <c r="AO28" s="242"/>
      <c r="AP28" s="242"/>
      <c r="AQ28" s="242"/>
      <c r="AR28" s="243"/>
      <c r="AS28" s="242"/>
      <c r="AT28" s="249"/>
      <c r="AU28" s="249"/>
      <c r="AV28" s="249"/>
      <c r="AW28" s="249"/>
      <c r="AX28" s="249"/>
      <c r="AY28" s="249"/>
      <c r="AZ28" s="249"/>
      <c r="BA28" s="249"/>
      <c r="BB28" s="249"/>
      <c r="BC28" s="249"/>
      <c r="BD28" s="249"/>
      <c r="BE28" s="249"/>
      <c r="BF28" s="242"/>
      <c r="BG28" s="242"/>
      <c r="BH28" s="242"/>
      <c r="BI28" s="242"/>
      <c r="BJ28" s="242"/>
      <c r="BK28" s="242"/>
      <c r="BL28" s="242"/>
      <c r="BM28" s="242"/>
      <c r="BN28" s="242"/>
      <c r="BO28" s="242"/>
      <c r="BP28" s="242"/>
      <c r="BQ28" s="242"/>
      <c r="BR28" s="242"/>
      <c r="BS28" s="242"/>
      <c r="BT28" s="242"/>
      <c r="BU28" s="242"/>
      <c r="BV28" s="242"/>
      <c r="BW28" s="242"/>
      <c r="BX28" s="242"/>
      <c r="BY28" s="242"/>
      <c r="BZ28" s="242"/>
      <c r="CA28" s="242"/>
      <c r="CB28" s="242"/>
      <c r="CC28" s="243"/>
      <c r="CD28" s="243"/>
      <c r="CE28" s="242"/>
      <c r="CF28" s="242"/>
      <c r="CG28" s="242"/>
      <c r="CH28" s="242"/>
      <c r="CI28" s="242"/>
      <c r="CJ28" s="242"/>
      <c r="CK28" s="242"/>
      <c r="CL28" s="242"/>
      <c r="CM28" s="242"/>
      <c r="CN28" s="242"/>
      <c r="CO28" s="242"/>
      <c r="CP28" s="242"/>
      <c r="CQ28" s="242"/>
      <c r="CR28" s="243"/>
      <c r="CS28" s="242"/>
      <c r="CT28" s="242"/>
      <c r="CU28" s="242"/>
      <c r="CV28" s="242"/>
      <c r="CW28" s="242"/>
      <c r="CX28" s="243"/>
      <c r="CY28" s="242"/>
      <c r="CZ28" s="242"/>
      <c r="DA28" s="242"/>
      <c r="DB28" s="242"/>
      <c r="DC28" s="242"/>
      <c r="DD28" s="242"/>
      <c r="DE28" s="242"/>
      <c r="DF28" s="242"/>
      <c r="DG28" s="242"/>
      <c r="DH28" s="242"/>
      <c r="DI28" s="242"/>
      <c r="DJ28" s="242"/>
      <c r="DK28" s="242"/>
      <c r="DL28" s="242"/>
      <c r="DM28" s="242"/>
      <c r="DN28" s="242"/>
      <c r="DO28" s="242"/>
      <c r="DP28" s="242"/>
      <c r="DQ28" s="242"/>
      <c r="DR28" s="242"/>
      <c r="DS28" s="242"/>
      <c r="DT28" s="242"/>
      <c r="DU28" s="242"/>
      <c r="DV28" s="242"/>
      <c r="DW28" s="242"/>
      <c r="DX28" s="242"/>
      <c r="DY28" s="242"/>
      <c r="DZ28" s="242"/>
      <c r="EA28" s="242"/>
      <c r="EB28" s="242"/>
      <c r="EC28" s="242"/>
      <c r="ED28" s="242"/>
      <c r="EE28" s="242"/>
      <c r="EF28" s="242"/>
      <c r="EG28" s="242"/>
      <c r="EH28" s="242"/>
      <c r="EI28" s="242"/>
      <c r="EJ28" s="242"/>
      <c r="EK28" s="242"/>
      <c r="EL28" s="242"/>
      <c r="EM28" s="242"/>
      <c r="EN28" s="242"/>
      <c r="EO28" s="242"/>
      <c r="EP28" s="242"/>
      <c r="EQ28" s="242"/>
      <c r="ER28" s="242"/>
      <c r="ES28" s="242"/>
      <c r="ET28" s="242"/>
      <c r="EU28" s="242"/>
      <c r="EV28" s="242"/>
      <c r="EW28" s="242"/>
      <c r="EX28" s="242"/>
      <c r="EY28" s="242"/>
      <c r="EZ28" s="242"/>
      <c r="FA28" s="242"/>
      <c r="FB28" s="242"/>
      <c r="FC28" s="242"/>
      <c r="FD28" s="242"/>
      <c r="FE28" s="242"/>
      <c r="FF28" s="242"/>
      <c r="FG28" s="242"/>
      <c r="FH28" s="242"/>
      <c r="FI28" s="242"/>
      <c r="FJ28" s="242"/>
      <c r="FK28" s="242"/>
      <c r="FL28" s="242"/>
      <c r="FM28" s="242"/>
      <c r="FN28" s="242"/>
      <c r="FO28" s="242"/>
      <c r="FP28" s="242"/>
      <c r="FQ28" s="243"/>
      <c r="FR28" s="243"/>
      <c r="FS28" s="242"/>
      <c r="FT28" s="242"/>
      <c r="FU28" s="242"/>
      <c r="FV28" s="242"/>
      <c r="FW28" s="242"/>
      <c r="FX28" s="242"/>
      <c r="FY28" s="242"/>
      <c r="FZ28" s="242"/>
      <c r="GA28" s="242"/>
      <c r="GB28" s="242"/>
      <c r="GC28" s="242"/>
      <c r="GD28" s="242"/>
      <c r="GE28" s="242"/>
      <c r="GF28" s="242"/>
      <c r="GG28" s="242"/>
      <c r="GH28" s="242"/>
      <c r="GI28" s="242"/>
      <c r="GJ28" s="242"/>
      <c r="GK28" s="242"/>
      <c r="GL28" s="242"/>
      <c r="GM28" s="242"/>
      <c r="GN28" s="242"/>
      <c r="GO28" s="242"/>
      <c r="GP28" s="242"/>
      <c r="GQ28" s="242"/>
      <c r="GR28" s="242"/>
      <c r="GS28" s="242"/>
      <c r="GT28" s="242"/>
      <c r="GU28" s="242"/>
      <c r="GV28" s="242"/>
      <c r="GW28" s="243"/>
      <c r="GX28" s="242"/>
      <c r="GY28" s="242"/>
      <c r="GZ28" s="242"/>
      <c r="HA28" s="242"/>
      <c r="HB28" s="242"/>
      <c r="HC28" s="242"/>
      <c r="HD28" s="242"/>
      <c r="HE28" s="242"/>
      <c r="HF28" s="242"/>
      <c r="HG28" s="242"/>
      <c r="HH28" s="242"/>
      <c r="HI28" s="242"/>
      <c r="HJ28" s="242"/>
      <c r="HK28" s="242"/>
      <c r="HL28" s="242"/>
      <c r="HM28" s="242"/>
      <c r="HN28" s="242"/>
      <c r="HO28" s="242"/>
      <c r="HP28" s="242"/>
      <c r="HQ28" s="242"/>
      <c r="HR28" s="242"/>
      <c r="HS28" s="242"/>
      <c r="HT28" s="242"/>
      <c r="HU28" s="242"/>
      <c r="HV28" s="242"/>
      <c r="HW28" s="242"/>
      <c r="HX28" s="242"/>
      <c r="HY28" s="242"/>
      <c r="HZ28" s="242"/>
      <c r="IA28" s="242"/>
      <c r="IB28" s="242"/>
      <c r="IC28" s="242"/>
      <c r="ID28" s="242"/>
      <c r="IE28" s="242"/>
      <c r="IF28" s="242"/>
      <c r="IG28" s="242"/>
      <c r="IH28" s="242"/>
      <c r="II28" s="242"/>
      <c r="IJ28" s="242"/>
      <c r="IK28" s="242"/>
      <c r="IL28" s="242"/>
      <c r="IM28" s="242"/>
      <c r="IN28" s="242"/>
      <c r="IO28" s="242"/>
      <c r="IP28" s="242"/>
      <c r="IQ28" s="242"/>
      <c r="IR28" s="242"/>
      <c r="IS28" s="242"/>
      <c r="IT28" s="242"/>
      <c r="IU28" s="242"/>
      <c r="IV28" s="243"/>
      <c r="IW28" s="242"/>
      <c r="IX28" s="242"/>
      <c r="IY28" s="242"/>
      <c r="IZ28" s="242"/>
      <c r="JA28" s="242"/>
      <c r="JB28" s="242"/>
      <c r="JC28" s="242"/>
      <c r="JD28" s="242"/>
      <c r="JE28" s="242"/>
      <c r="JF28" s="242"/>
      <c r="JG28" s="242"/>
      <c r="JH28" s="242"/>
      <c r="JI28" s="242"/>
      <c r="JJ28" s="242"/>
      <c r="JK28" s="242"/>
      <c r="JL28" s="242"/>
      <c r="JM28" s="242"/>
      <c r="JN28" s="242"/>
      <c r="JO28" s="242"/>
      <c r="JP28" s="243"/>
      <c r="JQ28" s="242"/>
      <c r="JR28" s="242"/>
      <c r="JS28" s="242"/>
      <c r="JT28" s="243"/>
      <c r="JU28" s="243"/>
      <c r="JV28" s="242"/>
      <c r="JW28" s="242"/>
      <c r="JX28" s="242"/>
      <c r="JY28" s="242"/>
      <c r="JZ28" s="242"/>
      <c r="KA28" s="242"/>
      <c r="KB28" s="243"/>
      <c r="KC28" s="242"/>
      <c r="KD28" s="242"/>
      <c r="KE28" s="242"/>
      <c r="KF28" s="242"/>
      <c r="KG28" s="242"/>
      <c r="KH28" s="242"/>
      <c r="KI28" s="242"/>
      <c r="KJ28" s="242"/>
      <c r="KK28" s="242"/>
      <c r="KL28" s="242"/>
      <c r="KM28" s="242"/>
      <c r="KN28" s="242"/>
      <c r="KO28" s="242"/>
      <c r="KP28" s="242"/>
      <c r="KQ28" s="242"/>
      <c r="KR28" s="242"/>
      <c r="KS28" s="242"/>
      <c r="KT28" s="242"/>
      <c r="KU28" s="242"/>
      <c r="KV28" s="243"/>
      <c r="KW28" s="242"/>
      <c r="KX28" s="242"/>
      <c r="KY28" s="242"/>
      <c r="KZ28" s="242"/>
      <c r="LA28" s="242"/>
      <c r="LB28" s="242"/>
      <c r="LC28" s="242"/>
      <c r="LD28" s="242"/>
      <c r="LE28" s="242"/>
      <c r="LF28" s="242"/>
      <c r="LG28" s="242"/>
      <c r="LH28" s="242"/>
      <c r="LI28" s="242"/>
      <c r="LJ28" s="242"/>
      <c r="LK28" s="242"/>
      <c r="LL28" s="242"/>
      <c r="LM28" s="242"/>
      <c r="LN28" s="242"/>
      <c r="LO28" s="242"/>
      <c r="LP28" s="242"/>
      <c r="LQ28" s="242"/>
      <c r="LR28" s="242"/>
      <c r="LS28" s="242"/>
      <c r="LT28" s="242"/>
      <c r="LU28" s="242"/>
      <c r="LV28" s="242"/>
      <c r="LW28" s="242"/>
      <c r="LX28" s="242"/>
      <c r="LY28" s="242"/>
      <c r="LZ28" s="242"/>
      <c r="MA28" s="242"/>
      <c r="MB28" s="242"/>
      <c r="MC28" s="242"/>
      <c r="MD28" s="243"/>
      <c r="ME28" s="242"/>
      <c r="MF28" s="242"/>
      <c r="MG28" s="242"/>
      <c r="MH28" s="242"/>
      <c r="MI28" s="242"/>
      <c r="MJ28" s="242"/>
      <c r="MK28" s="242"/>
      <c r="ML28" s="242"/>
      <c r="MM28" s="242"/>
      <c r="MN28" s="242"/>
      <c r="MO28" s="242"/>
      <c r="MP28" s="242"/>
      <c r="MQ28" s="242"/>
      <c r="MR28" s="242"/>
      <c r="MS28" s="242"/>
      <c r="MT28" s="242"/>
      <c r="MU28" s="242"/>
      <c r="MV28" s="242"/>
      <c r="MW28" s="242"/>
      <c r="MX28" s="243"/>
      <c r="MY28" s="242"/>
      <c r="MZ28" s="242"/>
      <c r="NA28" s="242"/>
      <c r="NB28" s="242"/>
      <c r="NC28" s="242"/>
      <c r="ND28" s="242"/>
      <c r="NE28" s="242"/>
      <c r="NF28" s="242"/>
      <c r="NG28" s="242"/>
      <c r="NH28" s="242"/>
      <c r="NI28" s="242"/>
      <c r="NJ28" s="242"/>
      <c r="NK28" s="242"/>
      <c r="NL28" s="242"/>
      <c r="NM28" s="242"/>
      <c r="NN28" s="242"/>
      <c r="NO28" s="242"/>
      <c r="NP28" s="242"/>
      <c r="NQ28" s="242"/>
      <c r="NR28" s="242"/>
      <c r="NS28" s="242"/>
      <c r="NT28" s="242"/>
      <c r="NU28" s="242"/>
      <c r="NV28" s="242"/>
      <c r="NW28" s="242"/>
      <c r="NX28" s="242"/>
      <c r="NY28" s="242"/>
      <c r="NZ28" s="242"/>
      <c r="OA28" s="242"/>
      <c r="OB28" s="242"/>
      <c r="OC28" s="242"/>
      <c r="OD28" s="243"/>
      <c r="OE28" s="243"/>
      <c r="OF28" s="242"/>
      <c r="OG28" s="242"/>
      <c r="OH28" s="242"/>
      <c r="OI28" s="242"/>
      <c r="OJ28" s="242"/>
      <c r="OK28" s="242"/>
      <c r="OL28" s="242"/>
      <c r="OM28" s="242"/>
      <c r="ON28" s="242"/>
      <c r="OO28" s="242"/>
      <c r="OP28" s="242"/>
      <c r="OQ28" s="242"/>
      <c r="OR28" s="242"/>
      <c r="OS28" s="243"/>
      <c r="OT28" s="242"/>
      <c r="OU28" s="242"/>
      <c r="OV28" s="242"/>
      <c r="OW28" s="242"/>
      <c r="OX28" s="242"/>
      <c r="OY28" s="243"/>
      <c r="OZ28" s="242"/>
      <c r="PA28" s="242"/>
      <c r="PB28" s="242"/>
      <c r="PC28" s="242"/>
      <c r="PD28" s="242"/>
      <c r="PE28" s="242"/>
      <c r="PF28" s="242"/>
      <c r="PG28" s="242"/>
      <c r="PH28" s="242"/>
      <c r="PI28" s="242"/>
      <c r="PJ28" s="242"/>
      <c r="PK28" s="242"/>
      <c r="PL28" s="242"/>
      <c r="PM28" s="242"/>
      <c r="PN28" s="242"/>
      <c r="PO28" s="242"/>
      <c r="PP28" s="242"/>
      <c r="PQ28" s="242"/>
      <c r="PR28" s="242"/>
      <c r="PS28" s="242"/>
      <c r="PT28" s="242"/>
      <c r="PU28" s="242"/>
      <c r="PV28" s="242"/>
      <c r="PW28" s="242"/>
      <c r="PX28" s="242"/>
      <c r="PY28" s="242"/>
      <c r="PZ28" s="242"/>
      <c r="QA28" s="242"/>
      <c r="QB28" s="242"/>
      <c r="QC28" s="242"/>
      <c r="QD28" s="242"/>
      <c r="QE28" s="242"/>
      <c r="QF28" s="242"/>
      <c r="QG28" s="242"/>
      <c r="QH28" s="242"/>
      <c r="QI28" s="244"/>
    </row>
    <row r="29" spans="1:451" ht="18" customHeight="1" outlineLevel="1" x14ac:dyDescent="0.2">
      <c r="A29" s="247" t="s">
        <v>303</v>
      </c>
      <c r="B29" s="245"/>
      <c r="C29" s="242"/>
      <c r="D29" s="242"/>
      <c r="E29" s="242"/>
      <c r="F29" s="242"/>
      <c r="G29" s="242"/>
      <c r="H29" s="242"/>
      <c r="I29" s="242"/>
      <c r="J29" s="242"/>
      <c r="K29" s="242"/>
      <c r="L29" s="242"/>
      <c r="M29" s="242"/>
      <c r="N29" s="242"/>
      <c r="O29" s="242"/>
      <c r="P29" s="242"/>
      <c r="Q29" s="242"/>
      <c r="R29" s="242"/>
      <c r="S29" s="242"/>
      <c r="T29" s="242"/>
      <c r="U29" s="242"/>
      <c r="V29" s="242"/>
      <c r="W29" s="242"/>
      <c r="X29" s="242"/>
      <c r="Y29" s="242"/>
      <c r="Z29" s="242"/>
      <c r="AA29" s="242"/>
      <c r="AB29" s="242"/>
      <c r="AC29" s="243"/>
      <c r="AD29" s="242"/>
      <c r="AE29" s="242"/>
      <c r="AF29" s="242"/>
      <c r="AG29" s="242"/>
      <c r="AH29" s="242"/>
      <c r="AI29" s="242"/>
      <c r="AJ29" s="242"/>
      <c r="AK29" s="242"/>
      <c r="AL29" s="242"/>
      <c r="AM29" s="242"/>
      <c r="AN29" s="242"/>
      <c r="AO29" s="242"/>
      <c r="AP29" s="242"/>
      <c r="AQ29" s="242"/>
      <c r="AR29" s="243"/>
      <c r="AS29" s="242"/>
      <c r="AT29" s="241"/>
      <c r="AU29" s="241"/>
      <c r="AV29" s="241"/>
      <c r="AW29" s="241"/>
      <c r="AX29" s="241"/>
      <c r="AY29" s="241"/>
      <c r="AZ29" s="241"/>
      <c r="BA29" s="241"/>
      <c r="BB29" s="241"/>
      <c r="BC29" s="241"/>
      <c r="BD29" s="241"/>
      <c r="BE29" s="241"/>
      <c r="BF29" s="242"/>
      <c r="BG29" s="242"/>
      <c r="BH29" s="242"/>
      <c r="BI29" s="242"/>
      <c r="BJ29" s="242"/>
      <c r="BK29" s="242"/>
      <c r="BL29" s="242"/>
      <c r="BM29" s="242"/>
      <c r="BN29" s="242"/>
      <c r="BO29" s="242"/>
      <c r="BP29" s="242"/>
      <c r="BQ29" s="242"/>
      <c r="BR29" s="242"/>
      <c r="BS29" s="242"/>
      <c r="BT29" s="242"/>
      <c r="BU29" s="242"/>
      <c r="BV29" s="242"/>
      <c r="BW29" s="242"/>
      <c r="BX29" s="242"/>
      <c r="BY29" s="242"/>
      <c r="BZ29" s="242"/>
      <c r="CA29" s="242"/>
      <c r="CB29" s="242"/>
      <c r="CC29" s="243"/>
      <c r="CD29" s="243"/>
      <c r="CE29" s="242"/>
      <c r="CF29" s="242"/>
      <c r="CG29" s="242"/>
      <c r="CH29" s="242"/>
      <c r="CI29" s="242"/>
      <c r="CJ29" s="242"/>
      <c r="CK29" s="242"/>
      <c r="CL29" s="242"/>
      <c r="CM29" s="242"/>
      <c r="CN29" s="242"/>
      <c r="CO29" s="242"/>
      <c r="CP29" s="242"/>
      <c r="CQ29" s="242"/>
      <c r="CR29" s="243"/>
      <c r="CS29" s="242"/>
      <c r="CT29" s="242"/>
      <c r="CU29" s="242"/>
      <c r="CV29" s="242"/>
      <c r="CW29" s="242"/>
      <c r="CX29" s="243"/>
      <c r="CY29" s="242"/>
      <c r="CZ29" s="242"/>
      <c r="DA29" s="242"/>
      <c r="DB29" s="242"/>
      <c r="DC29" s="242"/>
      <c r="DD29" s="242"/>
      <c r="DE29" s="242"/>
      <c r="DF29" s="242"/>
      <c r="DG29" s="242"/>
      <c r="DH29" s="242"/>
      <c r="DI29" s="242"/>
      <c r="DJ29" s="242"/>
      <c r="DK29" s="242"/>
      <c r="DL29" s="242"/>
      <c r="DM29" s="242"/>
      <c r="DN29" s="242"/>
      <c r="DO29" s="242"/>
      <c r="DP29" s="242"/>
      <c r="DQ29" s="242"/>
      <c r="DR29" s="242"/>
      <c r="DS29" s="242"/>
      <c r="DT29" s="242"/>
      <c r="DU29" s="242"/>
      <c r="DV29" s="242"/>
      <c r="DW29" s="242"/>
      <c r="DX29" s="242"/>
      <c r="DY29" s="242"/>
      <c r="DZ29" s="242"/>
      <c r="EA29" s="242"/>
      <c r="EB29" s="242"/>
      <c r="EC29" s="242"/>
      <c r="ED29" s="242"/>
      <c r="EE29" s="242"/>
      <c r="EF29" s="242"/>
      <c r="EG29" s="242"/>
      <c r="EH29" s="242"/>
      <c r="EI29" s="242"/>
      <c r="EJ29" s="242"/>
      <c r="EK29" s="242"/>
      <c r="EL29" s="242"/>
      <c r="EM29" s="242"/>
      <c r="EN29" s="242"/>
      <c r="EO29" s="242"/>
      <c r="EP29" s="242"/>
      <c r="EQ29" s="242"/>
      <c r="ER29" s="242"/>
      <c r="ES29" s="242"/>
      <c r="ET29" s="242"/>
      <c r="EU29" s="242"/>
      <c r="EV29" s="242"/>
      <c r="EW29" s="242"/>
      <c r="EX29" s="242"/>
      <c r="EY29" s="242"/>
      <c r="EZ29" s="242"/>
      <c r="FA29" s="242"/>
      <c r="FB29" s="242"/>
      <c r="FC29" s="242"/>
      <c r="FD29" s="242"/>
      <c r="FE29" s="242"/>
      <c r="FF29" s="242"/>
      <c r="FG29" s="242"/>
      <c r="FH29" s="242"/>
      <c r="FI29" s="242"/>
      <c r="FJ29" s="242"/>
      <c r="FK29" s="242"/>
      <c r="FL29" s="242"/>
      <c r="FM29" s="242"/>
      <c r="FN29" s="242"/>
      <c r="FO29" s="242"/>
      <c r="FP29" s="242"/>
      <c r="FQ29" s="243"/>
      <c r="FR29" s="243"/>
      <c r="FS29" s="242"/>
      <c r="FT29" s="242"/>
      <c r="FU29" s="242"/>
      <c r="FV29" s="242"/>
      <c r="FW29" s="242"/>
      <c r="FX29" s="242"/>
      <c r="FY29" s="242"/>
      <c r="FZ29" s="242"/>
      <c r="GA29" s="242"/>
      <c r="GB29" s="242"/>
      <c r="GC29" s="242"/>
      <c r="GD29" s="242"/>
      <c r="GE29" s="242"/>
      <c r="GF29" s="242"/>
      <c r="GG29" s="242"/>
      <c r="GH29" s="242"/>
      <c r="GI29" s="242"/>
      <c r="GJ29" s="242"/>
      <c r="GK29" s="242"/>
      <c r="GL29" s="242"/>
      <c r="GM29" s="242"/>
      <c r="GN29" s="242"/>
      <c r="GO29" s="242"/>
      <c r="GP29" s="242"/>
      <c r="GQ29" s="242"/>
      <c r="GR29" s="242"/>
      <c r="GS29" s="242"/>
      <c r="GT29" s="242"/>
      <c r="GU29" s="242"/>
      <c r="GV29" s="242"/>
      <c r="GW29" s="243"/>
      <c r="GX29" s="242"/>
      <c r="GY29" s="242"/>
      <c r="GZ29" s="242"/>
      <c r="HA29" s="242"/>
      <c r="HB29" s="242"/>
      <c r="HC29" s="242"/>
      <c r="HD29" s="242"/>
      <c r="HE29" s="242"/>
      <c r="HF29" s="242"/>
      <c r="HG29" s="242"/>
      <c r="HH29" s="242"/>
      <c r="HI29" s="242"/>
      <c r="HJ29" s="242"/>
      <c r="HK29" s="242"/>
      <c r="HL29" s="242"/>
      <c r="HM29" s="242"/>
      <c r="HN29" s="242"/>
      <c r="HO29" s="242"/>
      <c r="HP29" s="242"/>
      <c r="HQ29" s="242"/>
      <c r="HR29" s="242"/>
      <c r="HS29" s="242"/>
      <c r="HT29" s="242"/>
      <c r="HU29" s="242"/>
      <c r="HV29" s="242"/>
      <c r="HW29" s="242"/>
      <c r="HX29" s="242"/>
      <c r="HY29" s="242"/>
      <c r="HZ29" s="242"/>
      <c r="IA29" s="242"/>
      <c r="IB29" s="242"/>
      <c r="IC29" s="242"/>
      <c r="ID29" s="242"/>
      <c r="IE29" s="242"/>
      <c r="IF29" s="242"/>
      <c r="IG29" s="242"/>
      <c r="IH29" s="242"/>
      <c r="II29" s="242"/>
      <c r="IJ29" s="242"/>
      <c r="IK29" s="242"/>
      <c r="IL29" s="242"/>
      <c r="IM29" s="242"/>
      <c r="IN29" s="242"/>
      <c r="IO29" s="242"/>
      <c r="IP29" s="242"/>
      <c r="IQ29" s="242"/>
      <c r="IR29" s="242"/>
      <c r="IS29" s="242"/>
      <c r="IT29" s="242"/>
      <c r="IU29" s="242"/>
      <c r="IV29" s="243"/>
      <c r="IW29" s="242"/>
      <c r="IX29" s="242"/>
      <c r="IY29" s="242"/>
      <c r="IZ29" s="242"/>
      <c r="JA29" s="242"/>
      <c r="JB29" s="242"/>
      <c r="JC29" s="242"/>
      <c r="JD29" s="242"/>
      <c r="JE29" s="242"/>
      <c r="JF29" s="242"/>
      <c r="JG29" s="242"/>
      <c r="JH29" s="242"/>
      <c r="JI29" s="242"/>
      <c r="JJ29" s="242"/>
      <c r="JK29" s="242"/>
      <c r="JL29" s="242"/>
      <c r="JM29" s="242"/>
      <c r="JN29" s="242"/>
      <c r="JO29" s="242"/>
      <c r="JP29" s="243"/>
      <c r="JQ29" s="242"/>
      <c r="JR29" s="242"/>
      <c r="JS29" s="242"/>
      <c r="JT29" s="243"/>
      <c r="JU29" s="243"/>
      <c r="JV29" s="242"/>
      <c r="JW29" s="242"/>
      <c r="JX29" s="242"/>
      <c r="JY29" s="242"/>
      <c r="JZ29" s="242"/>
      <c r="KA29" s="242"/>
      <c r="KB29" s="243"/>
      <c r="KC29" s="242"/>
      <c r="KD29" s="242"/>
      <c r="KE29" s="242"/>
      <c r="KF29" s="242"/>
      <c r="KG29" s="242"/>
      <c r="KH29" s="242"/>
      <c r="KI29" s="242"/>
      <c r="KJ29" s="242"/>
      <c r="KK29" s="242"/>
      <c r="KL29" s="242"/>
      <c r="KM29" s="242"/>
      <c r="KN29" s="242"/>
      <c r="KO29" s="242"/>
      <c r="KP29" s="242"/>
      <c r="KQ29" s="242"/>
      <c r="KR29" s="242"/>
      <c r="KS29" s="242"/>
      <c r="KT29" s="242"/>
      <c r="KU29" s="242"/>
      <c r="KV29" s="243"/>
      <c r="KW29" s="242"/>
      <c r="KX29" s="242"/>
      <c r="KY29" s="242"/>
      <c r="KZ29" s="242"/>
      <c r="LA29" s="242"/>
      <c r="LB29" s="242"/>
      <c r="LC29" s="242"/>
      <c r="LD29" s="242"/>
      <c r="LE29" s="242"/>
      <c r="LF29" s="242"/>
      <c r="LG29" s="242"/>
      <c r="LH29" s="242"/>
      <c r="LI29" s="242"/>
      <c r="LJ29" s="242"/>
      <c r="LK29" s="242"/>
      <c r="LL29" s="242"/>
      <c r="LM29" s="242"/>
      <c r="LN29" s="242"/>
      <c r="LO29" s="242"/>
      <c r="LP29" s="242"/>
      <c r="LQ29" s="242"/>
      <c r="LR29" s="242"/>
      <c r="LS29" s="242"/>
      <c r="LT29" s="242"/>
      <c r="LU29" s="242"/>
      <c r="LV29" s="242"/>
      <c r="LW29" s="242"/>
      <c r="LX29" s="242"/>
      <c r="LY29" s="242"/>
      <c r="LZ29" s="242"/>
      <c r="MA29" s="242"/>
      <c r="MB29" s="242"/>
      <c r="MC29" s="242"/>
      <c r="MD29" s="243"/>
      <c r="ME29" s="242"/>
      <c r="MF29" s="242"/>
      <c r="MG29" s="242"/>
      <c r="MH29" s="242"/>
      <c r="MI29" s="242"/>
      <c r="MJ29" s="242"/>
      <c r="MK29" s="242"/>
      <c r="ML29" s="242"/>
      <c r="MM29" s="242"/>
      <c r="MN29" s="242"/>
      <c r="MO29" s="242"/>
      <c r="MP29" s="242"/>
      <c r="MQ29" s="242"/>
      <c r="MR29" s="242"/>
      <c r="MS29" s="242"/>
      <c r="MT29" s="242"/>
      <c r="MU29" s="242"/>
      <c r="MV29" s="242"/>
      <c r="MW29" s="242"/>
      <c r="MX29" s="243"/>
      <c r="MY29" s="242"/>
      <c r="MZ29" s="242"/>
      <c r="NA29" s="242"/>
      <c r="NB29" s="242"/>
      <c r="NC29" s="242"/>
      <c r="ND29" s="242"/>
      <c r="NE29" s="242"/>
      <c r="NF29" s="242"/>
      <c r="NG29" s="242"/>
      <c r="NH29" s="242"/>
      <c r="NI29" s="242"/>
      <c r="NJ29" s="242"/>
      <c r="NK29" s="242"/>
      <c r="NL29" s="242"/>
      <c r="NM29" s="242"/>
      <c r="NN29" s="242"/>
      <c r="NO29" s="242"/>
      <c r="NP29" s="242"/>
      <c r="NQ29" s="242"/>
      <c r="NR29" s="242"/>
      <c r="NS29" s="242"/>
      <c r="NT29" s="242"/>
      <c r="NU29" s="242"/>
      <c r="NV29" s="242"/>
      <c r="NW29" s="242"/>
      <c r="NX29" s="242"/>
      <c r="NY29" s="242"/>
      <c r="NZ29" s="242"/>
      <c r="OA29" s="242"/>
      <c r="OB29" s="242"/>
      <c r="OC29" s="242"/>
      <c r="OD29" s="243"/>
      <c r="OE29" s="243"/>
      <c r="OF29" s="242"/>
      <c r="OG29" s="242"/>
      <c r="OH29" s="242"/>
      <c r="OI29" s="242"/>
      <c r="OJ29" s="242"/>
      <c r="OK29" s="242"/>
      <c r="OL29" s="242"/>
      <c r="OM29" s="242"/>
      <c r="ON29" s="242"/>
      <c r="OO29" s="242"/>
      <c r="OP29" s="242"/>
      <c r="OQ29" s="242"/>
      <c r="OR29" s="242"/>
      <c r="OS29" s="243"/>
      <c r="OT29" s="242"/>
      <c r="OU29" s="242"/>
      <c r="OV29" s="242"/>
      <c r="OW29" s="242"/>
      <c r="OX29" s="242"/>
      <c r="OY29" s="243"/>
      <c r="OZ29" s="242"/>
      <c r="PA29" s="242"/>
      <c r="PB29" s="242"/>
      <c r="PC29" s="242"/>
      <c r="PD29" s="242"/>
      <c r="PE29" s="242"/>
      <c r="PF29" s="242"/>
      <c r="PG29" s="242"/>
      <c r="PH29" s="242"/>
      <c r="PI29" s="242"/>
      <c r="PJ29" s="242"/>
      <c r="PK29" s="242"/>
      <c r="PL29" s="242"/>
      <c r="PM29" s="242"/>
      <c r="PN29" s="242"/>
      <c r="PO29" s="242"/>
      <c r="PP29" s="242"/>
      <c r="PQ29" s="242"/>
      <c r="PR29" s="242"/>
      <c r="PS29" s="242"/>
      <c r="PT29" s="242"/>
      <c r="PU29" s="242"/>
      <c r="PV29" s="242"/>
      <c r="PW29" s="242"/>
      <c r="PX29" s="242"/>
      <c r="PY29" s="242"/>
      <c r="PZ29" s="242"/>
      <c r="QA29" s="242"/>
      <c r="QB29" s="242"/>
      <c r="QC29" s="242"/>
      <c r="QD29" s="242"/>
      <c r="QE29" s="242"/>
      <c r="QF29" s="242"/>
      <c r="QG29" s="242"/>
      <c r="QH29" s="242"/>
      <c r="QI29" s="244"/>
    </row>
    <row r="30" spans="1:451" ht="18" customHeight="1" outlineLevel="1" x14ac:dyDescent="0.2">
      <c r="A30" s="247" t="s">
        <v>304</v>
      </c>
      <c r="B30" s="245"/>
      <c r="C30" s="242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3"/>
      <c r="AD30" s="242"/>
      <c r="AE30" s="242"/>
      <c r="AF30" s="242"/>
      <c r="AG30" s="242"/>
      <c r="AH30" s="242"/>
      <c r="AI30" s="242"/>
      <c r="AJ30" s="242"/>
      <c r="AK30" s="242"/>
      <c r="AL30" s="242"/>
      <c r="AM30" s="242"/>
      <c r="AN30" s="242"/>
      <c r="AO30" s="242"/>
      <c r="AP30" s="242"/>
      <c r="AQ30" s="242"/>
      <c r="AR30" s="243"/>
      <c r="AS30" s="242"/>
      <c r="AT30" s="249"/>
      <c r="AU30" s="249"/>
      <c r="AV30" s="249"/>
      <c r="AW30" s="249"/>
      <c r="AX30" s="249"/>
      <c r="AY30" s="249"/>
      <c r="AZ30" s="249"/>
      <c r="BA30" s="249"/>
      <c r="BB30" s="249"/>
      <c r="BC30" s="249"/>
      <c r="BD30" s="249"/>
      <c r="BE30" s="249"/>
      <c r="BF30" s="242"/>
      <c r="BG30" s="242"/>
      <c r="BH30" s="242"/>
      <c r="BI30" s="242"/>
      <c r="BJ30" s="242"/>
      <c r="BK30" s="242"/>
      <c r="BL30" s="242"/>
      <c r="BM30" s="242"/>
      <c r="BN30" s="242"/>
      <c r="BO30" s="242"/>
      <c r="BP30" s="242"/>
      <c r="BQ30" s="242"/>
      <c r="BR30" s="242"/>
      <c r="BS30" s="242"/>
      <c r="BT30" s="242"/>
      <c r="BU30" s="242"/>
      <c r="BV30" s="242"/>
      <c r="BW30" s="242"/>
      <c r="BX30" s="242"/>
      <c r="BY30" s="242"/>
      <c r="BZ30" s="242"/>
      <c r="CA30" s="242"/>
      <c r="CB30" s="242"/>
      <c r="CC30" s="243"/>
      <c r="CD30" s="243"/>
      <c r="CE30" s="242"/>
      <c r="CF30" s="242"/>
      <c r="CG30" s="242"/>
      <c r="CH30" s="242"/>
      <c r="CI30" s="242"/>
      <c r="CJ30" s="242"/>
      <c r="CK30" s="242"/>
      <c r="CL30" s="242"/>
      <c r="CM30" s="242"/>
      <c r="CN30" s="242"/>
      <c r="CO30" s="242"/>
      <c r="CP30" s="242"/>
      <c r="CQ30" s="242"/>
      <c r="CR30" s="243"/>
      <c r="CS30" s="242"/>
      <c r="CT30" s="242"/>
      <c r="CU30" s="242"/>
      <c r="CV30" s="242"/>
      <c r="CW30" s="242"/>
      <c r="CX30" s="243"/>
      <c r="CY30" s="242"/>
      <c r="CZ30" s="242"/>
      <c r="DA30" s="242"/>
      <c r="DB30" s="242"/>
      <c r="DC30" s="242"/>
      <c r="DD30" s="242"/>
      <c r="DE30" s="242"/>
      <c r="DF30" s="242"/>
      <c r="DG30" s="242"/>
      <c r="DH30" s="242"/>
      <c r="DI30" s="242"/>
      <c r="DJ30" s="242"/>
      <c r="DK30" s="242"/>
      <c r="DL30" s="242"/>
      <c r="DM30" s="242"/>
      <c r="DN30" s="242"/>
      <c r="DO30" s="242"/>
      <c r="DP30" s="242"/>
      <c r="DQ30" s="242"/>
      <c r="DR30" s="242"/>
      <c r="DS30" s="242"/>
      <c r="DT30" s="242"/>
      <c r="DU30" s="242"/>
      <c r="DV30" s="242"/>
      <c r="DW30" s="242"/>
      <c r="DX30" s="242"/>
      <c r="DY30" s="242"/>
      <c r="DZ30" s="242"/>
      <c r="EA30" s="242"/>
      <c r="EB30" s="242"/>
      <c r="EC30" s="242"/>
      <c r="ED30" s="242"/>
      <c r="EE30" s="242"/>
      <c r="EF30" s="242"/>
      <c r="EG30" s="242"/>
      <c r="EH30" s="242"/>
      <c r="EI30" s="242"/>
      <c r="EJ30" s="242"/>
      <c r="EK30" s="242"/>
      <c r="EL30" s="242"/>
      <c r="EM30" s="242"/>
      <c r="EN30" s="242"/>
      <c r="EO30" s="242"/>
      <c r="EP30" s="242"/>
      <c r="EQ30" s="242"/>
      <c r="ER30" s="242"/>
      <c r="ES30" s="242"/>
      <c r="ET30" s="242"/>
      <c r="EU30" s="242"/>
      <c r="EV30" s="242"/>
      <c r="EW30" s="242"/>
      <c r="EX30" s="242"/>
      <c r="EY30" s="242"/>
      <c r="EZ30" s="242"/>
      <c r="FA30" s="242"/>
      <c r="FB30" s="242"/>
      <c r="FC30" s="242"/>
      <c r="FD30" s="242"/>
      <c r="FE30" s="242"/>
      <c r="FF30" s="242"/>
      <c r="FG30" s="242"/>
      <c r="FH30" s="242"/>
      <c r="FI30" s="242"/>
      <c r="FJ30" s="242"/>
      <c r="FK30" s="242"/>
      <c r="FL30" s="242"/>
      <c r="FM30" s="242"/>
      <c r="FN30" s="242"/>
      <c r="FO30" s="242"/>
      <c r="FP30" s="242"/>
      <c r="FQ30" s="243"/>
      <c r="FR30" s="243"/>
      <c r="FS30" s="242"/>
      <c r="FT30" s="242"/>
      <c r="FU30" s="242"/>
      <c r="FV30" s="242"/>
      <c r="FW30" s="242"/>
      <c r="FX30" s="242"/>
      <c r="FY30" s="242"/>
      <c r="FZ30" s="242"/>
      <c r="GA30" s="242"/>
      <c r="GB30" s="242"/>
      <c r="GC30" s="242"/>
      <c r="GD30" s="242"/>
      <c r="GE30" s="242"/>
      <c r="GF30" s="242"/>
      <c r="GG30" s="242"/>
      <c r="GH30" s="242"/>
      <c r="GI30" s="242"/>
      <c r="GJ30" s="242"/>
      <c r="GK30" s="242"/>
      <c r="GL30" s="242"/>
      <c r="GM30" s="242"/>
      <c r="GN30" s="242"/>
      <c r="GO30" s="242"/>
      <c r="GP30" s="242"/>
      <c r="GQ30" s="242"/>
      <c r="GR30" s="242"/>
      <c r="GS30" s="242"/>
      <c r="GT30" s="242"/>
      <c r="GU30" s="242"/>
      <c r="GV30" s="242"/>
      <c r="GW30" s="243"/>
      <c r="GX30" s="242"/>
      <c r="GY30" s="242"/>
      <c r="GZ30" s="242"/>
      <c r="HA30" s="242"/>
      <c r="HB30" s="242"/>
      <c r="HC30" s="242"/>
      <c r="HD30" s="242"/>
      <c r="HE30" s="242"/>
      <c r="HF30" s="242"/>
      <c r="HG30" s="242"/>
      <c r="HH30" s="242"/>
      <c r="HI30" s="242"/>
      <c r="HJ30" s="242"/>
      <c r="HK30" s="242"/>
      <c r="HL30" s="242"/>
      <c r="HM30" s="242"/>
      <c r="HN30" s="242"/>
      <c r="HO30" s="242"/>
      <c r="HP30" s="242"/>
      <c r="HQ30" s="242"/>
      <c r="HR30" s="242"/>
      <c r="HS30" s="242"/>
      <c r="HT30" s="242"/>
      <c r="HU30" s="242"/>
      <c r="HV30" s="242"/>
      <c r="HW30" s="242"/>
      <c r="HX30" s="242"/>
      <c r="HY30" s="242"/>
      <c r="HZ30" s="242"/>
      <c r="IA30" s="242"/>
      <c r="IB30" s="242"/>
      <c r="IC30" s="242"/>
      <c r="ID30" s="242"/>
      <c r="IE30" s="242"/>
      <c r="IF30" s="242"/>
      <c r="IG30" s="242"/>
      <c r="IH30" s="242"/>
      <c r="II30" s="242"/>
      <c r="IJ30" s="242"/>
      <c r="IK30" s="242"/>
      <c r="IL30" s="242"/>
      <c r="IM30" s="242"/>
      <c r="IN30" s="242"/>
      <c r="IO30" s="242"/>
      <c r="IP30" s="242"/>
      <c r="IQ30" s="242"/>
      <c r="IR30" s="242"/>
      <c r="IS30" s="242"/>
      <c r="IT30" s="242"/>
      <c r="IU30" s="242"/>
      <c r="IV30" s="243"/>
      <c r="IW30" s="242"/>
      <c r="IX30" s="242"/>
      <c r="IY30" s="242"/>
      <c r="IZ30" s="242"/>
      <c r="JA30" s="242"/>
      <c r="JB30" s="242"/>
      <c r="JC30" s="242"/>
      <c r="JD30" s="242"/>
      <c r="JE30" s="242"/>
      <c r="JF30" s="242"/>
      <c r="JG30" s="242"/>
      <c r="JH30" s="242"/>
      <c r="JI30" s="242"/>
      <c r="JJ30" s="242"/>
      <c r="JK30" s="242"/>
      <c r="JL30" s="242"/>
      <c r="JM30" s="242"/>
      <c r="JN30" s="242"/>
      <c r="JO30" s="242"/>
      <c r="JP30" s="243"/>
      <c r="JQ30" s="242"/>
      <c r="JR30" s="242"/>
      <c r="JS30" s="242"/>
      <c r="JT30" s="243"/>
      <c r="JU30" s="243"/>
      <c r="JV30" s="242"/>
      <c r="JW30" s="242"/>
      <c r="JX30" s="242"/>
      <c r="JY30" s="242"/>
      <c r="JZ30" s="242"/>
      <c r="KA30" s="242"/>
      <c r="KB30" s="243"/>
      <c r="KC30" s="242"/>
      <c r="KD30" s="242"/>
      <c r="KE30" s="242"/>
      <c r="KF30" s="242"/>
      <c r="KG30" s="242"/>
      <c r="KH30" s="242"/>
      <c r="KI30" s="242"/>
      <c r="KJ30" s="242"/>
      <c r="KK30" s="242"/>
      <c r="KL30" s="242"/>
      <c r="KM30" s="242"/>
      <c r="KN30" s="242"/>
      <c r="KO30" s="242"/>
      <c r="KP30" s="242"/>
      <c r="KQ30" s="242"/>
      <c r="KR30" s="242"/>
      <c r="KS30" s="242"/>
      <c r="KT30" s="242"/>
      <c r="KU30" s="242"/>
      <c r="KV30" s="243"/>
      <c r="KW30" s="242"/>
      <c r="KX30" s="242"/>
      <c r="KY30" s="242"/>
      <c r="KZ30" s="242"/>
      <c r="LA30" s="242"/>
      <c r="LB30" s="242"/>
      <c r="LC30" s="242"/>
      <c r="LD30" s="242"/>
      <c r="LE30" s="242"/>
      <c r="LF30" s="242"/>
      <c r="LG30" s="242"/>
      <c r="LH30" s="242"/>
      <c r="LI30" s="242"/>
      <c r="LJ30" s="242"/>
      <c r="LK30" s="242"/>
      <c r="LL30" s="242"/>
      <c r="LM30" s="242"/>
      <c r="LN30" s="242"/>
      <c r="LO30" s="242"/>
      <c r="LP30" s="242"/>
      <c r="LQ30" s="242"/>
      <c r="LR30" s="242"/>
      <c r="LS30" s="242"/>
      <c r="LT30" s="242"/>
      <c r="LU30" s="242"/>
      <c r="LV30" s="242"/>
      <c r="LW30" s="242"/>
      <c r="LX30" s="242"/>
      <c r="LY30" s="242"/>
      <c r="LZ30" s="242"/>
      <c r="MA30" s="242"/>
      <c r="MB30" s="242"/>
      <c r="MC30" s="242"/>
      <c r="MD30" s="243"/>
      <c r="ME30" s="242"/>
      <c r="MF30" s="242"/>
      <c r="MG30" s="242"/>
      <c r="MH30" s="242"/>
      <c r="MI30" s="242"/>
      <c r="MJ30" s="242"/>
      <c r="MK30" s="242"/>
      <c r="ML30" s="242"/>
      <c r="MM30" s="242"/>
      <c r="MN30" s="242"/>
      <c r="MO30" s="242"/>
      <c r="MP30" s="242"/>
      <c r="MQ30" s="242"/>
      <c r="MR30" s="242"/>
      <c r="MS30" s="242"/>
      <c r="MT30" s="242"/>
      <c r="MU30" s="242"/>
      <c r="MV30" s="242"/>
      <c r="MW30" s="242"/>
      <c r="MX30" s="243"/>
      <c r="MY30" s="242"/>
      <c r="MZ30" s="242"/>
      <c r="NA30" s="242"/>
      <c r="NB30" s="242"/>
      <c r="NC30" s="242"/>
      <c r="ND30" s="242"/>
      <c r="NE30" s="242"/>
      <c r="NF30" s="242"/>
      <c r="NG30" s="242"/>
      <c r="NH30" s="242"/>
      <c r="NI30" s="242"/>
      <c r="NJ30" s="242"/>
      <c r="NK30" s="242"/>
      <c r="NL30" s="242"/>
      <c r="NM30" s="242"/>
      <c r="NN30" s="242"/>
      <c r="NO30" s="242"/>
      <c r="NP30" s="242"/>
      <c r="NQ30" s="242"/>
      <c r="NR30" s="242"/>
      <c r="NS30" s="242"/>
      <c r="NT30" s="242"/>
      <c r="NU30" s="242"/>
      <c r="NV30" s="242"/>
      <c r="NW30" s="242"/>
      <c r="NX30" s="242"/>
      <c r="NY30" s="242"/>
      <c r="NZ30" s="242"/>
      <c r="OA30" s="242"/>
      <c r="OB30" s="242"/>
      <c r="OC30" s="242"/>
      <c r="OD30" s="243"/>
      <c r="OE30" s="243"/>
      <c r="OF30" s="242"/>
      <c r="OG30" s="242"/>
      <c r="OH30" s="242"/>
      <c r="OI30" s="242"/>
      <c r="OJ30" s="242"/>
      <c r="OK30" s="242"/>
      <c r="OL30" s="242"/>
      <c r="OM30" s="242"/>
      <c r="ON30" s="242"/>
      <c r="OO30" s="242"/>
      <c r="OP30" s="242"/>
      <c r="OQ30" s="242"/>
      <c r="OR30" s="242"/>
      <c r="OS30" s="243"/>
      <c r="OT30" s="242"/>
      <c r="OU30" s="242"/>
      <c r="OV30" s="242"/>
      <c r="OW30" s="242"/>
      <c r="OX30" s="242"/>
      <c r="OY30" s="243"/>
      <c r="OZ30" s="242"/>
      <c r="PA30" s="242"/>
      <c r="PB30" s="242"/>
      <c r="PC30" s="242"/>
      <c r="PD30" s="242"/>
      <c r="PE30" s="242"/>
      <c r="PF30" s="242"/>
      <c r="PG30" s="242"/>
      <c r="PH30" s="242"/>
      <c r="PI30" s="242"/>
      <c r="PJ30" s="242"/>
      <c r="PK30" s="242"/>
      <c r="PL30" s="242"/>
      <c r="PM30" s="242"/>
      <c r="PN30" s="242"/>
      <c r="PO30" s="242"/>
      <c r="PP30" s="242"/>
      <c r="PQ30" s="242"/>
      <c r="PR30" s="242"/>
      <c r="PS30" s="242"/>
      <c r="PT30" s="242"/>
      <c r="PU30" s="242"/>
      <c r="PV30" s="242"/>
      <c r="PW30" s="242"/>
      <c r="PX30" s="242"/>
      <c r="PY30" s="242"/>
      <c r="PZ30" s="242"/>
      <c r="QA30" s="242"/>
      <c r="QB30" s="242"/>
      <c r="QC30" s="242"/>
      <c r="QD30" s="242"/>
      <c r="QE30" s="242"/>
      <c r="QF30" s="242"/>
      <c r="QG30" s="242"/>
      <c r="QH30" s="242"/>
      <c r="QI30" s="244"/>
    </row>
    <row r="31" spans="1:451" ht="18" customHeight="1" outlineLevel="1" x14ac:dyDescent="0.2">
      <c r="A31" s="247"/>
      <c r="B31" s="245"/>
      <c r="C31" s="242"/>
      <c r="D31" s="242"/>
      <c r="E31" s="242"/>
      <c r="F31" s="242"/>
      <c r="G31" s="242"/>
      <c r="H31" s="242"/>
      <c r="I31" s="242"/>
      <c r="J31" s="242"/>
      <c r="K31" s="242"/>
      <c r="L31" s="242"/>
      <c r="M31" s="242"/>
      <c r="N31" s="242"/>
      <c r="O31" s="242"/>
      <c r="P31" s="242"/>
      <c r="Q31" s="242"/>
      <c r="R31" s="242"/>
      <c r="S31" s="242"/>
      <c r="T31" s="242"/>
      <c r="U31" s="242"/>
      <c r="V31" s="242"/>
      <c r="W31" s="242"/>
      <c r="X31" s="242"/>
      <c r="Y31" s="242"/>
      <c r="Z31" s="242"/>
      <c r="AA31" s="242"/>
      <c r="AB31" s="242"/>
      <c r="AC31" s="243"/>
      <c r="AD31" s="242"/>
      <c r="AE31" s="242"/>
      <c r="AF31" s="242"/>
      <c r="AG31" s="242"/>
      <c r="AH31" s="242"/>
      <c r="AI31" s="242"/>
      <c r="AJ31" s="242"/>
      <c r="AK31" s="242"/>
      <c r="AL31" s="242"/>
      <c r="AM31" s="242"/>
      <c r="AN31" s="242"/>
      <c r="AO31" s="242"/>
      <c r="AP31" s="242"/>
      <c r="AQ31" s="242"/>
      <c r="AR31" s="243"/>
      <c r="AS31" s="242"/>
      <c r="AT31" s="249"/>
      <c r="AU31" s="249"/>
      <c r="AV31" s="249"/>
      <c r="AW31" s="249"/>
      <c r="AX31" s="249"/>
      <c r="AY31" s="249"/>
      <c r="AZ31" s="249"/>
      <c r="BA31" s="249"/>
      <c r="BB31" s="249"/>
      <c r="BC31" s="249"/>
      <c r="BD31" s="249"/>
      <c r="BE31" s="249"/>
      <c r="BF31" s="242"/>
      <c r="BG31" s="242"/>
      <c r="BH31" s="242"/>
      <c r="BI31" s="242"/>
      <c r="BJ31" s="242"/>
      <c r="BK31" s="242"/>
      <c r="BL31" s="242"/>
      <c r="BM31" s="242"/>
      <c r="BN31" s="242"/>
      <c r="BO31" s="242"/>
      <c r="BP31" s="242"/>
      <c r="BQ31" s="242"/>
      <c r="BR31" s="242"/>
      <c r="BS31" s="242"/>
      <c r="BT31" s="242"/>
      <c r="BU31" s="242"/>
      <c r="BV31" s="242"/>
      <c r="BW31" s="242"/>
      <c r="BX31" s="242"/>
      <c r="BY31" s="242"/>
      <c r="BZ31" s="242"/>
      <c r="CA31" s="242"/>
      <c r="CB31" s="242"/>
      <c r="CC31" s="243"/>
      <c r="CD31" s="243"/>
      <c r="CE31" s="242"/>
      <c r="CF31" s="242"/>
      <c r="CG31" s="242"/>
      <c r="CH31" s="242"/>
      <c r="CI31" s="242"/>
      <c r="CJ31" s="242"/>
      <c r="CK31" s="242"/>
      <c r="CL31" s="242"/>
      <c r="CM31" s="242"/>
      <c r="CN31" s="242"/>
      <c r="CO31" s="242"/>
      <c r="CP31" s="242"/>
      <c r="CQ31" s="242"/>
      <c r="CR31" s="243"/>
      <c r="CS31" s="242"/>
      <c r="CT31" s="242"/>
      <c r="CU31" s="242"/>
      <c r="CV31" s="242"/>
      <c r="CW31" s="242"/>
      <c r="CX31" s="243"/>
      <c r="CY31" s="242"/>
      <c r="CZ31" s="242"/>
      <c r="DA31" s="242"/>
      <c r="DB31" s="242"/>
      <c r="DC31" s="242"/>
      <c r="DD31" s="242"/>
      <c r="DE31" s="242"/>
      <c r="DF31" s="242"/>
      <c r="DG31" s="242"/>
      <c r="DH31" s="242"/>
      <c r="DI31" s="242"/>
      <c r="DJ31" s="242"/>
      <c r="DK31" s="242"/>
      <c r="DL31" s="242"/>
      <c r="DM31" s="242"/>
      <c r="DN31" s="242"/>
      <c r="DO31" s="242"/>
      <c r="DP31" s="242"/>
      <c r="DQ31" s="242"/>
      <c r="DR31" s="242"/>
      <c r="DS31" s="242"/>
      <c r="DT31" s="242"/>
      <c r="DU31" s="242"/>
      <c r="DV31" s="242"/>
      <c r="DW31" s="242"/>
      <c r="DX31" s="242"/>
      <c r="DY31" s="242"/>
      <c r="DZ31" s="242"/>
      <c r="EA31" s="242"/>
      <c r="EB31" s="242"/>
      <c r="EC31" s="242"/>
      <c r="ED31" s="242"/>
      <c r="EE31" s="242"/>
      <c r="EF31" s="242"/>
      <c r="EG31" s="242"/>
      <c r="EH31" s="242"/>
      <c r="EI31" s="242"/>
      <c r="EJ31" s="242"/>
      <c r="EK31" s="242"/>
      <c r="EL31" s="242"/>
      <c r="EM31" s="242"/>
      <c r="EN31" s="242"/>
      <c r="EO31" s="242"/>
      <c r="EP31" s="242"/>
      <c r="EQ31" s="242"/>
      <c r="ER31" s="242"/>
      <c r="ES31" s="242"/>
      <c r="ET31" s="242"/>
      <c r="EU31" s="242"/>
      <c r="EV31" s="242"/>
      <c r="EW31" s="242"/>
      <c r="EX31" s="242"/>
      <c r="EY31" s="242"/>
      <c r="EZ31" s="242"/>
      <c r="FA31" s="242"/>
      <c r="FB31" s="242"/>
      <c r="FC31" s="242"/>
      <c r="FD31" s="242"/>
      <c r="FE31" s="242"/>
      <c r="FF31" s="242"/>
      <c r="FG31" s="242"/>
      <c r="FH31" s="242"/>
      <c r="FI31" s="242"/>
      <c r="FJ31" s="242"/>
      <c r="FK31" s="242"/>
      <c r="FL31" s="242"/>
      <c r="FM31" s="242"/>
      <c r="FN31" s="242"/>
      <c r="FO31" s="242"/>
      <c r="FP31" s="242"/>
      <c r="FQ31" s="243"/>
      <c r="FR31" s="243"/>
      <c r="FS31" s="242"/>
      <c r="FT31" s="242"/>
      <c r="FU31" s="242"/>
      <c r="FV31" s="242"/>
      <c r="FW31" s="242"/>
      <c r="FX31" s="242"/>
      <c r="FY31" s="242"/>
      <c r="FZ31" s="242"/>
      <c r="GA31" s="242"/>
      <c r="GB31" s="242"/>
      <c r="GC31" s="242"/>
      <c r="GD31" s="242"/>
      <c r="GE31" s="242"/>
      <c r="GF31" s="242"/>
      <c r="GG31" s="242"/>
      <c r="GH31" s="242"/>
      <c r="GI31" s="242"/>
      <c r="GJ31" s="242"/>
      <c r="GK31" s="242"/>
      <c r="GL31" s="242"/>
      <c r="GM31" s="242"/>
      <c r="GN31" s="242"/>
      <c r="GO31" s="242"/>
      <c r="GP31" s="242"/>
      <c r="GQ31" s="242"/>
      <c r="GR31" s="242"/>
      <c r="GS31" s="242"/>
      <c r="GT31" s="242"/>
      <c r="GU31" s="242"/>
      <c r="GV31" s="242"/>
      <c r="GW31" s="243"/>
      <c r="GX31" s="242"/>
      <c r="GY31" s="242"/>
      <c r="GZ31" s="242"/>
      <c r="HA31" s="242"/>
      <c r="HB31" s="242"/>
      <c r="HC31" s="242"/>
      <c r="HD31" s="242"/>
      <c r="HE31" s="242"/>
      <c r="HF31" s="242"/>
      <c r="HG31" s="242"/>
      <c r="HH31" s="242"/>
      <c r="HI31" s="242"/>
      <c r="HJ31" s="242"/>
      <c r="HK31" s="242"/>
      <c r="HL31" s="242"/>
      <c r="HM31" s="242"/>
      <c r="HN31" s="242"/>
      <c r="HO31" s="242"/>
      <c r="HP31" s="242"/>
      <c r="HQ31" s="242"/>
      <c r="HR31" s="242"/>
      <c r="HS31" s="242"/>
      <c r="HT31" s="242"/>
      <c r="HU31" s="242"/>
      <c r="HV31" s="242"/>
      <c r="HW31" s="242"/>
      <c r="HX31" s="242"/>
      <c r="HY31" s="242"/>
      <c r="HZ31" s="242"/>
      <c r="IA31" s="242"/>
      <c r="IB31" s="242"/>
      <c r="IC31" s="242"/>
      <c r="ID31" s="242"/>
      <c r="IE31" s="242"/>
      <c r="IF31" s="242"/>
      <c r="IG31" s="242"/>
      <c r="IH31" s="242"/>
      <c r="II31" s="242"/>
      <c r="IJ31" s="242"/>
      <c r="IK31" s="242"/>
      <c r="IL31" s="242"/>
      <c r="IM31" s="242"/>
      <c r="IN31" s="242"/>
      <c r="IO31" s="242"/>
      <c r="IP31" s="242"/>
      <c r="IQ31" s="242"/>
      <c r="IR31" s="242"/>
      <c r="IS31" s="242"/>
      <c r="IT31" s="242"/>
      <c r="IU31" s="242"/>
      <c r="IV31" s="243"/>
      <c r="IW31" s="242"/>
      <c r="IX31" s="242"/>
      <c r="IY31" s="242"/>
      <c r="IZ31" s="242"/>
      <c r="JA31" s="242"/>
      <c r="JB31" s="242"/>
      <c r="JC31" s="242"/>
      <c r="JD31" s="242"/>
      <c r="JE31" s="242"/>
      <c r="JF31" s="242"/>
      <c r="JG31" s="242"/>
      <c r="JH31" s="242"/>
      <c r="JI31" s="242"/>
      <c r="JJ31" s="242"/>
      <c r="JK31" s="242"/>
      <c r="JL31" s="242"/>
      <c r="JM31" s="242"/>
      <c r="JN31" s="242"/>
      <c r="JO31" s="242"/>
      <c r="JP31" s="243"/>
      <c r="JQ31" s="242"/>
      <c r="JR31" s="242"/>
      <c r="JS31" s="242"/>
      <c r="JT31" s="243"/>
      <c r="JU31" s="243"/>
      <c r="JV31" s="242"/>
      <c r="JW31" s="242"/>
      <c r="JX31" s="242"/>
      <c r="JY31" s="242"/>
      <c r="JZ31" s="242"/>
      <c r="KA31" s="242"/>
      <c r="KB31" s="243"/>
      <c r="KC31" s="242"/>
      <c r="KD31" s="242"/>
      <c r="KE31" s="242"/>
      <c r="KF31" s="242"/>
      <c r="KG31" s="242"/>
      <c r="KH31" s="242"/>
      <c r="KI31" s="242"/>
      <c r="KJ31" s="242"/>
      <c r="KK31" s="242"/>
      <c r="KL31" s="242"/>
      <c r="KM31" s="242"/>
      <c r="KN31" s="242"/>
      <c r="KO31" s="242"/>
      <c r="KP31" s="242"/>
      <c r="KQ31" s="242"/>
      <c r="KR31" s="242"/>
      <c r="KS31" s="242"/>
      <c r="KT31" s="242"/>
      <c r="KU31" s="242"/>
      <c r="KV31" s="243"/>
      <c r="KW31" s="242"/>
      <c r="KX31" s="242"/>
      <c r="KY31" s="242"/>
      <c r="KZ31" s="242"/>
      <c r="LA31" s="242"/>
      <c r="LB31" s="242"/>
      <c r="LC31" s="242"/>
      <c r="LD31" s="242"/>
      <c r="LE31" s="242"/>
      <c r="LF31" s="242"/>
      <c r="LG31" s="242"/>
      <c r="LH31" s="242"/>
      <c r="LI31" s="242"/>
      <c r="LJ31" s="242"/>
      <c r="LK31" s="242"/>
      <c r="LL31" s="242"/>
      <c r="LM31" s="242"/>
      <c r="LN31" s="242"/>
      <c r="LO31" s="242"/>
      <c r="LP31" s="242"/>
      <c r="LQ31" s="242"/>
      <c r="LR31" s="242"/>
      <c r="LS31" s="242"/>
      <c r="LT31" s="242"/>
      <c r="LU31" s="242"/>
      <c r="LV31" s="242"/>
      <c r="LW31" s="242"/>
      <c r="LX31" s="242"/>
      <c r="LY31" s="242"/>
      <c r="LZ31" s="242"/>
      <c r="MA31" s="242"/>
      <c r="MB31" s="242"/>
      <c r="MC31" s="242"/>
      <c r="MD31" s="243"/>
      <c r="ME31" s="242"/>
      <c r="MF31" s="242"/>
      <c r="MG31" s="242"/>
      <c r="MH31" s="242"/>
      <c r="MI31" s="242"/>
      <c r="MJ31" s="242"/>
      <c r="MK31" s="242"/>
      <c r="ML31" s="242"/>
      <c r="MM31" s="242"/>
      <c r="MN31" s="242"/>
      <c r="MO31" s="242"/>
      <c r="MP31" s="242"/>
      <c r="MQ31" s="242"/>
      <c r="MR31" s="242"/>
      <c r="MS31" s="242"/>
      <c r="MT31" s="242"/>
      <c r="MU31" s="242"/>
      <c r="MV31" s="242"/>
      <c r="MW31" s="242"/>
      <c r="MX31" s="243"/>
      <c r="MY31" s="242"/>
      <c r="MZ31" s="242"/>
      <c r="NA31" s="242"/>
      <c r="NB31" s="242"/>
      <c r="NC31" s="242"/>
      <c r="ND31" s="242"/>
      <c r="NE31" s="242"/>
      <c r="NF31" s="242"/>
      <c r="NG31" s="242"/>
      <c r="NH31" s="242"/>
      <c r="NI31" s="242"/>
      <c r="NJ31" s="242"/>
      <c r="NK31" s="242"/>
      <c r="NL31" s="242"/>
      <c r="NM31" s="242"/>
      <c r="NN31" s="242"/>
      <c r="NO31" s="242"/>
      <c r="NP31" s="242"/>
      <c r="NQ31" s="242"/>
      <c r="NR31" s="242"/>
      <c r="NS31" s="242"/>
      <c r="NT31" s="242"/>
      <c r="NU31" s="242"/>
      <c r="NV31" s="242"/>
      <c r="NW31" s="242"/>
      <c r="NX31" s="242"/>
      <c r="NY31" s="242"/>
      <c r="NZ31" s="242"/>
      <c r="OA31" s="242"/>
      <c r="OB31" s="242"/>
      <c r="OC31" s="242"/>
      <c r="OD31" s="243"/>
      <c r="OE31" s="243"/>
      <c r="OF31" s="242"/>
      <c r="OG31" s="242"/>
      <c r="OH31" s="242"/>
      <c r="OI31" s="242"/>
      <c r="OJ31" s="242"/>
      <c r="OK31" s="242"/>
      <c r="OL31" s="242"/>
      <c r="OM31" s="242"/>
      <c r="ON31" s="242"/>
      <c r="OO31" s="242"/>
      <c r="OP31" s="242"/>
      <c r="OQ31" s="242"/>
      <c r="OR31" s="242"/>
      <c r="OS31" s="243"/>
      <c r="OT31" s="242"/>
      <c r="OU31" s="242"/>
      <c r="OV31" s="242"/>
      <c r="OW31" s="242"/>
      <c r="OX31" s="242"/>
      <c r="OY31" s="243"/>
      <c r="OZ31" s="242"/>
      <c r="PA31" s="242"/>
      <c r="PB31" s="242"/>
      <c r="PC31" s="242"/>
      <c r="PD31" s="242"/>
      <c r="PE31" s="242"/>
      <c r="PF31" s="242"/>
      <c r="PG31" s="242"/>
      <c r="PH31" s="242"/>
      <c r="PI31" s="242"/>
      <c r="PJ31" s="242"/>
      <c r="PK31" s="242"/>
      <c r="PL31" s="242"/>
      <c r="PM31" s="242"/>
      <c r="PN31" s="242"/>
      <c r="PO31" s="242"/>
      <c r="PP31" s="242"/>
      <c r="PQ31" s="242"/>
      <c r="PR31" s="242"/>
      <c r="PS31" s="242"/>
      <c r="PT31" s="242"/>
      <c r="PU31" s="242"/>
      <c r="PV31" s="242"/>
      <c r="PW31" s="242"/>
      <c r="PX31" s="242"/>
      <c r="PY31" s="242"/>
      <c r="PZ31" s="242"/>
      <c r="QA31" s="242"/>
      <c r="QB31" s="242"/>
      <c r="QC31" s="242"/>
      <c r="QD31" s="242"/>
      <c r="QE31" s="242"/>
      <c r="QF31" s="242"/>
      <c r="QG31" s="242"/>
      <c r="QH31" s="242"/>
      <c r="QI31" s="244"/>
    </row>
    <row r="32" spans="1:451" ht="18" customHeight="1" outlineLevel="1" x14ac:dyDescent="0.2">
      <c r="A32" s="239" t="s">
        <v>325</v>
      </c>
      <c r="B32" s="245"/>
      <c r="C32" s="242"/>
      <c r="D32" s="242"/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242"/>
      <c r="P32" s="242"/>
      <c r="Q32" s="242"/>
      <c r="R32" s="242"/>
      <c r="S32" s="242"/>
      <c r="T32" s="242"/>
      <c r="U32" s="242"/>
      <c r="V32" s="242"/>
      <c r="W32" s="242"/>
      <c r="X32" s="242"/>
      <c r="Y32" s="242"/>
      <c r="Z32" s="242"/>
      <c r="AA32" s="242"/>
      <c r="AB32" s="242"/>
      <c r="AC32" s="243"/>
      <c r="AD32" s="242"/>
      <c r="AE32" s="242"/>
      <c r="AF32" s="242"/>
      <c r="AG32" s="242"/>
      <c r="AH32" s="242"/>
      <c r="AI32" s="242"/>
      <c r="AJ32" s="242"/>
      <c r="AK32" s="242"/>
      <c r="AL32" s="242"/>
      <c r="AM32" s="242"/>
      <c r="AN32" s="242"/>
      <c r="AO32" s="242"/>
      <c r="AP32" s="242"/>
      <c r="AQ32" s="242"/>
      <c r="AR32" s="243"/>
      <c r="AS32" s="242"/>
      <c r="AT32" s="242"/>
      <c r="AU32" s="242"/>
      <c r="AV32" s="242"/>
      <c r="AW32" s="242"/>
      <c r="AX32" s="242"/>
      <c r="AY32" s="242"/>
      <c r="AZ32" s="248" t="s">
        <v>326</v>
      </c>
      <c r="BA32" s="248" t="s">
        <v>326</v>
      </c>
      <c r="BB32" s="248" t="s">
        <v>326</v>
      </c>
      <c r="BC32" s="248" t="s">
        <v>326</v>
      </c>
      <c r="BD32" s="248" t="s">
        <v>326</v>
      </c>
      <c r="BE32" s="248" t="s">
        <v>326</v>
      </c>
      <c r="BF32" s="248" t="s">
        <v>326</v>
      </c>
      <c r="BG32" s="248" t="s">
        <v>326</v>
      </c>
      <c r="BH32" s="248" t="s">
        <v>326</v>
      </c>
      <c r="BI32" s="248" t="s">
        <v>326</v>
      </c>
      <c r="BJ32" s="248" t="s">
        <v>326</v>
      </c>
      <c r="BK32" s="248" t="s">
        <v>326</v>
      </c>
      <c r="BL32" s="248" t="s">
        <v>326</v>
      </c>
      <c r="BM32" s="242"/>
      <c r="BN32" s="242"/>
      <c r="BO32" s="242"/>
      <c r="BP32" s="242"/>
      <c r="BQ32" s="242"/>
      <c r="BR32" s="242"/>
      <c r="BS32" s="242"/>
      <c r="BT32" s="242"/>
      <c r="BU32" s="242"/>
      <c r="BV32" s="242"/>
      <c r="BW32" s="242"/>
      <c r="BX32" s="242"/>
      <c r="BY32" s="242"/>
      <c r="BZ32" s="242"/>
      <c r="CA32" s="242"/>
      <c r="CB32" s="242"/>
      <c r="CC32" s="243"/>
      <c r="CD32" s="243"/>
      <c r="CE32" s="242"/>
      <c r="CF32" s="242"/>
      <c r="CG32" s="242"/>
      <c r="CH32" s="242"/>
      <c r="CI32" s="242"/>
      <c r="CJ32" s="242"/>
      <c r="CK32" s="242"/>
      <c r="CL32" s="242"/>
      <c r="CM32" s="242"/>
      <c r="CN32" s="242"/>
      <c r="CO32" s="242"/>
      <c r="CP32" s="242"/>
      <c r="CQ32" s="242"/>
      <c r="CR32" s="243"/>
      <c r="CS32" s="242"/>
      <c r="CT32" s="242"/>
      <c r="CU32" s="242"/>
      <c r="CV32" s="242"/>
      <c r="CW32" s="242"/>
      <c r="CX32" s="243"/>
      <c r="CY32" s="242"/>
      <c r="CZ32" s="242"/>
      <c r="DA32" s="242"/>
      <c r="DB32" s="242"/>
      <c r="DC32" s="242"/>
      <c r="DD32" s="242"/>
      <c r="DE32" s="242"/>
      <c r="DF32" s="242"/>
      <c r="DG32" s="242"/>
      <c r="DH32" s="242"/>
      <c r="DI32" s="242"/>
      <c r="DJ32" s="242"/>
      <c r="DK32" s="242"/>
      <c r="DL32" s="242"/>
      <c r="DM32" s="242"/>
      <c r="DN32" s="242"/>
      <c r="DO32" s="242"/>
      <c r="DP32" s="242"/>
      <c r="DQ32" s="242"/>
      <c r="DR32" s="242"/>
      <c r="DS32" s="242"/>
      <c r="DT32" s="242"/>
      <c r="DU32" s="242"/>
      <c r="DV32" s="242"/>
      <c r="DW32" s="242"/>
      <c r="DX32" s="242"/>
      <c r="DY32" s="242"/>
      <c r="DZ32" s="242"/>
      <c r="EA32" s="242"/>
      <c r="EB32" s="242"/>
      <c r="EC32" s="242"/>
      <c r="ED32" s="242"/>
      <c r="EE32" s="242"/>
      <c r="EF32" s="242"/>
      <c r="EG32" s="242"/>
      <c r="EH32" s="242"/>
      <c r="EI32" s="242"/>
      <c r="EJ32" s="242"/>
      <c r="EK32" s="242"/>
      <c r="EL32" s="242"/>
      <c r="EM32" s="242"/>
      <c r="EN32" s="242"/>
      <c r="EO32" s="242"/>
      <c r="EP32" s="242"/>
      <c r="EQ32" s="242"/>
      <c r="ER32" s="242"/>
      <c r="ES32" s="242"/>
      <c r="ET32" s="242"/>
      <c r="EU32" s="242"/>
      <c r="EV32" s="242"/>
      <c r="EW32" s="242"/>
      <c r="EX32" s="242"/>
      <c r="EY32" s="242"/>
      <c r="EZ32" s="242"/>
      <c r="FA32" s="242"/>
      <c r="FB32" s="242"/>
      <c r="FC32" s="242"/>
      <c r="FD32" s="242"/>
      <c r="FE32" s="242"/>
      <c r="FF32" s="242"/>
      <c r="FG32" s="242"/>
      <c r="FH32" s="242"/>
      <c r="FI32" s="242"/>
      <c r="FJ32" s="242"/>
      <c r="FK32" s="242"/>
      <c r="FL32" s="242"/>
      <c r="FM32" s="242"/>
      <c r="FN32" s="242"/>
      <c r="FO32" s="242"/>
      <c r="FP32" s="242"/>
      <c r="FQ32" s="243"/>
      <c r="FR32" s="243"/>
      <c r="FS32" s="242"/>
      <c r="FT32" s="242"/>
      <c r="FU32" s="242"/>
      <c r="FV32" s="242"/>
      <c r="FW32" s="242"/>
      <c r="FX32" s="242"/>
      <c r="FY32" s="242"/>
      <c r="FZ32" s="242"/>
      <c r="GA32" s="242"/>
      <c r="GB32" s="242"/>
      <c r="GC32" s="242"/>
      <c r="GD32" s="242"/>
      <c r="GE32" s="242"/>
      <c r="GF32" s="242"/>
      <c r="GG32" s="242"/>
      <c r="GH32" s="242"/>
      <c r="GI32" s="242"/>
      <c r="GJ32" s="242"/>
      <c r="GK32" s="242"/>
      <c r="GL32" s="242"/>
      <c r="GM32" s="242"/>
      <c r="GN32" s="242"/>
      <c r="GO32" s="242"/>
      <c r="GP32" s="242"/>
      <c r="GQ32" s="242"/>
      <c r="GR32" s="242"/>
      <c r="GS32" s="242"/>
      <c r="GT32" s="242"/>
      <c r="GU32" s="242"/>
      <c r="GV32" s="242"/>
      <c r="GW32" s="243"/>
      <c r="GX32" s="242"/>
      <c r="GY32" s="242"/>
      <c r="GZ32" s="242"/>
      <c r="HA32" s="242"/>
      <c r="HB32" s="242"/>
      <c r="HC32" s="242"/>
      <c r="HD32" s="242"/>
      <c r="HE32" s="242"/>
      <c r="HF32" s="242"/>
      <c r="HG32" s="242"/>
      <c r="HH32" s="242"/>
      <c r="HI32" s="242"/>
      <c r="HJ32" s="242"/>
      <c r="HK32" s="242"/>
      <c r="HL32" s="242"/>
      <c r="HM32" s="242"/>
      <c r="HN32" s="242"/>
      <c r="HO32" s="242"/>
      <c r="HP32" s="242"/>
      <c r="HQ32" s="242"/>
      <c r="HR32" s="242"/>
      <c r="HS32" s="242"/>
      <c r="HT32" s="242"/>
      <c r="HU32" s="242"/>
      <c r="HV32" s="242"/>
      <c r="HW32" s="242"/>
      <c r="HX32" s="242"/>
      <c r="HY32" s="242"/>
      <c r="HZ32" s="242"/>
      <c r="IA32" s="242"/>
      <c r="IB32" s="242"/>
      <c r="IC32" s="242"/>
      <c r="ID32" s="242"/>
      <c r="IE32" s="242"/>
      <c r="IF32" s="242"/>
      <c r="IG32" s="242"/>
      <c r="IH32" s="242"/>
      <c r="II32" s="242"/>
      <c r="IJ32" s="242"/>
      <c r="IK32" s="242"/>
      <c r="IL32" s="242"/>
      <c r="IM32" s="242"/>
      <c r="IN32" s="242"/>
      <c r="IO32" s="242"/>
      <c r="IP32" s="242"/>
      <c r="IQ32" s="242"/>
      <c r="IR32" s="242"/>
      <c r="IS32" s="242"/>
      <c r="IT32" s="242"/>
      <c r="IU32" s="242"/>
      <c r="IV32" s="243"/>
      <c r="IW32" s="242"/>
      <c r="IX32" s="242"/>
      <c r="IY32" s="242"/>
      <c r="IZ32" s="242"/>
      <c r="JA32" s="242"/>
      <c r="JB32" s="242"/>
      <c r="JC32" s="242"/>
      <c r="JD32" s="242"/>
      <c r="JE32" s="242"/>
      <c r="JF32" s="242"/>
      <c r="JG32" s="242"/>
      <c r="JH32" s="242"/>
      <c r="JI32" s="242"/>
      <c r="JJ32" s="242"/>
      <c r="JK32" s="242"/>
      <c r="JL32" s="242"/>
      <c r="JM32" s="242"/>
      <c r="JN32" s="242"/>
      <c r="JO32" s="242"/>
      <c r="JP32" s="243"/>
      <c r="JQ32" s="242"/>
      <c r="JR32" s="242"/>
      <c r="JS32" s="242"/>
      <c r="JT32" s="243"/>
      <c r="JU32" s="243"/>
      <c r="JV32" s="242"/>
      <c r="JW32" s="242"/>
      <c r="JX32" s="242"/>
      <c r="JY32" s="242"/>
      <c r="JZ32" s="242"/>
      <c r="KA32" s="242"/>
      <c r="KB32" s="243"/>
      <c r="KC32" s="242"/>
      <c r="KD32" s="242"/>
      <c r="KE32" s="242"/>
      <c r="KF32" s="242"/>
      <c r="KG32" s="242"/>
      <c r="KH32" s="242"/>
      <c r="KI32" s="242"/>
      <c r="KJ32" s="242"/>
      <c r="KK32" s="242"/>
      <c r="KL32" s="242"/>
      <c r="KM32" s="242"/>
      <c r="KN32" s="242"/>
      <c r="KO32" s="242"/>
      <c r="KP32" s="242"/>
      <c r="KQ32" s="242"/>
      <c r="KR32" s="242"/>
      <c r="KS32" s="242"/>
      <c r="KT32" s="242"/>
      <c r="KU32" s="242"/>
      <c r="KV32" s="243"/>
      <c r="KW32" s="242"/>
      <c r="KX32" s="242"/>
      <c r="KY32" s="242"/>
      <c r="KZ32" s="242"/>
      <c r="LA32" s="242"/>
      <c r="LB32" s="242"/>
      <c r="LC32" s="242"/>
      <c r="LD32" s="242"/>
      <c r="LE32" s="242"/>
      <c r="LF32" s="242"/>
      <c r="LG32" s="242"/>
      <c r="LH32" s="242"/>
      <c r="LI32" s="242"/>
      <c r="LJ32" s="242"/>
      <c r="LK32" s="242"/>
      <c r="LL32" s="242"/>
      <c r="LM32" s="242"/>
      <c r="LN32" s="242"/>
      <c r="LO32" s="242"/>
      <c r="LP32" s="242"/>
      <c r="LQ32" s="242"/>
      <c r="LR32" s="242"/>
      <c r="LS32" s="242"/>
      <c r="LT32" s="242"/>
      <c r="LU32" s="242"/>
      <c r="LV32" s="242"/>
      <c r="LW32" s="242"/>
      <c r="LX32" s="242"/>
      <c r="LY32" s="242"/>
      <c r="LZ32" s="242"/>
      <c r="MA32" s="242"/>
      <c r="MB32" s="242"/>
      <c r="MC32" s="242"/>
      <c r="MD32" s="243"/>
      <c r="ME32" s="242"/>
      <c r="MF32" s="242"/>
      <c r="MG32" s="242"/>
      <c r="MH32" s="242"/>
      <c r="MI32" s="242"/>
      <c r="MJ32" s="242"/>
      <c r="MK32" s="242"/>
      <c r="ML32" s="242"/>
      <c r="MM32" s="242"/>
      <c r="MN32" s="242"/>
      <c r="MO32" s="242"/>
      <c r="MP32" s="242"/>
      <c r="MQ32" s="242"/>
      <c r="MR32" s="242"/>
      <c r="MS32" s="242"/>
      <c r="MT32" s="242"/>
      <c r="MU32" s="242"/>
      <c r="MV32" s="242"/>
      <c r="MW32" s="242"/>
      <c r="MX32" s="243"/>
      <c r="MY32" s="242"/>
      <c r="MZ32" s="242"/>
      <c r="NA32" s="242"/>
      <c r="NB32" s="242"/>
      <c r="NC32" s="242"/>
      <c r="ND32" s="242"/>
      <c r="NE32" s="242"/>
      <c r="NF32" s="242"/>
      <c r="NG32" s="242"/>
      <c r="NH32" s="242"/>
      <c r="NI32" s="242"/>
      <c r="NJ32" s="242"/>
      <c r="NK32" s="242"/>
      <c r="NL32" s="242"/>
      <c r="NM32" s="242"/>
      <c r="NN32" s="242"/>
      <c r="NO32" s="242"/>
      <c r="NP32" s="242"/>
      <c r="NQ32" s="242"/>
      <c r="NR32" s="242"/>
      <c r="NS32" s="242"/>
      <c r="NT32" s="242"/>
      <c r="NU32" s="242"/>
      <c r="NV32" s="242"/>
      <c r="NW32" s="242"/>
      <c r="NX32" s="242"/>
      <c r="NY32" s="242"/>
      <c r="NZ32" s="242"/>
      <c r="OA32" s="242"/>
      <c r="OB32" s="242"/>
      <c r="OC32" s="242"/>
      <c r="OD32" s="243"/>
      <c r="OE32" s="243"/>
      <c r="OF32" s="242"/>
      <c r="OG32" s="242"/>
      <c r="OH32" s="242"/>
      <c r="OI32" s="242"/>
      <c r="OJ32" s="242"/>
      <c r="OK32" s="242"/>
      <c r="OL32" s="242"/>
      <c r="OM32" s="242"/>
      <c r="ON32" s="242"/>
      <c r="OO32" s="242"/>
      <c r="OP32" s="242"/>
      <c r="OQ32" s="242"/>
      <c r="OR32" s="242"/>
      <c r="OS32" s="243"/>
      <c r="OT32" s="242"/>
      <c r="OU32" s="242"/>
      <c r="OV32" s="242"/>
      <c r="OW32" s="242"/>
      <c r="OX32" s="242"/>
      <c r="OY32" s="243"/>
      <c r="OZ32" s="242"/>
      <c r="PA32" s="242"/>
      <c r="PB32" s="242"/>
      <c r="PC32" s="242"/>
      <c r="PD32" s="242"/>
      <c r="PE32" s="242"/>
      <c r="PF32" s="242"/>
      <c r="PG32" s="242"/>
      <c r="PH32" s="242"/>
      <c r="PI32" s="242"/>
      <c r="PJ32" s="242"/>
      <c r="PK32" s="242"/>
      <c r="PL32" s="242"/>
      <c r="PM32" s="242"/>
      <c r="PN32" s="242"/>
      <c r="PO32" s="242"/>
      <c r="PP32" s="242"/>
      <c r="PQ32" s="242"/>
      <c r="PR32" s="242"/>
      <c r="PS32" s="242"/>
      <c r="PT32" s="242"/>
      <c r="PU32" s="242"/>
      <c r="PV32" s="242"/>
      <c r="PW32" s="242"/>
      <c r="PX32" s="242"/>
      <c r="PY32" s="242"/>
      <c r="PZ32" s="242"/>
      <c r="QA32" s="242"/>
      <c r="QB32" s="242"/>
      <c r="QC32" s="242"/>
      <c r="QD32" s="242"/>
      <c r="QE32" s="242"/>
      <c r="QF32" s="242"/>
      <c r="QG32" s="242"/>
      <c r="QH32" s="242"/>
      <c r="QI32" s="244"/>
    </row>
    <row r="33" spans="1:451" ht="18" customHeight="1" x14ac:dyDescent="0.2">
      <c r="A33" s="239" t="s">
        <v>271</v>
      </c>
      <c r="B33" s="245"/>
      <c r="C33" s="242"/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242"/>
      <c r="P33" s="242"/>
      <c r="Q33" s="242"/>
      <c r="R33" s="242"/>
      <c r="S33" s="242"/>
      <c r="T33" s="242"/>
      <c r="U33" s="242"/>
      <c r="V33" s="242"/>
      <c r="W33" s="242"/>
      <c r="X33" s="242"/>
      <c r="Y33" s="242"/>
      <c r="Z33" s="242"/>
      <c r="AA33" s="242"/>
      <c r="AB33" s="242"/>
      <c r="AC33" s="243"/>
      <c r="AD33" s="242"/>
      <c r="AE33" s="242"/>
      <c r="AF33" s="242"/>
      <c r="AG33" s="242"/>
      <c r="AH33" s="242"/>
      <c r="AI33" s="242"/>
      <c r="AJ33" s="242"/>
      <c r="AK33" s="242"/>
      <c r="AL33" s="242"/>
      <c r="AM33" s="242"/>
      <c r="AN33" s="242"/>
      <c r="AO33" s="242"/>
      <c r="AP33" s="242"/>
      <c r="AQ33" s="242"/>
      <c r="AR33" s="243"/>
      <c r="AS33" s="242"/>
      <c r="AT33" s="242"/>
      <c r="AU33" s="242"/>
      <c r="AV33" s="242"/>
      <c r="AW33" s="242"/>
      <c r="AX33" s="242"/>
      <c r="AY33" s="242"/>
      <c r="AZ33" s="242"/>
      <c r="BA33" s="242"/>
      <c r="BB33" s="242"/>
      <c r="BC33" s="242"/>
      <c r="BD33" s="242"/>
      <c r="BE33" s="242"/>
      <c r="BF33" s="242"/>
      <c r="BG33" s="242"/>
      <c r="BH33" s="242"/>
      <c r="BI33" s="242"/>
      <c r="BJ33" s="242"/>
      <c r="BK33" s="242"/>
      <c r="BL33" s="242"/>
      <c r="BM33" s="242"/>
      <c r="BN33" s="242"/>
      <c r="BO33" s="242"/>
      <c r="BP33" s="242"/>
      <c r="BQ33" s="242"/>
      <c r="BR33" s="242"/>
      <c r="BS33" s="242"/>
      <c r="BT33" s="242"/>
      <c r="BU33" s="242"/>
      <c r="BV33" s="242"/>
      <c r="BW33" s="242"/>
      <c r="BX33" s="242"/>
      <c r="BY33" s="242"/>
      <c r="BZ33" s="242"/>
      <c r="CA33" s="242"/>
      <c r="CB33" s="242"/>
      <c r="CC33" s="243"/>
      <c r="CD33" s="243"/>
      <c r="CE33" s="242"/>
      <c r="CF33" s="242"/>
      <c r="CG33" s="242"/>
      <c r="CH33" s="242"/>
      <c r="CI33" s="242"/>
      <c r="CJ33" s="242"/>
      <c r="CK33" s="242"/>
      <c r="CL33" s="242"/>
      <c r="CM33" s="242"/>
      <c r="CN33" s="242"/>
      <c r="CO33" s="242"/>
      <c r="CP33" s="242"/>
      <c r="CQ33" s="242"/>
      <c r="CR33" s="243"/>
      <c r="CS33" s="242"/>
      <c r="CT33" s="242"/>
      <c r="CU33" s="242"/>
      <c r="CV33" s="242"/>
      <c r="CW33" s="242"/>
      <c r="CX33" s="243"/>
      <c r="CY33" s="242"/>
      <c r="CZ33" s="242"/>
      <c r="DA33" s="242"/>
      <c r="DB33" s="242"/>
      <c r="DC33" s="242"/>
      <c r="DD33" s="242"/>
      <c r="DE33" s="242"/>
      <c r="DF33" s="242"/>
      <c r="DG33" s="242"/>
      <c r="DH33" s="242"/>
      <c r="DI33" s="242"/>
      <c r="DJ33" s="242"/>
      <c r="DK33" s="242"/>
      <c r="DL33" s="242"/>
      <c r="DM33" s="242"/>
      <c r="DN33" s="242"/>
      <c r="DO33" s="242"/>
      <c r="DP33" s="242"/>
      <c r="DQ33" s="242"/>
      <c r="DR33" s="242"/>
      <c r="DS33" s="242"/>
      <c r="DT33" s="242"/>
      <c r="DU33" s="242"/>
      <c r="DV33" s="242"/>
      <c r="DW33" s="242"/>
      <c r="DX33" s="242"/>
      <c r="DY33" s="242"/>
      <c r="DZ33" s="242"/>
      <c r="EA33" s="242"/>
      <c r="EB33" s="242"/>
      <c r="EC33" s="242"/>
      <c r="ED33" s="242"/>
      <c r="EE33" s="242"/>
      <c r="EF33" s="242"/>
      <c r="EG33" s="242"/>
      <c r="EH33" s="242"/>
      <c r="EI33" s="242"/>
      <c r="EJ33" s="242"/>
      <c r="EK33" s="242"/>
      <c r="EL33" s="242"/>
      <c r="EM33" s="242"/>
      <c r="EN33" s="242"/>
      <c r="EO33" s="242"/>
      <c r="EP33" s="242"/>
      <c r="EQ33" s="242"/>
      <c r="ER33" s="242"/>
      <c r="ES33" s="242"/>
      <c r="ET33" s="242"/>
      <c r="EU33" s="242"/>
      <c r="EV33" s="242"/>
      <c r="EW33" s="242"/>
      <c r="EX33" s="242"/>
      <c r="EY33" s="242"/>
      <c r="EZ33" s="242"/>
      <c r="FA33" s="242"/>
      <c r="FB33" s="242"/>
      <c r="FC33" s="242"/>
      <c r="FD33" s="242"/>
      <c r="FE33" s="242"/>
      <c r="FF33" s="242"/>
      <c r="FG33" s="242"/>
      <c r="FH33" s="242"/>
      <c r="FI33" s="242"/>
      <c r="FJ33" s="242"/>
      <c r="FK33" s="242"/>
      <c r="FL33" s="242"/>
      <c r="FM33" s="242"/>
      <c r="FN33" s="242"/>
      <c r="FO33" s="242"/>
      <c r="FP33" s="242"/>
      <c r="FQ33" s="243"/>
      <c r="FR33" s="243"/>
      <c r="FS33" s="242"/>
      <c r="FT33" s="242"/>
      <c r="FU33" s="242"/>
      <c r="FV33" s="242"/>
      <c r="FW33" s="242"/>
      <c r="FX33" s="242"/>
      <c r="FY33" s="242"/>
      <c r="FZ33" s="242"/>
      <c r="GA33" s="242"/>
      <c r="GB33" s="242"/>
      <c r="GC33" s="242"/>
      <c r="GD33" s="242"/>
      <c r="GE33" s="242"/>
      <c r="GF33" s="242"/>
      <c r="GG33" s="242"/>
      <c r="GH33" s="242"/>
      <c r="GI33" s="242"/>
      <c r="GJ33" s="242"/>
      <c r="GK33" s="242"/>
      <c r="GL33" s="242"/>
      <c r="GM33" s="242"/>
      <c r="GN33" s="242"/>
      <c r="GO33" s="242"/>
      <c r="GP33" s="242"/>
      <c r="GQ33" s="242"/>
      <c r="GR33" s="242"/>
      <c r="GS33" s="242"/>
      <c r="GT33" s="242"/>
      <c r="GU33" s="242"/>
      <c r="GV33" s="242"/>
      <c r="GW33" s="243"/>
      <c r="GX33" s="242"/>
      <c r="GY33" s="242"/>
      <c r="GZ33" s="242"/>
      <c r="HA33" s="242"/>
      <c r="HB33" s="242"/>
      <c r="HC33" s="242"/>
      <c r="HD33" s="242"/>
      <c r="HE33" s="242"/>
      <c r="HF33" s="242"/>
      <c r="HG33" s="242"/>
      <c r="HH33" s="242"/>
      <c r="HI33" s="242"/>
      <c r="HJ33" s="242"/>
      <c r="HK33" s="242"/>
      <c r="HL33" s="242"/>
      <c r="HM33" s="242"/>
      <c r="HN33" s="242"/>
      <c r="HO33" s="242"/>
      <c r="HP33" s="242"/>
      <c r="HQ33" s="242"/>
      <c r="HR33" s="242"/>
      <c r="HS33" s="242"/>
      <c r="HT33" s="242"/>
      <c r="HU33" s="242"/>
      <c r="HV33" s="242"/>
      <c r="HW33" s="242"/>
      <c r="HX33" s="242"/>
      <c r="HY33" s="242"/>
      <c r="HZ33" s="242"/>
      <c r="IA33" s="242"/>
      <c r="IB33" s="242"/>
      <c r="IC33" s="242"/>
      <c r="ID33" s="242"/>
      <c r="IE33" s="242"/>
      <c r="IF33" s="242"/>
      <c r="IG33" s="242"/>
      <c r="IH33" s="242"/>
      <c r="II33" s="242"/>
      <c r="IJ33" s="242"/>
      <c r="IK33" s="242"/>
      <c r="IL33" s="242"/>
      <c r="IM33" s="242"/>
      <c r="IN33" s="242"/>
      <c r="IO33" s="242"/>
      <c r="IP33" s="242"/>
      <c r="IQ33" s="242"/>
      <c r="IR33" s="242"/>
      <c r="IS33" s="242"/>
      <c r="IT33" s="242"/>
      <c r="IU33" s="242"/>
      <c r="IV33" s="243"/>
      <c r="IW33" s="242"/>
      <c r="IX33" s="242"/>
      <c r="IY33" s="242"/>
      <c r="IZ33" s="242"/>
      <c r="JA33" s="242"/>
      <c r="JB33" s="242"/>
      <c r="JC33" s="242"/>
      <c r="JD33" s="242"/>
      <c r="JE33" s="242"/>
      <c r="JF33" s="242"/>
      <c r="JG33" s="242"/>
      <c r="JH33" s="242"/>
      <c r="JI33" s="242"/>
      <c r="JJ33" s="242"/>
      <c r="JK33" s="242"/>
      <c r="JL33" s="242"/>
      <c r="JM33" s="242"/>
      <c r="JN33" s="242"/>
      <c r="JO33" s="242"/>
      <c r="JP33" s="243"/>
      <c r="JQ33" s="242"/>
      <c r="JR33" s="242"/>
      <c r="JS33" s="242"/>
      <c r="JT33" s="243"/>
      <c r="JU33" s="243"/>
      <c r="JV33" s="242"/>
      <c r="JW33" s="242"/>
      <c r="JX33" s="242"/>
      <c r="JY33" s="242"/>
      <c r="JZ33" s="242"/>
      <c r="KA33" s="242"/>
      <c r="KB33" s="243"/>
      <c r="KC33" s="242"/>
      <c r="KD33" s="242"/>
      <c r="KE33" s="242"/>
      <c r="KF33" s="242"/>
      <c r="KG33" s="242"/>
      <c r="KH33" s="242"/>
      <c r="KI33" s="242"/>
      <c r="KJ33" s="242"/>
      <c r="KK33" s="242"/>
      <c r="KL33" s="242"/>
      <c r="KM33" s="242"/>
      <c r="KN33" s="242"/>
      <c r="KO33" s="242"/>
      <c r="KP33" s="242"/>
      <c r="KQ33" s="242"/>
      <c r="KR33" s="242"/>
      <c r="KS33" s="242"/>
      <c r="KT33" s="242"/>
      <c r="KU33" s="242"/>
      <c r="KV33" s="243"/>
      <c r="KW33" s="242"/>
      <c r="KX33" s="242"/>
      <c r="KY33" s="242"/>
      <c r="KZ33" s="242"/>
      <c r="LA33" s="242"/>
      <c r="LB33" s="242"/>
      <c r="LC33" s="242"/>
      <c r="LD33" s="242"/>
      <c r="LE33" s="242"/>
      <c r="LF33" s="242"/>
      <c r="LG33" s="242"/>
      <c r="LH33" s="242"/>
      <c r="LI33" s="242"/>
      <c r="LJ33" s="242"/>
      <c r="LK33" s="242"/>
      <c r="LL33" s="242"/>
      <c r="LM33" s="242"/>
      <c r="LN33" s="242"/>
      <c r="LO33" s="242"/>
      <c r="LP33" s="242"/>
      <c r="LQ33" s="242"/>
      <c r="LR33" s="242"/>
      <c r="LS33" s="242"/>
      <c r="LT33" s="242"/>
      <c r="LU33" s="242"/>
      <c r="LV33" s="242"/>
      <c r="LW33" s="242"/>
      <c r="LX33" s="242"/>
      <c r="LY33" s="242"/>
      <c r="LZ33" s="242"/>
      <c r="MA33" s="242"/>
      <c r="MB33" s="242"/>
      <c r="MC33" s="242"/>
      <c r="MD33" s="243"/>
      <c r="ME33" s="242"/>
      <c r="MF33" s="242"/>
      <c r="MG33" s="242"/>
      <c r="MH33" s="242"/>
      <c r="MI33" s="242"/>
      <c r="MJ33" s="242"/>
      <c r="MK33" s="242"/>
      <c r="ML33" s="242"/>
      <c r="MM33" s="242"/>
      <c r="MN33" s="242"/>
      <c r="MO33" s="242"/>
      <c r="MP33" s="242"/>
      <c r="MQ33" s="242"/>
      <c r="MR33" s="242"/>
      <c r="MS33" s="242"/>
      <c r="MT33" s="242"/>
      <c r="MU33" s="242"/>
      <c r="MV33" s="242"/>
      <c r="MW33" s="242"/>
      <c r="MX33" s="243"/>
      <c r="MY33" s="242"/>
      <c r="MZ33" s="242"/>
      <c r="NA33" s="242"/>
      <c r="NB33" s="242"/>
      <c r="NC33" s="242"/>
      <c r="ND33" s="242"/>
      <c r="NE33" s="242"/>
      <c r="NF33" s="242"/>
      <c r="NG33" s="242"/>
      <c r="NH33" s="242"/>
      <c r="NI33" s="242"/>
      <c r="NJ33" s="242"/>
      <c r="NK33" s="242"/>
      <c r="NL33" s="242"/>
      <c r="NM33" s="242"/>
      <c r="NN33" s="242"/>
      <c r="NO33" s="242"/>
      <c r="NP33" s="242"/>
      <c r="NQ33" s="242"/>
      <c r="NR33" s="242"/>
      <c r="NS33" s="242"/>
      <c r="NT33" s="242"/>
      <c r="NU33" s="242"/>
      <c r="NV33" s="242"/>
      <c r="NW33" s="242"/>
      <c r="NX33" s="242"/>
      <c r="NY33" s="242"/>
      <c r="NZ33" s="242"/>
      <c r="OA33" s="242"/>
      <c r="OB33" s="242"/>
      <c r="OC33" s="242"/>
      <c r="OD33" s="243"/>
      <c r="OE33" s="243"/>
      <c r="OF33" s="242"/>
      <c r="OG33" s="242"/>
      <c r="OH33" s="242"/>
      <c r="OI33" s="242"/>
      <c r="OJ33" s="242"/>
      <c r="OK33" s="242"/>
      <c r="OL33" s="242"/>
      <c r="OM33" s="242"/>
      <c r="ON33" s="242"/>
      <c r="OO33" s="242"/>
      <c r="OP33" s="242"/>
      <c r="OQ33" s="242"/>
      <c r="OR33" s="242"/>
      <c r="OS33" s="243"/>
      <c r="OT33" s="242"/>
      <c r="OU33" s="242"/>
      <c r="OV33" s="242"/>
      <c r="OW33" s="242"/>
      <c r="OX33" s="242"/>
      <c r="OY33" s="243"/>
      <c r="OZ33" s="242"/>
      <c r="PA33" s="242"/>
      <c r="PB33" s="242"/>
      <c r="PC33" s="242"/>
      <c r="PD33" s="242"/>
      <c r="PE33" s="242"/>
      <c r="PF33" s="242"/>
      <c r="PG33" s="242"/>
      <c r="PH33" s="242"/>
      <c r="PI33" s="242"/>
      <c r="PJ33" s="242"/>
      <c r="PK33" s="242"/>
      <c r="PL33" s="242"/>
      <c r="PM33" s="242"/>
      <c r="PN33" s="242"/>
      <c r="PO33" s="242"/>
      <c r="PP33" s="242"/>
      <c r="PQ33" s="242"/>
      <c r="PR33" s="242"/>
      <c r="PS33" s="242"/>
      <c r="PT33" s="242"/>
      <c r="PU33" s="242"/>
      <c r="PV33" s="242"/>
      <c r="PW33" s="242"/>
      <c r="PX33" s="242"/>
      <c r="PY33" s="242"/>
      <c r="PZ33" s="242"/>
      <c r="QA33" s="242"/>
      <c r="QB33" s="242"/>
      <c r="QC33" s="242"/>
      <c r="QD33" s="242"/>
      <c r="QE33" s="242"/>
      <c r="QF33" s="242"/>
      <c r="QG33" s="242"/>
      <c r="QH33" s="242"/>
      <c r="QI33" s="244"/>
    </row>
    <row r="34" spans="1:451" ht="18" customHeight="1" collapsed="1" x14ac:dyDescent="0.2">
      <c r="A34" s="239" t="s">
        <v>271</v>
      </c>
      <c r="B34" s="245"/>
      <c r="C34" s="242"/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42"/>
      <c r="Q34" s="242"/>
      <c r="R34" s="242"/>
      <c r="S34" s="242"/>
      <c r="T34" s="242"/>
      <c r="U34" s="242"/>
      <c r="V34" s="242"/>
      <c r="W34" s="242"/>
      <c r="X34" s="242"/>
      <c r="Y34" s="242"/>
      <c r="Z34" s="242"/>
      <c r="AA34" s="242"/>
      <c r="AB34" s="242"/>
      <c r="AC34" s="243"/>
      <c r="AD34" s="242"/>
      <c r="AE34" s="242"/>
      <c r="AF34" s="242"/>
      <c r="AG34" s="242"/>
      <c r="AH34" s="242"/>
      <c r="AI34" s="242"/>
      <c r="AJ34" s="242"/>
      <c r="AK34" s="242"/>
      <c r="AL34" s="242"/>
      <c r="AM34" s="242"/>
      <c r="AN34" s="242"/>
      <c r="AO34" s="242"/>
      <c r="AP34" s="242"/>
      <c r="AQ34" s="242"/>
      <c r="AR34" s="243"/>
      <c r="AS34" s="242"/>
      <c r="AT34" s="242"/>
      <c r="AU34" s="242"/>
      <c r="AV34" s="242"/>
      <c r="AW34" s="242"/>
      <c r="AX34" s="242"/>
      <c r="AY34" s="242"/>
      <c r="AZ34" s="242"/>
      <c r="BA34" s="242"/>
      <c r="BB34" s="242"/>
      <c r="BC34" s="242"/>
      <c r="BD34" s="242"/>
      <c r="BE34" s="242"/>
      <c r="BF34" s="242"/>
      <c r="BG34" s="242"/>
      <c r="BH34" s="242"/>
      <c r="BI34" s="242"/>
      <c r="BJ34" s="242"/>
      <c r="BK34" s="242"/>
      <c r="BL34" s="242"/>
      <c r="BM34" s="242"/>
      <c r="BN34" s="242"/>
      <c r="BO34" s="242"/>
      <c r="BP34" s="242"/>
      <c r="BQ34" s="242"/>
      <c r="BR34" s="242"/>
      <c r="BS34" s="242"/>
      <c r="BT34" s="242"/>
      <c r="BU34" s="242"/>
      <c r="BV34" s="242"/>
      <c r="BW34" s="242"/>
      <c r="BX34" s="242"/>
      <c r="BY34" s="242"/>
      <c r="BZ34" s="242"/>
      <c r="CA34" s="242"/>
      <c r="CB34" s="242"/>
      <c r="CC34" s="243"/>
      <c r="CD34" s="243"/>
      <c r="CE34" s="242"/>
      <c r="CF34" s="242"/>
      <c r="CG34" s="242"/>
      <c r="CH34" s="242"/>
      <c r="CI34" s="242"/>
      <c r="CJ34" s="242"/>
      <c r="CK34" s="242"/>
      <c r="CL34" s="242"/>
      <c r="CM34" s="242"/>
      <c r="CN34" s="242"/>
      <c r="CO34" s="242"/>
      <c r="CP34" s="242"/>
      <c r="CQ34" s="242"/>
      <c r="CR34" s="243"/>
      <c r="CS34" s="242"/>
      <c r="CT34" s="242"/>
      <c r="CU34" s="242"/>
      <c r="CV34" s="242"/>
      <c r="CW34" s="242"/>
      <c r="CX34" s="243"/>
      <c r="CY34" s="242"/>
      <c r="CZ34" s="242"/>
      <c r="DA34" s="242"/>
      <c r="DB34" s="242"/>
      <c r="DC34" s="242"/>
      <c r="DD34" s="242"/>
      <c r="DE34" s="242"/>
      <c r="DF34" s="242"/>
      <c r="DG34" s="242"/>
      <c r="DH34" s="242"/>
      <c r="DI34" s="242"/>
      <c r="DJ34" s="242"/>
      <c r="DK34" s="242"/>
      <c r="DL34" s="242"/>
      <c r="DM34" s="242"/>
      <c r="DN34" s="242"/>
      <c r="DO34" s="242"/>
      <c r="DP34" s="242"/>
      <c r="DQ34" s="242"/>
      <c r="DR34" s="242"/>
      <c r="DS34" s="242"/>
      <c r="DT34" s="242"/>
      <c r="DU34" s="242"/>
      <c r="DV34" s="242"/>
      <c r="DW34" s="242"/>
      <c r="DX34" s="242"/>
      <c r="DY34" s="242"/>
      <c r="DZ34" s="242"/>
      <c r="EA34" s="242"/>
      <c r="EB34" s="242"/>
      <c r="EC34" s="242"/>
      <c r="ED34" s="242"/>
      <c r="EE34" s="242"/>
      <c r="EF34" s="242"/>
      <c r="EG34" s="242"/>
      <c r="EH34" s="242"/>
      <c r="EI34" s="242"/>
      <c r="EJ34" s="242"/>
      <c r="EK34" s="242"/>
      <c r="EL34" s="242"/>
      <c r="EM34" s="242"/>
      <c r="EN34" s="242"/>
      <c r="EO34" s="242"/>
      <c r="EP34" s="242"/>
      <c r="EQ34" s="242"/>
      <c r="ER34" s="242"/>
      <c r="ES34" s="242"/>
      <c r="ET34" s="242"/>
      <c r="EU34" s="242"/>
      <c r="EV34" s="242"/>
      <c r="EW34" s="242"/>
      <c r="EX34" s="242"/>
      <c r="EY34" s="242"/>
      <c r="EZ34" s="242"/>
      <c r="FA34" s="242"/>
      <c r="FB34" s="242"/>
      <c r="FC34" s="242"/>
      <c r="FD34" s="242"/>
      <c r="FE34" s="242"/>
      <c r="FF34" s="242"/>
      <c r="FG34" s="242"/>
      <c r="FH34" s="242"/>
      <c r="FI34" s="242"/>
      <c r="FJ34" s="242"/>
      <c r="FK34" s="242"/>
      <c r="FL34" s="242"/>
      <c r="FM34" s="242"/>
      <c r="FN34" s="242"/>
      <c r="FO34" s="242"/>
      <c r="FP34" s="242"/>
      <c r="FQ34" s="243"/>
      <c r="FR34" s="243"/>
      <c r="FS34" s="242"/>
      <c r="FT34" s="242"/>
      <c r="FU34" s="242"/>
      <c r="FV34" s="242"/>
      <c r="FW34" s="242"/>
      <c r="FX34" s="242"/>
      <c r="FY34" s="242"/>
      <c r="FZ34" s="242"/>
      <c r="GA34" s="242"/>
      <c r="GB34" s="242"/>
      <c r="GC34" s="242"/>
      <c r="GD34" s="242"/>
      <c r="GE34" s="242"/>
      <c r="GF34" s="242"/>
      <c r="GG34" s="242"/>
      <c r="GH34" s="242"/>
      <c r="GI34" s="242"/>
      <c r="GJ34" s="242"/>
      <c r="GK34" s="242"/>
      <c r="GL34" s="242"/>
      <c r="GM34" s="242"/>
      <c r="GN34" s="242"/>
      <c r="GO34" s="242"/>
      <c r="GP34" s="242"/>
      <c r="GQ34" s="242"/>
      <c r="GR34" s="242"/>
      <c r="GS34" s="242"/>
      <c r="GT34" s="242"/>
      <c r="GU34" s="242"/>
      <c r="GV34" s="242"/>
      <c r="GW34" s="243"/>
      <c r="GX34" s="242"/>
      <c r="GY34" s="242"/>
      <c r="GZ34" s="242"/>
      <c r="HA34" s="242"/>
      <c r="HB34" s="242"/>
      <c r="HC34" s="242"/>
      <c r="HD34" s="242"/>
      <c r="HE34" s="242"/>
      <c r="HF34" s="242"/>
      <c r="HG34" s="242"/>
      <c r="HH34" s="242"/>
      <c r="HI34" s="242"/>
      <c r="HJ34" s="242"/>
      <c r="HK34" s="242"/>
      <c r="HL34" s="242"/>
      <c r="HM34" s="242"/>
      <c r="HN34" s="242"/>
      <c r="HO34" s="242"/>
      <c r="HP34" s="242"/>
      <c r="HQ34" s="242"/>
      <c r="HR34" s="242"/>
      <c r="HS34" s="242"/>
      <c r="HT34" s="242"/>
      <c r="HU34" s="242"/>
      <c r="HV34" s="242"/>
      <c r="HW34" s="242"/>
      <c r="HX34" s="242"/>
      <c r="HY34" s="242"/>
      <c r="HZ34" s="242"/>
      <c r="IA34" s="242"/>
      <c r="IB34" s="242"/>
      <c r="IC34" s="242"/>
      <c r="ID34" s="242"/>
      <c r="IE34" s="242"/>
      <c r="IF34" s="242"/>
      <c r="IG34" s="242"/>
      <c r="IH34" s="242"/>
      <c r="II34" s="242"/>
      <c r="IJ34" s="242"/>
      <c r="IK34" s="242"/>
      <c r="IL34" s="242"/>
      <c r="IM34" s="242"/>
      <c r="IN34" s="242"/>
      <c r="IO34" s="242"/>
      <c r="IP34" s="242"/>
      <c r="IQ34" s="242"/>
      <c r="IR34" s="242"/>
      <c r="IS34" s="242"/>
      <c r="IT34" s="242"/>
      <c r="IU34" s="242"/>
      <c r="IV34" s="243"/>
      <c r="IW34" s="242"/>
      <c r="IX34" s="242"/>
      <c r="IY34" s="242"/>
      <c r="IZ34" s="242"/>
      <c r="JA34" s="242"/>
      <c r="JB34" s="242"/>
      <c r="JC34" s="242"/>
      <c r="JD34" s="242"/>
      <c r="JE34" s="242"/>
      <c r="JF34" s="242"/>
      <c r="JG34" s="242"/>
      <c r="JH34" s="242"/>
      <c r="JI34" s="242"/>
      <c r="JJ34" s="242"/>
      <c r="JK34" s="242"/>
      <c r="JL34" s="242"/>
      <c r="JM34" s="242"/>
      <c r="JN34" s="242"/>
      <c r="JO34" s="242"/>
      <c r="JP34" s="243"/>
      <c r="JQ34" s="242"/>
      <c r="JR34" s="242"/>
      <c r="JS34" s="242"/>
      <c r="JT34" s="243"/>
      <c r="JU34" s="243"/>
      <c r="JV34" s="242"/>
      <c r="JW34" s="242"/>
      <c r="JX34" s="242"/>
      <c r="JY34" s="242"/>
      <c r="JZ34" s="242"/>
      <c r="KA34" s="242"/>
      <c r="KB34" s="243"/>
      <c r="KC34" s="242"/>
      <c r="KD34" s="242"/>
      <c r="KE34" s="242"/>
      <c r="KF34" s="242"/>
      <c r="KG34" s="242"/>
      <c r="KH34" s="242"/>
      <c r="KI34" s="242"/>
      <c r="KJ34" s="242"/>
      <c r="KK34" s="242"/>
      <c r="KL34" s="242"/>
      <c r="KM34" s="242"/>
      <c r="KN34" s="242"/>
      <c r="KO34" s="242"/>
      <c r="KP34" s="242"/>
      <c r="KQ34" s="242"/>
      <c r="KR34" s="242"/>
      <c r="KS34" s="242"/>
      <c r="KT34" s="242"/>
      <c r="KU34" s="242"/>
      <c r="KV34" s="243"/>
      <c r="KW34" s="242"/>
      <c r="KX34" s="242"/>
      <c r="KY34" s="242"/>
      <c r="KZ34" s="242"/>
      <c r="LA34" s="242"/>
      <c r="LB34" s="242"/>
      <c r="LC34" s="242"/>
      <c r="LD34" s="242"/>
      <c r="LE34" s="242"/>
      <c r="LF34" s="242"/>
      <c r="LG34" s="242"/>
      <c r="LH34" s="242"/>
      <c r="LI34" s="242"/>
      <c r="LJ34" s="242"/>
      <c r="LK34" s="242"/>
      <c r="LL34" s="242"/>
      <c r="LM34" s="242"/>
      <c r="LN34" s="242"/>
      <c r="LO34" s="242"/>
      <c r="LP34" s="242"/>
      <c r="LQ34" s="242"/>
      <c r="LR34" s="242"/>
      <c r="LS34" s="242"/>
      <c r="LT34" s="242"/>
      <c r="LU34" s="242"/>
      <c r="LV34" s="242"/>
      <c r="LW34" s="242"/>
      <c r="LX34" s="242"/>
      <c r="LY34" s="242"/>
      <c r="LZ34" s="242"/>
      <c r="MA34" s="242"/>
      <c r="MB34" s="242"/>
      <c r="MC34" s="242"/>
      <c r="MD34" s="243"/>
      <c r="ME34" s="242"/>
      <c r="MF34" s="242"/>
      <c r="MG34" s="242"/>
      <c r="MH34" s="242"/>
      <c r="MI34" s="242"/>
      <c r="MJ34" s="242"/>
      <c r="MK34" s="242"/>
      <c r="ML34" s="242"/>
      <c r="MM34" s="242"/>
      <c r="MN34" s="242"/>
      <c r="MO34" s="242"/>
      <c r="MP34" s="242"/>
      <c r="MQ34" s="242"/>
      <c r="MR34" s="242"/>
      <c r="MS34" s="242"/>
      <c r="MT34" s="242"/>
      <c r="MU34" s="242"/>
      <c r="MV34" s="242"/>
      <c r="MW34" s="242"/>
      <c r="MX34" s="243"/>
      <c r="MY34" s="242"/>
      <c r="MZ34" s="242"/>
      <c r="NA34" s="242"/>
      <c r="NB34" s="242"/>
      <c r="NC34" s="242"/>
      <c r="ND34" s="242"/>
      <c r="NE34" s="242"/>
      <c r="NF34" s="242"/>
      <c r="NG34" s="242"/>
      <c r="NH34" s="242"/>
      <c r="NI34" s="242"/>
      <c r="NJ34" s="242"/>
      <c r="NK34" s="242"/>
      <c r="NL34" s="242"/>
      <c r="NM34" s="242"/>
      <c r="NN34" s="242"/>
      <c r="NO34" s="242"/>
      <c r="NP34" s="242"/>
      <c r="NQ34" s="242"/>
      <c r="NR34" s="242"/>
      <c r="NS34" s="242"/>
      <c r="NT34" s="242"/>
      <c r="NU34" s="242"/>
      <c r="NV34" s="242"/>
      <c r="NW34" s="242"/>
      <c r="NX34" s="242"/>
      <c r="NY34" s="242"/>
      <c r="NZ34" s="242"/>
      <c r="OA34" s="242"/>
      <c r="OB34" s="242"/>
      <c r="OC34" s="242"/>
      <c r="OD34" s="243"/>
      <c r="OE34" s="243"/>
      <c r="OF34" s="242"/>
      <c r="OG34" s="242"/>
      <c r="OH34" s="242"/>
      <c r="OI34" s="242"/>
      <c r="OJ34" s="242"/>
      <c r="OK34" s="242"/>
      <c r="OL34" s="242"/>
      <c r="OM34" s="242"/>
      <c r="ON34" s="242"/>
      <c r="OO34" s="242"/>
      <c r="OP34" s="242"/>
      <c r="OQ34" s="242"/>
      <c r="OR34" s="242"/>
      <c r="OS34" s="243"/>
      <c r="OT34" s="242"/>
      <c r="OU34" s="242"/>
      <c r="OV34" s="242"/>
      <c r="OW34" s="242"/>
      <c r="OX34" s="242"/>
      <c r="OY34" s="243"/>
      <c r="OZ34" s="242"/>
      <c r="PA34" s="242"/>
      <c r="PB34" s="242"/>
      <c r="PC34" s="242"/>
      <c r="PD34" s="242"/>
      <c r="PE34" s="242"/>
      <c r="PF34" s="242"/>
      <c r="PG34" s="242"/>
      <c r="PH34" s="242"/>
      <c r="PI34" s="242"/>
      <c r="PJ34" s="242"/>
      <c r="PK34" s="242"/>
      <c r="PL34" s="242"/>
      <c r="PM34" s="242"/>
      <c r="PN34" s="242"/>
      <c r="PO34" s="242"/>
      <c r="PP34" s="242"/>
      <c r="PQ34" s="242"/>
      <c r="PR34" s="242"/>
      <c r="PS34" s="242"/>
      <c r="PT34" s="242"/>
      <c r="PU34" s="242"/>
      <c r="PV34" s="242"/>
      <c r="PW34" s="242"/>
      <c r="PX34" s="242"/>
      <c r="PY34" s="242"/>
      <c r="PZ34" s="242"/>
      <c r="QA34" s="242"/>
      <c r="QB34" s="242"/>
      <c r="QC34" s="242"/>
      <c r="QD34" s="242"/>
      <c r="QE34" s="242"/>
      <c r="QF34" s="242"/>
      <c r="QG34" s="242"/>
      <c r="QH34" s="242"/>
      <c r="QI34" s="244"/>
    </row>
    <row r="35" spans="1:451" ht="18" customHeight="1" x14ac:dyDescent="0.25">
      <c r="A35" s="246" t="s">
        <v>327</v>
      </c>
      <c r="B35" s="245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  <c r="P35" s="242"/>
      <c r="Q35" s="242"/>
      <c r="R35" s="242"/>
      <c r="S35" s="242"/>
      <c r="T35" s="242"/>
      <c r="U35" s="242"/>
      <c r="V35" s="242"/>
      <c r="W35" s="242"/>
      <c r="X35" s="242"/>
      <c r="Y35" s="242"/>
      <c r="Z35" s="242"/>
      <c r="AA35" s="242"/>
      <c r="AB35" s="242"/>
      <c r="AC35" s="243"/>
      <c r="AD35" s="242"/>
      <c r="AE35" s="242"/>
      <c r="AF35" s="242"/>
      <c r="AG35" s="242"/>
      <c r="AH35" s="242"/>
      <c r="AI35" s="242"/>
      <c r="AJ35" s="242"/>
      <c r="AK35" s="242"/>
      <c r="AL35" s="242"/>
      <c r="AM35" s="242"/>
      <c r="AN35" s="242"/>
      <c r="AO35" s="242"/>
      <c r="AP35" s="242"/>
      <c r="AQ35" s="242"/>
      <c r="AR35" s="243"/>
      <c r="AS35" s="242"/>
      <c r="AT35" s="242"/>
      <c r="AU35" s="242"/>
      <c r="AV35" s="242"/>
      <c r="AW35" s="242"/>
      <c r="AX35" s="242"/>
      <c r="AY35" s="242"/>
      <c r="AZ35" s="242"/>
      <c r="BA35" s="242"/>
      <c r="BB35" s="242"/>
      <c r="BC35" s="242"/>
      <c r="BD35" s="242"/>
      <c r="BE35" s="242"/>
      <c r="BF35" s="242"/>
      <c r="BG35" s="242"/>
      <c r="BH35" s="242"/>
      <c r="BI35" s="242"/>
      <c r="BJ35" s="242"/>
      <c r="BK35" s="242"/>
      <c r="BL35" s="242"/>
      <c r="BM35" s="242"/>
      <c r="BN35" s="242"/>
      <c r="BO35" s="242"/>
      <c r="BP35" s="242"/>
      <c r="BQ35" s="242"/>
      <c r="BR35" s="242"/>
      <c r="BS35" s="242"/>
      <c r="BT35" s="242"/>
      <c r="BU35" s="242"/>
      <c r="BV35" s="242"/>
      <c r="BW35" s="242"/>
      <c r="BX35" s="242"/>
      <c r="BY35" s="242"/>
      <c r="BZ35" s="242"/>
      <c r="CA35" s="242"/>
      <c r="CB35" s="242"/>
      <c r="CC35" s="243"/>
      <c r="CD35" s="243"/>
      <c r="CE35" s="242"/>
      <c r="CF35" s="242"/>
      <c r="CG35" s="242"/>
      <c r="CH35" s="242"/>
      <c r="CI35" s="242"/>
      <c r="CJ35" s="242"/>
      <c r="CK35" s="242"/>
      <c r="CL35" s="242"/>
      <c r="CM35" s="242"/>
      <c r="CN35" s="242"/>
      <c r="CO35" s="242"/>
      <c r="CP35" s="242"/>
      <c r="CQ35" s="242"/>
      <c r="CR35" s="243"/>
      <c r="CS35" s="242"/>
      <c r="CT35" s="242"/>
      <c r="CU35" s="242"/>
      <c r="CV35" s="242"/>
      <c r="CW35" s="242"/>
      <c r="CX35" s="243"/>
      <c r="CY35" s="242"/>
      <c r="CZ35" s="242"/>
      <c r="DA35" s="242"/>
      <c r="DB35" s="242"/>
      <c r="DC35" s="242"/>
      <c r="DD35" s="242"/>
      <c r="DE35" s="242"/>
      <c r="DF35" s="242"/>
      <c r="DG35" s="242"/>
      <c r="DH35" s="242"/>
      <c r="DI35" s="242"/>
      <c r="DJ35" s="242"/>
      <c r="DK35" s="242"/>
      <c r="DL35" s="242"/>
      <c r="DM35" s="242"/>
      <c r="DN35" s="242"/>
      <c r="DO35" s="242"/>
      <c r="DP35" s="242"/>
      <c r="DQ35" s="242"/>
      <c r="DR35" s="242"/>
      <c r="DS35" s="242"/>
      <c r="DT35" s="242"/>
      <c r="DU35" s="242"/>
      <c r="DV35" s="242"/>
      <c r="DW35" s="242"/>
      <c r="DX35" s="242"/>
      <c r="DY35" s="242"/>
      <c r="DZ35" s="242"/>
      <c r="EA35" s="242"/>
      <c r="EB35" s="242"/>
      <c r="EC35" s="242"/>
      <c r="ED35" s="242"/>
      <c r="EE35" s="242"/>
      <c r="EF35" s="242"/>
      <c r="EG35" s="242"/>
      <c r="EH35" s="242"/>
      <c r="EI35" s="242"/>
      <c r="EJ35" s="242"/>
      <c r="EK35" s="242"/>
      <c r="EL35" s="242"/>
      <c r="EM35" s="242"/>
      <c r="EN35" s="242"/>
      <c r="EO35" s="242"/>
      <c r="EP35" s="242"/>
      <c r="EQ35" s="242"/>
      <c r="ER35" s="242"/>
      <c r="ES35" s="242"/>
      <c r="ET35" s="242"/>
      <c r="EU35" s="242"/>
      <c r="EV35" s="242"/>
      <c r="EW35" s="242"/>
      <c r="EX35" s="242"/>
      <c r="EY35" s="242"/>
      <c r="EZ35" s="242"/>
      <c r="FA35" s="242"/>
      <c r="FB35" s="242"/>
      <c r="FC35" s="242"/>
      <c r="FD35" s="242"/>
      <c r="FE35" s="242"/>
      <c r="FF35" s="242"/>
      <c r="FG35" s="242"/>
      <c r="FH35" s="242"/>
      <c r="FI35" s="242"/>
      <c r="FJ35" s="242"/>
      <c r="FK35" s="242"/>
      <c r="FL35" s="242"/>
      <c r="FM35" s="242"/>
      <c r="FN35" s="242"/>
      <c r="FO35" s="242"/>
      <c r="FP35" s="242"/>
      <c r="FQ35" s="243"/>
      <c r="FR35" s="243"/>
      <c r="FS35" s="242"/>
      <c r="FT35" s="242"/>
      <c r="FU35" s="242"/>
      <c r="FV35" s="242"/>
      <c r="FW35" s="242"/>
      <c r="FX35" s="242"/>
      <c r="FY35" s="242"/>
      <c r="FZ35" s="242"/>
      <c r="GA35" s="242"/>
      <c r="GB35" s="242"/>
      <c r="GC35" s="242"/>
      <c r="GD35" s="242"/>
      <c r="GE35" s="242"/>
      <c r="GF35" s="242"/>
      <c r="GG35" s="242"/>
      <c r="GH35" s="242"/>
      <c r="GI35" s="242"/>
      <c r="GJ35" s="242"/>
      <c r="GK35" s="242"/>
      <c r="GL35" s="242"/>
      <c r="GM35" s="242"/>
      <c r="GN35" s="242"/>
      <c r="GO35" s="242"/>
      <c r="GP35" s="242"/>
      <c r="GQ35" s="242"/>
      <c r="GR35" s="242"/>
      <c r="GS35" s="242"/>
      <c r="GT35" s="242"/>
      <c r="GU35" s="242"/>
      <c r="GV35" s="242"/>
      <c r="GW35" s="243"/>
      <c r="GX35" s="242"/>
      <c r="GY35" s="242"/>
      <c r="GZ35" s="242"/>
      <c r="HA35" s="242"/>
      <c r="HB35" s="242"/>
      <c r="HC35" s="242"/>
      <c r="HD35" s="242"/>
      <c r="HE35" s="242"/>
      <c r="HF35" s="242"/>
      <c r="HG35" s="242"/>
      <c r="HH35" s="242"/>
      <c r="HI35" s="242"/>
      <c r="HJ35" s="242"/>
      <c r="HK35" s="242"/>
      <c r="HL35" s="242"/>
      <c r="HM35" s="242"/>
      <c r="HN35" s="242"/>
      <c r="HO35" s="242"/>
      <c r="HP35" s="242"/>
      <c r="HQ35" s="242"/>
      <c r="HR35" s="242"/>
      <c r="HS35" s="242"/>
      <c r="HT35" s="242"/>
      <c r="HU35" s="242"/>
      <c r="HV35" s="242"/>
      <c r="HW35" s="242"/>
      <c r="HX35" s="242"/>
      <c r="HY35" s="242"/>
      <c r="HZ35" s="242"/>
      <c r="IA35" s="242"/>
      <c r="IB35" s="242"/>
      <c r="IC35" s="242"/>
      <c r="ID35" s="242"/>
      <c r="IE35" s="242"/>
      <c r="IF35" s="242"/>
      <c r="IG35" s="242"/>
      <c r="IH35" s="242"/>
      <c r="II35" s="242"/>
      <c r="IJ35" s="242"/>
      <c r="IK35" s="242"/>
      <c r="IL35" s="242"/>
      <c r="IM35" s="242"/>
      <c r="IN35" s="242"/>
      <c r="IO35" s="242"/>
      <c r="IP35" s="242"/>
      <c r="IQ35" s="242"/>
      <c r="IR35" s="242"/>
      <c r="IS35" s="242"/>
      <c r="IT35" s="242"/>
      <c r="IU35" s="242"/>
      <c r="IV35" s="243"/>
      <c r="IW35" s="242"/>
      <c r="IX35" s="242"/>
      <c r="IY35" s="242"/>
      <c r="IZ35" s="242"/>
      <c r="JA35" s="242"/>
      <c r="JB35" s="242"/>
      <c r="JC35" s="242"/>
      <c r="JD35" s="242"/>
      <c r="JE35" s="242"/>
      <c r="JF35" s="242"/>
      <c r="JG35" s="242"/>
      <c r="JH35" s="242"/>
      <c r="JI35" s="242"/>
      <c r="JJ35" s="242"/>
      <c r="JK35" s="242"/>
      <c r="JL35" s="242"/>
      <c r="JM35" s="242"/>
      <c r="JN35" s="242"/>
      <c r="JO35" s="242"/>
      <c r="JP35" s="243"/>
      <c r="JQ35" s="242"/>
      <c r="JR35" s="242"/>
      <c r="JS35" s="242"/>
      <c r="JT35" s="243"/>
      <c r="JU35" s="243"/>
      <c r="JV35" s="242"/>
      <c r="JW35" s="242"/>
      <c r="JX35" s="242"/>
      <c r="JY35" s="242"/>
      <c r="JZ35" s="242"/>
      <c r="KA35" s="242"/>
      <c r="KB35" s="243"/>
      <c r="KC35" s="242"/>
      <c r="KD35" s="242"/>
      <c r="KE35" s="242"/>
      <c r="KF35" s="242"/>
      <c r="KG35" s="242"/>
      <c r="KH35" s="242"/>
      <c r="KI35" s="242"/>
      <c r="KJ35" s="242"/>
      <c r="KK35" s="242"/>
      <c r="KL35" s="242"/>
      <c r="KM35" s="242"/>
      <c r="KN35" s="242"/>
      <c r="KO35" s="242"/>
      <c r="KP35" s="242"/>
      <c r="KQ35" s="242"/>
      <c r="KR35" s="242"/>
      <c r="KS35" s="242"/>
      <c r="KT35" s="242"/>
      <c r="KU35" s="242"/>
      <c r="KV35" s="243"/>
      <c r="KW35" s="242"/>
      <c r="KX35" s="242"/>
      <c r="KY35" s="242"/>
      <c r="KZ35" s="242"/>
      <c r="LA35" s="242"/>
      <c r="LB35" s="242"/>
      <c r="LC35" s="242"/>
      <c r="LD35" s="242"/>
      <c r="LE35" s="242"/>
      <c r="LF35" s="242"/>
      <c r="LG35" s="242"/>
      <c r="LH35" s="242"/>
      <c r="LI35" s="242"/>
      <c r="LJ35" s="242"/>
      <c r="LK35" s="242"/>
      <c r="LL35" s="242"/>
      <c r="LM35" s="242"/>
      <c r="LN35" s="242"/>
      <c r="LO35" s="242"/>
      <c r="LP35" s="242"/>
      <c r="LQ35" s="242"/>
      <c r="LR35" s="242"/>
      <c r="LS35" s="242"/>
      <c r="LT35" s="242"/>
      <c r="LU35" s="242"/>
      <c r="LV35" s="242"/>
      <c r="LW35" s="242"/>
      <c r="LX35" s="242"/>
      <c r="LY35" s="242"/>
      <c r="LZ35" s="242"/>
      <c r="MA35" s="242"/>
      <c r="MB35" s="242"/>
      <c r="MC35" s="242"/>
      <c r="MD35" s="243"/>
      <c r="ME35" s="242"/>
      <c r="MF35" s="242"/>
      <c r="MG35" s="242"/>
      <c r="MH35" s="242"/>
      <c r="MI35" s="242"/>
      <c r="MJ35" s="242"/>
      <c r="MK35" s="242"/>
      <c r="ML35" s="242"/>
      <c r="MM35" s="242"/>
      <c r="MN35" s="242"/>
      <c r="MO35" s="242"/>
      <c r="MP35" s="242"/>
      <c r="MQ35" s="242"/>
      <c r="MR35" s="242"/>
      <c r="MS35" s="242"/>
      <c r="MT35" s="242"/>
      <c r="MU35" s="242"/>
      <c r="MV35" s="242"/>
      <c r="MW35" s="242"/>
      <c r="MX35" s="243"/>
      <c r="MY35" s="242"/>
      <c r="MZ35" s="242"/>
      <c r="NA35" s="242"/>
      <c r="NB35" s="242"/>
      <c r="NC35" s="242"/>
      <c r="ND35" s="242"/>
      <c r="NE35" s="242"/>
      <c r="NF35" s="242"/>
      <c r="NG35" s="242"/>
      <c r="NH35" s="242"/>
      <c r="NI35" s="242"/>
      <c r="NJ35" s="242"/>
      <c r="NK35" s="242"/>
      <c r="NL35" s="242"/>
      <c r="NM35" s="242"/>
      <c r="NN35" s="242"/>
      <c r="NO35" s="242"/>
      <c r="NP35" s="242"/>
      <c r="NQ35" s="242"/>
      <c r="NR35" s="242"/>
      <c r="NS35" s="242"/>
      <c r="NT35" s="242"/>
      <c r="NU35" s="242"/>
      <c r="NV35" s="242"/>
      <c r="NW35" s="242"/>
      <c r="NX35" s="242"/>
      <c r="NY35" s="242"/>
      <c r="NZ35" s="242"/>
      <c r="OA35" s="242"/>
      <c r="OB35" s="242"/>
      <c r="OC35" s="242"/>
      <c r="OD35" s="243"/>
      <c r="OE35" s="243"/>
      <c r="OF35" s="242"/>
      <c r="OG35" s="242"/>
      <c r="OH35" s="242"/>
      <c r="OI35" s="242"/>
      <c r="OJ35" s="242"/>
      <c r="OK35" s="242"/>
      <c r="OL35" s="242"/>
      <c r="OM35" s="242"/>
      <c r="ON35" s="242"/>
      <c r="OO35" s="242"/>
      <c r="OP35" s="242"/>
      <c r="OQ35" s="242"/>
      <c r="OR35" s="242"/>
      <c r="OS35" s="243"/>
      <c r="OT35" s="242"/>
      <c r="OU35" s="242"/>
      <c r="OV35" s="242"/>
      <c r="OW35" s="242"/>
      <c r="OX35" s="242"/>
      <c r="OY35" s="243"/>
      <c r="OZ35" s="242"/>
      <c r="PA35" s="242"/>
      <c r="PB35" s="242"/>
      <c r="PC35" s="242"/>
      <c r="PD35" s="242"/>
      <c r="PE35" s="242"/>
      <c r="PF35" s="242"/>
      <c r="PG35" s="242"/>
      <c r="PH35" s="242"/>
      <c r="PI35" s="242"/>
      <c r="PJ35" s="242"/>
      <c r="PK35" s="242"/>
      <c r="PL35" s="242"/>
      <c r="PM35" s="242"/>
      <c r="PN35" s="242"/>
      <c r="PO35" s="242"/>
      <c r="PP35" s="242"/>
      <c r="PQ35" s="242"/>
      <c r="PR35" s="242"/>
      <c r="PS35" s="242"/>
      <c r="PT35" s="242"/>
      <c r="PU35" s="242"/>
      <c r="PV35" s="242"/>
      <c r="PW35" s="242"/>
      <c r="PX35" s="242"/>
      <c r="PY35" s="242"/>
      <c r="PZ35" s="242"/>
      <c r="QA35" s="242"/>
      <c r="QB35" s="242"/>
      <c r="QC35" s="242"/>
      <c r="QD35" s="242"/>
      <c r="QE35" s="242"/>
      <c r="QF35" s="242"/>
      <c r="QG35" s="242"/>
      <c r="QH35" s="242"/>
      <c r="QI35" s="244"/>
    </row>
    <row r="36" spans="1:451" ht="18" customHeight="1" collapsed="1" x14ac:dyDescent="0.2">
      <c r="A36" s="250" t="s">
        <v>328</v>
      </c>
      <c r="B36" s="245"/>
      <c r="C36" s="242"/>
      <c r="D36" s="242"/>
      <c r="E36" s="242"/>
      <c r="F36" s="242"/>
      <c r="G36" s="242"/>
      <c r="H36" s="242"/>
      <c r="I36" s="242"/>
      <c r="J36" s="242"/>
      <c r="K36" s="242"/>
      <c r="L36" s="242"/>
      <c r="M36" s="242"/>
      <c r="N36" s="242"/>
      <c r="O36" s="242"/>
      <c r="P36" s="242"/>
      <c r="Q36" s="242"/>
      <c r="R36" s="242"/>
      <c r="S36" s="242"/>
      <c r="T36" s="242"/>
      <c r="U36" s="242"/>
      <c r="V36" s="242"/>
      <c r="W36" s="242"/>
      <c r="X36" s="242"/>
      <c r="Y36" s="242"/>
      <c r="Z36" s="242"/>
      <c r="AA36" s="242"/>
      <c r="AB36" s="242"/>
      <c r="AC36" s="243"/>
      <c r="AD36" s="242"/>
      <c r="AE36" s="242"/>
      <c r="AF36" s="242"/>
      <c r="AG36" s="242"/>
      <c r="AH36" s="242"/>
      <c r="AI36" s="242"/>
      <c r="AJ36" s="242"/>
      <c r="AK36" s="242"/>
      <c r="AL36" s="242"/>
      <c r="AM36" s="242"/>
      <c r="AN36" s="242"/>
      <c r="AO36" s="242"/>
      <c r="AP36" s="242"/>
      <c r="AQ36" s="242"/>
      <c r="AR36" s="243"/>
      <c r="AS36" s="242"/>
      <c r="AT36" s="242"/>
      <c r="AU36" s="242"/>
      <c r="AV36" s="242"/>
      <c r="AW36" s="242"/>
      <c r="AX36" s="242"/>
      <c r="AY36" s="242"/>
      <c r="AZ36" s="242"/>
      <c r="BA36" s="242"/>
      <c r="BB36" s="242"/>
      <c r="BC36" s="242"/>
      <c r="BD36" s="242"/>
      <c r="BE36" s="242"/>
      <c r="BF36" s="242"/>
      <c r="BG36" s="242"/>
      <c r="BH36" s="242"/>
      <c r="BI36" s="242"/>
      <c r="BJ36" s="242"/>
      <c r="BK36" s="242"/>
      <c r="BL36" s="242"/>
      <c r="BM36" s="242"/>
      <c r="BN36" s="242"/>
      <c r="BO36" s="242"/>
      <c r="BP36" s="242"/>
      <c r="BQ36" s="242"/>
      <c r="BR36" s="242"/>
      <c r="BS36" s="242"/>
      <c r="BT36" s="242"/>
      <c r="BU36" s="242"/>
      <c r="BV36" s="242"/>
      <c r="BW36" s="242"/>
      <c r="BX36" s="242"/>
      <c r="BY36" s="242"/>
      <c r="BZ36" s="242"/>
      <c r="CA36" s="242"/>
      <c r="CB36" s="242"/>
      <c r="CC36" s="243"/>
      <c r="CD36" s="243"/>
      <c r="CE36" s="242"/>
      <c r="CF36" s="242"/>
      <c r="CG36" s="242"/>
      <c r="CH36" s="242"/>
      <c r="CI36" s="242"/>
      <c r="CJ36" s="242"/>
      <c r="CK36" s="242"/>
      <c r="CL36" s="242"/>
      <c r="CM36" s="242"/>
      <c r="CN36" s="242"/>
      <c r="CO36" s="242"/>
      <c r="CP36" s="242"/>
      <c r="CQ36" s="242"/>
      <c r="CR36" s="243"/>
      <c r="CS36" s="242"/>
      <c r="CT36" s="242"/>
      <c r="CU36" s="242"/>
      <c r="CV36" s="242"/>
      <c r="CW36" s="242"/>
      <c r="CX36" s="243"/>
      <c r="CY36" s="242"/>
      <c r="CZ36" s="242"/>
      <c r="DA36" s="242"/>
      <c r="DB36" s="242"/>
      <c r="DC36" s="242"/>
      <c r="DD36" s="242"/>
      <c r="DE36" s="242"/>
      <c r="DF36" s="242"/>
      <c r="DG36" s="242"/>
      <c r="DH36" s="242"/>
      <c r="DI36" s="242"/>
      <c r="DJ36" s="242"/>
      <c r="DK36" s="242"/>
      <c r="DL36" s="242"/>
      <c r="DM36" s="242"/>
      <c r="DN36" s="242"/>
      <c r="DO36" s="242"/>
      <c r="DP36" s="242"/>
      <c r="DQ36" s="242"/>
      <c r="DR36" s="242"/>
      <c r="DS36" s="242"/>
      <c r="DT36" s="242"/>
      <c r="DU36" s="242"/>
      <c r="DV36" s="242"/>
      <c r="DW36" s="242"/>
      <c r="DX36" s="242"/>
      <c r="DY36" s="242"/>
      <c r="DZ36" s="242"/>
      <c r="EA36" s="242"/>
      <c r="EB36" s="242"/>
      <c r="EC36" s="242"/>
      <c r="ED36" s="242"/>
      <c r="EE36" s="242"/>
      <c r="EF36" s="242"/>
      <c r="EG36" s="242"/>
      <c r="EH36" s="242"/>
      <c r="EI36" s="242"/>
      <c r="EJ36" s="242"/>
      <c r="EK36" s="242"/>
      <c r="EL36" s="242"/>
      <c r="EM36" s="242"/>
      <c r="EN36" s="242"/>
      <c r="EO36" s="242"/>
      <c r="EP36" s="242"/>
      <c r="EQ36" s="242"/>
      <c r="ER36" s="242"/>
      <c r="ES36" s="242"/>
      <c r="ET36" s="242"/>
      <c r="EU36" s="242"/>
      <c r="EV36" s="242"/>
      <c r="EW36" s="242"/>
      <c r="EX36" s="242"/>
      <c r="EY36" s="242"/>
      <c r="EZ36" s="242"/>
      <c r="FA36" s="242"/>
      <c r="FB36" s="242"/>
      <c r="FC36" s="242"/>
      <c r="FD36" s="242"/>
      <c r="FE36" s="242"/>
      <c r="FF36" s="242"/>
      <c r="FG36" s="242"/>
      <c r="FH36" s="242"/>
      <c r="FI36" s="242"/>
      <c r="FJ36" s="242"/>
      <c r="FK36" s="242"/>
      <c r="FL36" s="242"/>
      <c r="FM36" s="242"/>
      <c r="FN36" s="242"/>
      <c r="FO36" s="242"/>
      <c r="FP36" s="242"/>
      <c r="FQ36" s="243"/>
      <c r="FR36" s="243"/>
      <c r="FS36" s="242"/>
      <c r="FT36" s="242"/>
      <c r="FU36" s="242"/>
      <c r="FV36" s="242"/>
      <c r="FW36" s="242"/>
      <c r="FX36" s="242"/>
      <c r="FY36" s="242"/>
      <c r="FZ36" s="242"/>
      <c r="GA36" s="242"/>
      <c r="GB36" s="242"/>
      <c r="GC36" s="242"/>
      <c r="GD36" s="242"/>
      <c r="GE36" s="242"/>
      <c r="GF36" s="242"/>
      <c r="GG36" s="242"/>
      <c r="GH36" s="242"/>
      <c r="GI36" s="242"/>
      <c r="GJ36" s="242"/>
      <c r="GK36" s="242"/>
      <c r="GL36" s="242"/>
      <c r="GM36" s="242"/>
      <c r="GN36" s="242"/>
      <c r="GO36" s="242"/>
      <c r="GP36" s="242"/>
      <c r="GQ36" s="242"/>
      <c r="GR36" s="242"/>
      <c r="GS36" s="242"/>
      <c r="GT36" s="242"/>
      <c r="GU36" s="242"/>
      <c r="GV36" s="242"/>
      <c r="GW36" s="243"/>
      <c r="GX36" s="242"/>
      <c r="GY36" s="242"/>
      <c r="GZ36" s="242"/>
      <c r="HA36" s="242"/>
      <c r="HB36" s="242"/>
      <c r="HC36" s="242"/>
      <c r="HD36" s="242"/>
      <c r="HE36" s="242"/>
      <c r="HF36" s="242"/>
      <c r="HG36" s="242"/>
      <c r="HH36" s="242"/>
      <c r="HI36" s="242"/>
      <c r="HJ36" s="242"/>
      <c r="HK36" s="242"/>
      <c r="HL36" s="242"/>
      <c r="HM36" s="242"/>
      <c r="HN36" s="242"/>
      <c r="HO36" s="242"/>
      <c r="HP36" s="242"/>
      <c r="HQ36" s="242"/>
      <c r="HR36" s="242"/>
      <c r="HS36" s="242"/>
      <c r="HT36" s="242"/>
      <c r="HU36" s="242"/>
      <c r="HV36" s="242"/>
      <c r="HW36" s="242"/>
      <c r="HX36" s="242"/>
      <c r="HY36" s="242"/>
      <c r="HZ36" s="242"/>
      <c r="IA36" s="242"/>
      <c r="IB36" s="242"/>
      <c r="IC36" s="242"/>
      <c r="ID36" s="242"/>
      <c r="IE36" s="242"/>
      <c r="IF36" s="242"/>
      <c r="IG36" s="242"/>
      <c r="IH36" s="242"/>
      <c r="II36" s="242"/>
      <c r="IJ36" s="242"/>
      <c r="IK36" s="242"/>
      <c r="IL36" s="242"/>
      <c r="IM36" s="242"/>
      <c r="IN36" s="242"/>
      <c r="IO36" s="242"/>
      <c r="IP36" s="242"/>
      <c r="IQ36" s="242"/>
      <c r="IR36" s="242"/>
      <c r="IS36" s="242"/>
      <c r="IT36" s="242"/>
      <c r="IU36" s="242"/>
      <c r="IV36" s="243"/>
      <c r="IW36" s="242"/>
      <c r="IX36" s="242"/>
      <c r="IY36" s="242"/>
      <c r="IZ36" s="242"/>
      <c r="JA36" s="242"/>
      <c r="JB36" s="242"/>
      <c r="JC36" s="242"/>
      <c r="JD36" s="242"/>
      <c r="JE36" s="242"/>
      <c r="JF36" s="242"/>
      <c r="JG36" s="242"/>
      <c r="JH36" s="242"/>
      <c r="JI36" s="242"/>
      <c r="JJ36" s="242"/>
      <c r="JK36" s="242"/>
      <c r="JL36" s="242"/>
      <c r="JM36" s="242"/>
      <c r="JN36" s="242"/>
      <c r="JO36" s="242"/>
      <c r="JP36" s="243"/>
      <c r="JQ36" s="242"/>
      <c r="JR36" s="242"/>
      <c r="JS36" s="242"/>
      <c r="JT36" s="243"/>
      <c r="JU36" s="243"/>
      <c r="JV36" s="242"/>
      <c r="JW36" s="242"/>
      <c r="JX36" s="242"/>
      <c r="JY36" s="242"/>
      <c r="JZ36" s="242"/>
      <c r="KA36" s="242"/>
      <c r="KB36" s="243"/>
      <c r="KC36" s="242"/>
      <c r="KD36" s="242"/>
      <c r="KE36" s="242"/>
      <c r="KF36" s="242"/>
      <c r="KG36" s="242"/>
      <c r="KH36" s="242"/>
      <c r="KI36" s="242"/>
      <c r="KJ36" s="242"/>
      <c r="KK36" s="242"/>
      <c r="KL36" s="242"/>
      <c r="KM36" s="242"/>
      <c r="KN36" s="242"/>
      <c r="KO36" s="242"/>
      <c r="KP36" s="242"/>
      <c r="KQ36" s="242"/>
      <c r="KR36" s="242"/>
      <c r="KS36" s="242"/>
      <c r="KT36" s="242"/>
      <c r="KU36" s="242"/>
      <c r="KV36" s="243"/>
      <c r="KW36" s="242"/>
      <c r="KX36" s="242"/>
      <c r="KY36" s="242"/>
      <c r="KZ36" s="242"/>
      <c r="LA36" s="242"/>
      <c r="LB36" s="242"/>
      <c r="LC36" s="242"/>
      <c r="LD36" s="242"/>
      <c r="LE36" s="242"/>
      <c r="LF36" s="242"/>
      <c r="LG36" s="242"/>
      <c r="LH36" s="242"/>
      <c r="LI36" s="242"/>
      <c r="LJ36" s="242"/>
      <c r="LK36" s="242"/>
      <c r="LL36" s="242"/>
      <c r="LM36" s="242"/>
      <c r="LN36" s="242"/>
      <c r="LO36" s="242"/>
      <c r="LP36" s="242"/>
      <c r="LQ36" s="242"/>
      <c r="LR36" s="242"/>
      <c r="LS36" s="242"/>
      <c r="LT36" s="242"/>
      <c r="LU36" s="242"/>
      <c r="LV36" s="242"/>
      <c r="LW36" s="242"/>
      <c r="LX36" s="242"/>
      <c r="LY36" s="242"/>
      <c r="LZ36" s="242"/>
      <c r="MA36" s="242"/>
      <c r="MB36" s="242"/>
      <c r="MC36" s="242"/>
      <c r="MD36" s="243"/>
      <c r="ME36" s="242"/>
      <c r="MF36" s="242"/>
      <c r="MG36" s="242"/>
      <c r="MH36" s="242"/>
      <c r="MI36" s="242"/>
      <c r="MJ36" s="242"/>
      <c r="MK36" s="242"/>
      <c r="ML36" s="242"/>
      <c r="MM36" s="242"/>
      <c r="MN36" s="242"/>
      <c r="MO36" s="242"/>
      <c r="MP36" s="242"/>
      <c r="MQ36" s="242"/>
      <c r="MR36" s="242"/>
      <c r="MS36" s="242"/>
      <c r="MT36" s="242"/>
      <c r="MU36" s="242"/>
      <c r="MV36" s="242"/>
      <c r="MW36" s="242"/>
      <c r="MX36" s="243"/>
      <c r="MY36" s="242"/>
      <c r="MZ36" s="242"/>
      <c r="NA36" s="242"/>
      <c r="NB36" s="242"/>
      <c r="NC36" s="242"/>
      <c r="ND36" s="242"/>
      <c r="NE36" s="242"/>
      <c r="NF36" s="242"/>
      <c r="NG36" s="242"/>
      <c r="NH36" s="242"/>
      <c r="NI36" s="242"/>
      <c r="NJ36" s="242"/>
      <c r="NK36" s="242"/>
      <c r="NL36" s="242"/>
      <c r="NM36" s="242"/>
      <c r="NN36" s="242"/>
      <c r="NO36" s="242"/>
      <c r="NP36" s="242"/>
      <c r="NQ36" s="242"/>
      <c r="NR36" s="242"/>
      <c r="NS36" s="242"/>
      <c r="NT36" s="242"/>
      <c r="NU36" s="242"/>
      <c r="NV36" s="242"/>
      <c r="NW36" s="242"/>
      <c r="NX36" s="242"/>
      <c r="NY36" s="242"/>
      <c r="NZ36" s="242"/>
      <c r="OA36" s="242"/>
      <c r="OB36" s="242"/>
      <c r="OC36" s="242"/>
      <c r="OD36" s="243"/>
      <c r="OE36" s="243"/>
      <c r="OF36" s="242"/>
      <c r="OG36" s="242"/>
      <c r="OH36" s="242"/>
      <c r="OI36" s="242"/>
      <c r="OJ36" s="242"/>
      <c r="OK36" s="242"/>
      <c r="OL36" s="242"/>
      <c r="OM36" s="242"/>
      <c r="ON36" s="242"/>
      <c r="OO36" s="242"/>
      <c r="OP36" s="242"/>
      <c r="OQ36" s="242"/>
      <c r="OR36" s="242"/>
      <c r="OS36" s="243"/>
      <c r="OT36" s="242"/>
      <c r="OU36" s="242"/>
      <c r="OV36" s="242"/>
      <c r="OW36" s="242"/>
      <c r="OX36" s="242"/>
      <c r="OY36" s="243"/>
      <c r="OZ36" s="242"/>
      <c r="PA36" s="242"/>
      <c r="PB36" s="242"/>
      <c r="PC36" s="242"/>
      <c r="PD36" s="242"/>
      <c r="PE36" s="242"/>
      <c r="PF36" s="242"/>
      <c r="PG36" s="242"/>
      <c r="PH36" s="242"/>
      <c r="PI36" s="242"/>
      <c r="PJ36" s="242"/>
      <c r="PK36" s="242"/>
      <c r="PL36" s="242"/>
      <c r="PM36" s="242"/>
      <c r="PN36" s="242"/>
      <c r="PO36" s="242"/>
      <c r="PP36" s="242"/>
      <c r="PQ36" s="242"/>
      <c r="PR36" s="242"/>
      <c r="PS36" s="242"/>
      <c r="PT36" s="242"/>
      <c r="PU36" s="242"/>
      <c r="PV36" s="242"/>
      <c r="PW36" s="242"/>
      <c r="PX36" s="242"/>
      <c r="PY36" s="242"/>
      <c r="PZ36" s="242"/>
      <c r="QA36" s="242"/>
      <c r="QB36" s="242"/>
      <c r="QC36" s="242"/>
      <c r="QD36" s="242"/>
      <c r="QE36" s="242"/>
      <c r="QF36" s="242"/>
      <c r="QG36" s="242"/>
      <c r="QH36" s="242"/>
      <c r="QI36" s="244"/>
    </row>
    <row r="37" spans="1:451" ht="18" customHeight="1" collapsed="1" x14ac:dyDescent="0.2">
      <c r="A37" s="251" t="s">
        <v>329</v>
      </c>
      <c r="B37" s="245"/>
      <c r="C37" s="242"/>
      <c r="D37" s="242"/>
      <c r="E37" s="242"/>
      <c r="F37" s="242"/>
      <c r="G37" s="242"/>
      <c r="H37" s="242"/>
      <c r="I37" s="242"/>
      <c r="J37" s="242"/>
      <c r="K37" s="242"/>
      <c r="L37" s="242"/>
      <c r="M37" s="242"/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42"/>
      <c r="Y37" s="242"/>
      <c r="Z37" s="242"/>
      <c r="AA37" s="242"/>
      <c r="AB37" s="242"/>
      <c r="AC37" s="243"/>
      <c r="AD37" s="242"/>
      <c r="AE37" s="242"/>
      <c r="AF37" s="242"/>
      <c r="AG37" s="242"/>
      <c r="AH37" s="242"/>
      <c r="AI37" s="242"/>
      <c r="AJ37" s="242"/>
      <c r="AK37" s="242"/>
      <c r="AL37" s="242"/>
      <c r="AM37" s="242"/>
      <c r="AN37" s="242"/>
      <c r="AO37" s="242"/>
      <c r="AP37" s="242"/>
      <c r="AQ37" s="242"/>
      <c r="AR37" s="243"/>
      <c r="AS37" s="242"/>
      <c r="AT37" s="242"/>
      <c r="AU37" s="242"/>
      <c r="AV37" s="242"/>
      <c r="AW37" s="242"/>
      <c r="AX37" s="242"/>
      <c r="AY37" s="242"/>
      <c r="AZ37" s="242"/>
      <c r="BA37" s="242"/>
      <c r="BB37" s="242"/>
      <c r="BC37" s="242"/>
      <c r="BD37" s="242"/>
      <c r="BE37" s="242"/>
      <c r="BF37" s="252" t="s">
        <v>330</v>
      </c>
      <c r="BG37" s="252" t="s">
        <v>331</v>
      </c>
      <c r="BH37" s="252" t="s">
        <v>332</v>
      </c>
      <c r="BI37" s="252" t="s">
        <v>333</v>
      </c>
      <c r="BJ37" s="252" t="s">
        <v>334</v>
      </c>
      <c r="BK37" s="253" t="s">
        <v>335</v>
      </c>
      <c r="BL37" s="254" t="s">
        <v>336</v>
      </c>
      <c r="BM37" s="254" t="s">
        <v>337</v>
      </c>
      <c r="BN37" s="254" t="s">
        <v>338</v>
      </c>
      <c r="BO37" s="254" t="s">
        <v>339</v>
      </c>
      <c r="BP37" s="254" t="s">
        <v>340</v>
      </c>
      <c r="BQ37" s="254" t="s">
        <v>341</v>
      </c>
      <c r="BR37" s="254" t="s">
        <v>342</v>
      </c>
      <c r="BS37" s="254" t="s">
        <v>343</v>
      </c>
      <c r="BT37" s="254" t="s">
        <v>344</v>
      </c>
      <c r="BU37" s="254" t="s">
        <v>345</v>
      </c>
      <c r="BV37" s="254" t="s">
        <v>346</v>
      </c>
      <c r="BW37" s="254" t="s">
        <v>347</v>
      </c>
      <c r="BX37" s="254" t="s">
        <v>348</v>
      </c>
      <c r="BY37" s="254" t="s">
        <v>349</v>
      </c>
      <c r="BZ37" s="254" t="s">
        <v>350</v>
      </c>
      <c r="CA37" s="254" t="s">
        <v>351</v>
      </c>
      <c r="CB37" s="254" t="s">
        <v>352</v>
      </c>
      <c r="CC37" s="255"/>
      <c r="CD37" s="255"/>
      <c r="CE37" s="254" t="s">
        <v>353</v>
      </c>
      <c r="CF37" s="254" t="s">
        <v>354</v>
      </c>
      <c r="CG37" s="254" t="s">
        <v>355</v>
      </c>
      <c r="CH37" s="254" t="s">
        <v>356</v>
      </c>
      <c r="CI37" s="254" t="s">
        <v>357</v>
      </c>
      <c r="CJ37" s="254" t="s">
        <v>358</v>
      </c>
      <c r="CK37" s="254" t="s">
        <v>359</v>
      </c>
      <c r="CL37" s="254" t="s">
        <v>360</v>
      </c>
      <c r="CM37" s="254" t="s">
        <v>361</v>
      </c>
      <c r="CN37" s="254" t="s">
        <v>362</v>
      </c>
      <c r="CO37" s="254" t="s">
        <v>363</v>
      </c>
      <c r="CP37" s="254" t="s">
        <v>364</v>
      </c>
      <c r="CQ37" s="254" t="s">
        <v>365</v>
      </c>
      <c r="CR37" s="255"/>
      <c r="CS37" s="254" t="s">
        <v>366</v>
      </c>
      <c r="CT37" s="254" t="s">
        <v>367</v>
      </c>
      <c r="CU37" s="254" t="s">
        <v>368</v>
      </c>
      <c r="CV37" s="254" t="s">
        <v>369</v>
      </c>
      <c r="CW37" s="254" t="s">
        <v>370</v>
      </c>
      <c r="CX37" s="255"/>
      <c r="CY37" s="254" t="s">
        <v>371</v>
      </c>
      <c r="CZ37" s="254" t="s">
        <v>372</v>
      </c>
      <c r="DA37" s="254" t="s">
        <v>373</v>
      </c>
      <c r="DB37" s="254" t="s">
        <v>374</v>
      </c>
      <c r="DC37" s="254" t="s">
        <v>375</v>
      </c>
      <c r="DD37" s="254" t="s">
        <v>376</v>
      </c>
      <c r="DE37" s="254" t="s">
        <v>377</v>
      </c>
      <c r="DF37" s="254" t="s">
        <v>378</v>
      </c>
      <c r="DG37" s="254" t="s">
        <v>379</v>
      </c>
      <c r="DH37" s="254" t="s">
        <v>380</v>
      </c>
      <c r="DI37" s="254" t="s">
        <v>381</v>
      </c>
      <c r="DJ37" s="254" t="s">
        <v>382</v>
      </c>
      <c r="DK37" s="254" t="s">
        <v>383</v>
      </c>
      <c r="DL37" s="254" t="s">
        <v>384</v>
      </c>
      <c r="DM37" s="254" t="s">
        <v>385</v>
      </c>
      <c r="DN37" s="254" t="s">
        <v>386</v>
      </c>
      <c r="DO37" s="254" t="s">
        <v>387</v>
      </c>
      <c r="DP37" s="254" t="s">
        <v>388</v>
      </c>
      <c r="DQ37" s="254" t="s">
        <v>389</v>
      </c>
      <c r="DR37" s="254" t="s">
        <v>390</v>
      </c>
      <c r="DS37" s="254" t="s">
        <v>391</v>
      </c>
      <c r="DT37" s="254" t="s">
        <v>392</v>
      </c>
      <c r="DU37" s="254" t="s">
        <v>393</v>
      </c>
      <c r="DV37" s="254" t="s">
        <v>394</v>
      </c>
      <c r="DW37" s="254" t="s">
        <v>395</v>
      </c>
      <c r="DX37" s="254" t="s">
        <v>396</v>
      </c>
      <c r="DY37" s="254" t="s">
        <v>397</v>
      </c>
      <c r="DZ37" s="254" t="s">
        <v>398</v>
      </c>
      <c r="EA37" s="254" t="s">
        <v>399</v>
      </c>
      <c r="EB37" s="254" t="s">
        <v>400</v>
      </c>
      <c r="EC37" s="254" t="s">
        <v>401</v>
      </c>
      <c r="ED37" s="254" t="s">
        <v>402</v>
      </c>
      <c r="EE37" s="254" t="s">
        <v>403</v>
      </c>
      <c r="EF37" s="254" t="s">
        <v>404</v>
      </c>
      <c r="EG37" s="254" t="s">
        <v>405</v>
      </c>
      <c r="EH37" s="254" t="s">
        <v>406</v>
      </c>
      <c r="EI37" s="254" t="s">
        <v>407</v>
      </c>
      <c r="EJ37" s="254" t="s">
        <v>408</v>
      </c>
      <c r="EK37" s="254" t="s">
        <v>409</v>
      </c>
      <c r="EL37" s="254" t="s">
        <v>410</v>
      </c>
      <c r="EM37" s="254" t="s">
        <v>411</v>
      </c>
      <c r="EN37" s="254" t="s">
        <v>412</v>
      </c>
      <c r="EO37" s="254" t="s">
        <v>413</v>
      </c>
      <c r="EP37" s="254" t="s">
        <v>414</v>
      </c>
      <c r="EQ37" s="254" t="s">
        <v>415</v>
      </c>
      <c r="ER37" s="254" t="s">
        <v>416</v>
      </c>
      <c r="ES37" s="254" t="s">
        <v>417</v>
      </c>
      <c r="ET37" s="254" t="s">
        <v>418</v>
      </c>
      <c r="EU37" s="254" t="s">
        <v>419</v>
      </c>
      <c r="EV37" s="254" t="s">
        <v>420</v>
      </c>
      <c r="EW37" s="254" t="s">
        <v>421</v>
      </c>
      <c r="EX37" s="254" t="s">
        <v>422</v>
      </c>
      <c r="EY37" s="254"/>
      <c r="EZ37" s="254"/>
      <c r="FA37" s="254"/>
      <c r="FB37" s="254"/>
      <c r="FC37" s="254"/>
      <c r="FD37" s="254"/>
      <c r="FE37" s="254"/>
      <c r="FF37" s="254"/>
      <c r="FG37" s="254"/>
      <c r="FH37" s="254"/>
      <c r="FI37" s="254"/>
      <c r="FJ37" s="254"/>
      <c r="FK37" s="254"/>
      <c r="FL37" s="254"/>
      <c r="FM37" s="254"/>
      <c r="FN37" s="254"/>
      <c r="FO37" s="254"/>
      <c r="FP37" s="254"/>
      <c r="FQ37" s="255"/>
      <c r="FR37" s="255"/>
      <c r="FS37" s="254"/>
      <c r="FT37" s="254"/>
      <c r="FU37" s="254"/>
      <c r="FV37" s="254"/>
      <c r="FW37" s="254"/>
      <c r="FX37" s="254"/>
      <c r="FY37" s="254"/>
      <c r="FZ37" s="254"/>
      <c r="GA37" s="254"/>
      <c r="GB37" s="254"/>
      <c r="GC37" s="254"/>
      <c r="GD37" s="254"/>
      <c r="GE37" s="254"/>
      <c r="GF37" s="254"/>
      <c r="GG37" s="254"/>
      <c r="GH37" s="254"/>
      <c r="GI37" s="254"/>
      <c r="GJ37" s="254"/>
      <c r="GK37" s="254"/>
      <c r="GL37" s="254"/>
      <c r="GM37" s="254"/>
      <c r="GN37" s="254"/>
      <c r="GO37" s="254"/>
      <c r="GP37" s="254"/>
      <c r="GQ37" s="254"/>
      <c r="GR37" s="254"/>
      <c r="GS37" s="254"/>
      <c r="GT37" s="254"/>
      <c r="GU37" s="254"/>
      <c r="GV37" s="254"/>
      <c r="GW37" s="255"/>
      <c r="GX37" s="254"/>
      <c r="GY37" s="254"/>
      <c r="GZ37" s="254"/>
      <c r="HA37" s="254"/>
      <c r="HB37" s="254"/>
      <c r="HC37" s="254"/>
      <c r="HD37" s="254"/>
      <c r="HE37" s="254"/>
      <c r="HF37" s="254"/>
      <c r="HG37" s="254"/>
      <c r="HH37" s="254"/>
      <c r="HI37" s="254"/>
      <c r="HJ37" s="254"/>
      <c r="HK37" s="254"/>
      <c r="HL37" s="254"/>
      <c r="HM37" s="254"/>
      <c r="HN37" s="254"/>
      <c r="HO37" s="254"/>
      <c r="HP37" s="254"/>
      <c r="HQ37" s="254"/>
      <c r="HR37" s="254"/>
      <c r="HS37" s="254"/>
      <c r="HT37" s="254"/>
      <c r="HU37" s="254"/>
      <c r="HV37" s="254"/>
      <c r="HW37" s="254"/>
      <c r="HX37" s="254"/>
      <c r="HY37" s="254"/>
      <c r="HZ37" s="254"/>
      <c r="IA37" s="254"/>
      <c r="IB37" s="254"/>
      <c r="IC37" s="254"/>
      <c r="ID37" s="254"/>
      <c r="IE37" s="254"/>
      <c r="IF37" s="254"/>
      <c r="IG37" s="254"/>
      <c r="IH37" s="254"/>
      <c r="II37" s="254"/>
      <c r="IJ37" s="254"/>
      <c r="IK37" s="254"/>
      <c r="IL37" s="254"/>
      <c r="IM37" s="254"/>
      <c r="IN37" s="254"/>
      <c r="IO37" s="254"/>
      <c r="IP37" s="254"/>
      <c r="IQ37" s="254"/>
      <c r="IR37" s="254"/>
      <c r="IS37" s="254"/>
      <c r="IT37" s="254"/>
      <c r="IU37" s="254"/>
      <c r="IV37" s="255"/>
      <c r="IW37" s="254"/>
      <c r="IX37" s="254"/>
      <c r="IY37" s="254"/>
      <c r="IZ37" s="254"/>
      <c r="JA37" s="254"/>
      <c r="JB37" s="254"/>
      <c r="JC37" s="254"/>
      <c r="JD37" s="254"/>
      <c r="JE37" s="254"/>
      <c r="JF37" s="254"/>
      <c r="JG37" s="254"/>
      <c r="JH37" s="254"/>
      <c r="JI37" s="254"/>
      <c r="JJ37" s="254"/>
      <c r="JK37" s="254"/>
      <c r="JL37" s="254"/>
      <c r="JM37" s="254"/>
      <c r="JN37" s="254"/>
      <c r="JO37" s="254"/>
      <c r="JP37" s="255"/>
      <c r="JQ37" s="254"/>
      <c r="JR37" s="254"/>
      <c r="JS37" s="254"/>
      <c r="JT37" s="255"/>
      <c r="JU37" s="255"/>
      <c r="JV37" s="254"/>
      <c r="JW37" s="254"/>
      <c r="JX37" s="254"/>
      <c r="JY37" s="254"/>
      <c r="JZ37" s="254"/>
      <c r="KA37" s="254"/>
      <c r="KB37" s="255"/>
      <c r="KC37" s="254"/>
      <c r="KD37" s="254"/>
      <c r="KE37" s="254"/>
      <c r="KF37" s="254"/>
      <c r="KG37" s="254"/>
      <c r="KH37" s="254"/>
      <c r="KI37" s="254"/>
      <c r="KJ37" s="254"/>
      <c r="KK37" s="254"/>
      <c r="KL37" s="254"/>
      <c r="KM37" s="254"/>
      <c r="KN37" s="254"/>
      <c r="KO37" s="254"/>
      <c r="KP37" s="254"/>
      <c r="KQ37" s="254"/>
      <c r="KR37" s="254"/>
      <c r="KS37" s="254"/>
      <c r="KT37" s="254"/>
      <c r="KU37" s="254"/>
      <c r="KV37" s="255"/>
      <c r="KW37" s="254"/>
      <c r="KX37" s="254"/>
      <c r="KY37" s="254"/>
      <c r="KZ37" s="254"/>
      <c r="LA37" s="254"/>
      <c r="LB37" s="254"/>
      <c r="LC37" s="254"/>
      <c r="LD37" s="254"/>
      <c r="LE37" s="254"/>
      <c r="LF37" s="254"/>
      <c r="LG37" s="254"/>
      <c r="LH37" s="254"/>
      <c r="LI37" s="254"/>
      <c r="LJ37" s="254"/>
      <c r="LK37" s="254"/>
      <c r="LL37" s="254"/>
      <c r="LM37" s="254"/>
      <c r="LN37" s="254"/>
      <c r="LO37" s="254"/>
      <c r="LP37" s="254"/>
      <c r="LQ37" s="254"/>
      <c r="LR37" s="254"/>
      <c r="LS37" s="254"/>
      <c r="LT37" s="254"/>
      <c r="LU37" s="254"/>
      <c r="LV37" s="254"/>
      <c r="LW37" s="254"/>
      <c r="LX37" s="254"/>
      <c r="LY37" s="254"/>
      <c r="LZ37" s="254"/>
      <c r="MA37" s="254"/>
      <c r="MB37" s="254"/>
      <c r="MC37" s="254"/>
      <c r="MD37" s="255"/>
      <c r="ME37" s="254"/>
      <c r="MF37" s="254"/>
      <c r="MG37" s="254"/>
      <c r="MH37" s="254"/>
      <c r="MI37" s="254"/>
      <c r="MJ37" s="254"/>
      <c r="MK37" s="254"/>
      <c r="ML37" s="254"/>
      <c r="MM37" s="254"/>
      <c r="MN37" s="254"/>
      <c r="MO37" s="254"/>
      <c r="MP37" s="254"/>
      <c r="MQ37" s="254"/>
      <c r="MR37" s="254"/>
      <c r="MS37" s="254"/>
      <c r="MT37" s="254"/>
      <c r="MU37" s="254"/>
      <c r="MV37" s="254"/>
      <c r="MW37" s="254"/>
      <c r="MX37" s="255"/>
      <c r="MY37" s="254"/>
      <c r="MZ37" s="254"/>
      <c r="NA37" s="254"/>
      <c r="NB37" s="254"/>
      <c r="NC37" s="254"/>
      <c r="ND37" s="254"/>
      <c r="NE37" s="254"/>
      <c r="NF37" s="254"/>
      <c r="NG37" s="254"/>
      <c r="NH37" s="254"/>
      <c r="NI37" s="254"/>
      <c r="NJ37" s="254"/>
      <c r="NK37" s="254"/>
      <c r="NL37" s="254"/>
      <c r="NM37" s="254"/>
      <c r="NN37" s="254"/>
      <c r="NO37" s="254"/>
      <c r="NP37" s="254"/>
      <c r="NQ37" s="254"/>
      <c r="NR37" s="254"/>
      <c r="NS37" s="254"/>
      <c r="NT37" s="254"/>
      <c r="NU37" s="254"/>
      <c r="NV37" s="254"/>
      <c r="NW37" s="254"/>
      <c r="NX37" s="254"/>
      <c r="NY37" s="254"/>
      <c r="NZ37" s="254"/>
      <c r="OA37" s="254"/>
      <c r="OB37" s="254"/>
      <c r="OC37" s="254"/>
      <c r="OD37" s="255"/>
      <c r="OE37" s="255"/>
      <c r="OF37" s="254"/>
      <c r="OG37" s="254"/>
      <c r="OH37" s="254"/>
      <c r="OI37" s="254"/>
      <c r="OJ37" s="254"/>
      <c r="OK37" s="254"/>
      <c r="OL37" s="254"/>
      <c r="OM37" s="254"/>
      <c r="ON37" s="254"/>
      <c r="OO37" s="254"/>
      <c r="OP37" s="254"/>
      <c r="OQ37" s="254"/>
      <c r="OR37" s="254"/>
      <c r="OS37" s="255"/>
      <c r="OT37" s="254"/>
      <c r="OU37" s="254"/>
      <c r="OV37" s="254"/>
      <c r="OW37" s="254"/>
      <c r="OX37" s="254"/>
      <c r="OY37" s="255"/>
      <c r="OZ37" s="254"/>
      <c r="PA37" s="254"/>
      <c r="PB37" s="254"/>
      <c r="PC37" s="254"/>
      <c r="PD37" s="254"/>
      <c r="PE37" s="254"/>
      <c r="PF37" s="254"/>
      <c r="PG37" s="254"/>
      <c r="PH37" s="254"/>
      <c r="PI37" s="254"/>
      <c r="PJ37" s="254"/>
      <c r="PK37" s="254"/>
      <c r="PL37" s="254"/>
      <c r="PM37" s="254"/>
      <c r="PN37" s="254"/>
      <c r="PO37" s="254"/>
      <c r="PP37" s="254"/>
      <c r="PQ37" s="254"/>
      <c r="PR37" s="254"/>
      <c r="PS37" s="254"/>
      <c r="PT37" s="254"/>
      <c r="PU37" s="254"/>
      <c r="PV37" s="254"/>
      <c r="PW37" s="254"/>
      <c r="PX37" s="254"/>
      <c r="PY37" s="254"/>
      <c r="PZ37" s="254"/>
      <c r="QA37" s="254"/>
      <c r="QB37" s="254"/>
      <c r="QC37" s="254"/>
      <c r="QD37" s="254"/>
      <c r="QE37" s="254"/>
      <c r="QF37" s="254"/>
      <c r="QG37" s="254"/>
      <c r="QH37" s="254"/>
      <c r="QI37" s="256"/>
    </row>
    <row r="38" spans="1:451" ht="18" customHeight="1" collapsed="1" x14ac:dyDescent="0.2">
      <c r="A38" s="251" t="s">
        <v>423</v>
      </c>
      <c r="B38" s="245"/>
      <c r="C38" s="242"/>
      <c r="D38" s="242"/>
      <c r="E38" s="242"/>
      <c r="F38" s="242"/>
      <c r="G38" s="242"/>
      <c r="H38" s="242"/>
      <c r="I38" s="242"/>
      <c r="J38" s="242"/>
      <c r="K38" s="242"/>
      <c r="L38" s="242"/>
      <c r="M38" s="242"/>
      <c r="N38" s="242"/>
      <c r="O38" s="242"/>
      <c r="P38" s="242"/>
      <c r="Q38" s="242"/>
      <c r="R38" s="242"/>
      <c r="S38" s="242"/>
      <c r="T38" s="242"/>
      <c r="U38" s="242"/>
      <c r="V38" s="242"/>
      <c r="W38" s="242"/>
      <c r="X38" s="242"/>
      <c r="Y38" s="242"/>
      <c r="Z38" s="242"/>
      <c r="AA38" s="242"/>
      <c r="AB38" s="242"/>
      <c r="AC38" s="243"/>
      <c r="AD38" s="242"/>
      <c r="AE38" s="242"/>
      <c r="AF38" s="242"/>
      <c r="AG38" s="242"/>
      <c r="AH38" s="242"/>
      <c r="AI38" s="242"/>
      <c r="AJ38" s="242"/>
      <c r="AK38" s="242"/>
      <c r="AL38" s="242"/>
      <c r="AM38" s="242"/>
      <c r="AN38" s="242"/>
      <c r="AO38" s="242"/>
      <c r="AP38" s="242"/>
      <c r="AQ38" s="242"/>
      <c r="AR38" s="243"/>
      <c r="AS38" s="242"/>
      <c r="AT38" s="242"/>
      <c r="AU38" s="242"/>
      <c r="AV38" s="242"/>
      <c r="AW38" s="242"/>
      <c r="AX38" s="242"/>
      <c r="AY38" s="242"/>
      <c r="AZ38" s="242"/>
      <c r="BA38" s="242"/>
      <c r="BB38" s="242"/>
      <c r="BC38" s="242"/>
      <c r="BD38" s="242"/>
      <c r="BE38" s="242"/>
      <c r="BF38" s="252" t="s">
        <v>330</v>
      </c>
      <c r="BG38" s="252" t="s">
        <v>331</v>
      </c>
      <c r="BH38" s="252" t="s">
        <v>332</v>
      </c>
      <c r="BI38" s="252" t="s">
        <v>333</v>
      </c>
      <c r="BJ38" s="252" t="s">
        <v>334</v>
      </c>
      <c r="BK38" s="253" t="s">
        <v>335</v>
      </c>
      <c r="BL38" s="254" t="s">
        <v>336</v>
      </c>
      <c r="BM38" s="254" t="s">
        <v>337</v>
      </c>
      <c r="BN38" s="254" t="s">
        <v>338</v>
      </c>
      <c r="BO38" s="254" t="s">
        <v>339</v>
      </c>
      <c r="BP38" s="254" t="s">
        <v>340</v>
      </c>
      <c r="BQ38" s="254" t="s">
        <v>341</v>
      </c>
      <c r="BR38" s="254" t="s">
        <v>342</v>
      </c>
      <c r="BS38" s="254" t="s">
        <v>343</v>
      </c>
      <c r="BT38" s="254" t="s">
        <v>344</v>
      </c>
      <c r="BU38" s="254" t="s">
        <v>345</v>
      </c>
      <c r="BV38" s="254" t="s">
        <v>346</v>
      </c>
      <c r="BW38" s="254" t="s">
        <v>347</v>
      </c>
      <c r="BX38" s="254" t="s">
        <v>348</v>
      </c>
      <c r="BY38" s="254" t="s">
        <v>349</v>
      </c>
      <c r="BZ38" s="254" t="s">
        <v>350</v>
      </c>
      <c r="CA38" s="254" t="s">
        <v>351</v>
      </c>
      <c r="CB38" s="254" t="s">
        <v>352</v>
      </c>
      <c r="CC38" s="255"/>
      <c r="CD38" s="255"/>
      <c r="CE38" s="254" t="s">
        <v>353</v>
      </c>
      <c r="CF38" s="254" t="s">
        <v>354</v>
      </c>
      <c r="CG38" s="254" t="s">
        <v>355</v>
      </c>
      <c r="CH38" s="254" t="s">
        <v>356</v>
      </c>
      <c r="CI38" s="254" t="s">
        <v>357</v>
      </c>
      <c r="CJ38" s="254" t="s">
        <v>358</v>
      </c>
      <c r="CK38" s="254" t="s">
        <v>359</v>
      </c>
      <c r="CL38" s="254" t="s">
        <v>360</v>
      </c>
      <c r="CM38" s="254" t="s">
        <v>361</v>
      </c>
      <c r="CN38" s="254" t="s">
        <v>362</v>
      </c>
      <c r="CO38" s="254" t="s">
        <v>363</v>
      </c>
      <c r="CP38" s="254" t="s">
        <v>364</v>
      </c>
      <c r="CQ38" s="254" t="s">
        <v>365</v>
      </c>
      <c r="CR38" s="255"/>
      <c r="CS38" s="254" t="s">
        <v>366</v>
      </c>
      <c r="CT38" s="254" t="s">
        <v>367</v>
      </c>
      <c r="CU38" s="254" t="s">
        <v>368</v>
      </c>
      <c r="CV38" s="254" t="s">
        <v>369</v>
      </c>
      <c r="CW38" s="254" t="s">
        <v>370</v>
      </c>
      <c r="CX38" s="255"/>
      <c r="CY38" s="254" t="s">
        <v>371</v>
      </c>
      <c r="CZ38" s="254" t="s">
        <v>372</v>
      </c>
      <c r="DA38" s="254" t="s">
        <v>373</v>
      </c>
      <c r="DB38" s="254" t="s">
        <v>374</v>
      </c>
      <c r="DC38" s="254" t="s">
        <v>375</v>
      </c>
      <c r="DD38" s="254" t="s">
        <v>376</v>
      </c>
      <c r="DE38" s="254" t="s">
        <v>377</v>
      </c>
      <c r="DF38" s="254" t="s">
        <v>378</v>
      </c>
      <c r="DG38" s="254" t="s">
        <v>379</v>
      </c>
      <c r="DH38" s="254" t="s">
        <v>380</v>
      </c>
      <c r="DI38" s="254" t="s">
        <v>381</v>
      </c>
      <c r="DJ38" s="254" t="s">
        <v>382</v>
      </c>
      <c r="DK38" s="254" t="s">
        <v>383</v>
      </c>
      <c r="DL38" s="254" t="s">
        <v>384</v>
      </c>
      <c r="DM38" s="254" t="s">
        <v>385</v>
      </c>
      <c r="DN38" s="254" t="s">
        <v>386</v>
      </c>
      <c r="DO38" s="254" t="s">
        <v>387</v>
      </c>
      <c r="DP38" s="254" t="s">
        <v>388</v>
      </c>
      <c r="DQ38" s="254" t="s">
        <v>389</v>
      </c>
      <c r="DR38" s="254" t="s">
        <v>390</v>
      </c>
      <c r="DS38" s="254" t="s">
        <v>391</v>
      </c>
      <c r="DT38" s="254" t="s">
        <v>392</v>
      </c>
      <c r="DU38" s="254" t="s">
        <v>393</v>
      </c>
      <c r="DV38" s="254" t="s">
        <v>394</v>
      </c>
      <c r="DW38" s="254" t="s">
        <v>395</v>
      </c>
      <c r="DX38" s="254" t="s">
        <v>396</v>
      </c>
      <c r="DY38" s="254" t="s">
        <v>397</v>
      </c>
      <c r="DZ38" s="254" t="s">
        <v>398</v>
      </c>
      <c r="EA38" s="254" t="s">
        <v>399</v>
      </c>
      <c r="EB38" s="254" t="s">
        <v>400</v>
      </c>
      <c r="EC38" s="254" t="s">
        <v>401</v>
      </c>
      <c r="ED38" s="254" t="s">
        <v>402</v>
      </c>
      <c r="EE38" s="254" t="s">
        <v>403</v>
      </c>
      <c r="EF38" s="254" t="s">
        <v>404</v>
      </c>
      <c r="EG38" s="254" t="s">
        <v>405</v>
      </c>
      <c r="EH38" s="254" t="s">
        <v>406</v>
      </c>
      <c r="EI38" s="254" t="s">
        <v>407</v>
      </c>
      <c r="EJ38" s="254" t="s">
        <v>408</v>
      </c>
      <c r="EK38" s="254" t="s">
        <v>409</v>
      </c>
      <c r="EL38" s="254" t="s">
        <v>410</v>
      </c>
      <c r="EM38" s="254" t="s">
        <v>411</v>
      </c>
      <c r="EN38" s="254" t="s">
        <v>412</v>
      </c>
      <c r="EO38" s="254" t="s">
        <v>413</v>
      </c>
      <c r="EP38" s="254" t="s">
        <v>414</v>
      </c>
      <c r="EQ38" s="254" t="s">
        <v>415</v>
      </c>
      <c r="ER38" s="254" t="s">
        <v>416</v>
      </c>
      <c r="ES38" s="254" t="s">
        <v>417</v>
      </c>
      <c r="ET38" s="254" t="s">
        <v>418</v>
      </c>
      <c r="EU38" s="254" t="s">
        <v>419</v>
      </c>
      <c r="EV38" s="254" t="s">
        <v>420</v>
      </c>
      <c r="EW38" s="254" t="s">
        <v>421</v>
      </c>
      <c r="EX38" s="254" t="s">
        <v>422</v>
      </c>
      <c r="EY38" s="254"/>
      <c r="EZ38" s="254"/>
      <c r="FA38" s="254"/>
      <c r="FB38" s="254"/>
      <c r="FC38" s="254"/>
      <c r="FD38" s="254"/>
      <c r="FE38" s="254"/>
      <c r="FF38" s="254"/>
      <c r="FG38" s="254"/>
      <c r="FH38" s="254"/>
      <c r="FI38" s="254"/>
      <c r="FJ38" s="254"/>
      <c r="FK38" s="254"/>
      <c r="FL38" s="254"/>
      <c r="FM38" s="254"/>
      <c r="FN38" s="254"/>
      <c r="FO38" s="254"/>
      <c r="FP38" s="254"/>
      <c r="FQ38" s="255"/>
      <c r="FR38" s="255"/>
      <c r="FS38" s="254"/>
      <c r="FT38" s="254"/>
      <c r="FU38" s="254"/>
      <c r="FV38" s="254"/>
      <c r="FW38" s="254"/>
      <c r="FX38" s="254"/>
      <c r="FY38" s="254"/>
      <c r="FZ38" s="254"/>
      <c r="GA38" s="254"/>
      <c r="GB38" s="254"/>
      <c r="GC38" s="254"/>
      <c r="GD38" s="254"/>
      <c r="GE38" s="254"/>
      <c r="GF38" s="254"/>
      <c r="GG38" s="254"/>
      <c r="GH38" s="254"/>
      <c r="GI38" s="254"/>
      <c r="GJ38" s="254"/>
      <c r="GK38" s="254"/>
      <c r="GL38" s="254"/>
      <c r="GM38" s="254"/>
      <c r="GN38" s="254"/>
      <c r="GO38" s="254"/>
      <c r="GP38" s="254"/>
      <c r="GQ38" s="254"/>
      <c r="GR38" s="254"/>
      <c r="GS38" s="254"/>
      <c r="GT38" s="254"/>
      <c r="GU38" s="254"/>
      <c r="GV38" s="254"/>
      <c r="GW38" s="255"/>
      <c r="GX38" s="254"/>
      <c r="GY38" s="254"/>
      <c r="GZ38" s="254"/>
      <c r="HA38" s="254"/>
      <c r="HB38" s="254"/>
      <c r="HC38" s="254"/>
      <c r="HD38" s="254"/>
      <c r="HE38" s="254"/>
      <c r="HF38" s="254"/>
      <c r="HG38" s="254"/>
      <c r="HH38" s="254"/>
      <c r="HI38" s="254"/>
      <c r="HJ38" s="254"/>
      <c r="HK38" s="254"/>
      <c r="HL38" s="254"/>
      <c r="HM38" s="254"/>
      <c r="HN38" s="254"/>
      <c r="HO38" s="254"/>
      <c r="HP38" s="254"/>
      <c r="HQ38" s="254"/>
      <c r="HR38" s="254"/>
      <c r="HS38" s="254"/>
      <c r="HT38" s="254"/>
      <c r="HU38" s="254"/>
      <c r="HV38" s="254"/>
      <c r="HW38" s="254"/>
      <c r="HX38" s="254"/>
      <c r="HY38" s="254"/>
      <c r="HZ38" s="254"/>
      <c r="IA38" s="254"/>
      <c r="IB38" s="254"/>
      <c r="IC38" s="254"/>
      <c r="ID38" s="254"/>
      <c r="IE38" s="254"/>
      <c r="IF38" s="254"/>
      <c r="IG38" s="254"/>
      <c r="IH38" s="254"/>
      <c r="II38" s="254"/>
      <c r="IJ38" s="254"/>
      <c r="IK38" s="254"/>
      <c r="IL38" s="254"/>
      <c r="IM38" s="254"/>
      <c r="IN38" s="254"/>
      <c r="IO38" s="254"/>
      <c r="IP38" s="254"/>
      <c r="IQ38" s="254"/>
      <c r="IR38" s="254"/>
      <c r="IS38" s="254"/>
      <c r="IT38" s="254"/>
      <c r="IU38" s="254"/>
      <c r="IV38" s="255"/>
      <c r="IW38" s="254"/>
      <c r="IX38" s="254"/>
      <c r="IY38" s="254"/>
      <c r="IZ38" s="254"/>
      <c r="JA38" s="254"/>
      <c r="JB38" s="254"/>
      <c r="JC38" s="254"/>
      <c r="JD38" s="254"/>
      <c r="JE38" s="254"/>
      <c r="JF38" s="254"/>
      <c r="JG38" s="254"/>
      <c r="JH38" s="254"/>
      <c r="JI38" s="254"/>
      <c r="JJ38" s="254"/>
      <c r="JK38" s="254"/>
      <c r="JL38" s="254"/>
      <c r="JM38" s="254"/>
      <c r="JN38" s="254"/>
      <c r="JO38" s="254"/>
      <c r="JP38" s="255"/>
      <c r="JQ38" s="254"/>
      <c r="JR38" s="254"/>
      <c r="JS38" s="254"/>
      <c r="JT38" s="255"/>
      <c r="JU38" s="255"/>
      <c r="JV38" s="254"/>
      <c r="JW38" s="254"/>
      <c r="JX38" s="254"/>
      <c r="JY38" s="254"/>
      <c r="JZ38" s="254"/>
      <c r="KA38" s="254"/>
      <c r="KB38" s="255"/>
      <c r="KC38" s="254"/>
      <c r="KD38" s="254"/>
      <c r="KE38" s="254"/>
      <c r="KF38" s="254"/>
      <c r="KG38" s="254"/>
      <c r="KH38" s="254"/>
      <c r="KI38" s="254"/>
      <c r="KJ38" s="254"/>
      <c r="KK38" s="254"/>
      <c r="KL38" s="254"/>
      <c r="KM38" s="254"/>
      <c r="KN38" s="254"/>
      <c r="KO38" s="254"/>
      <c r="KP38" s="254"/>
      <c r="KQ38" s="254"/>
      <c r="KR38" s="254"/>
      <c r="KS38" s="254"/>
      <c r="KT38" s="254"/>
      <c r="KU38" s="254"/>
      <c r="KV38" s="255"/>
      <c r="KW38" s="254"/>
      <c r="KX38" s="254"/>
      <c r="KY38" s="254"/>
      <c r="KZ38" s="254"/>
      <c r="LA38" s="254"/>
      <c r="LB38" s="254"/>
      <c r="LC38" s="254"/>
      <c r="LD38" s="254"/>
      <c r="LE38" s="254"/>
      <c r="LF38" s="254"/>
      <c r="LG38" s="254"/>
      <c r="LH38" s="254"/>
      <c r="LI38" s="254"/>
      <c r="LJ38" s="254"/>
      <c r="LK38" s="254"/>
      <c r="LL38" s="254"/>
      <c r="LM38" s="254"/>
      <c r="LN38" s="254"/>
      <c r="LO38" s="254"/>
      <c r="LP38" s="254"/>
      <c r="LQ38" s="254"/>
      <c r="LR38" s="254"/>
      <c r="LS38" s="254"/>
      <c r="LT38" s="254"/>
      <c r="LU38" s="254"/>
      <c r="LV38" s="254"/>
      <c r="LW38" s="254"/>
      <c r="LX38" s="254"/>
      <c r="LY38" s="254"/>
      <c r="LZ38" s="254"/>
      <c r="MA38" s="254"/>
      <c r="MB38" s="254"/>
      <c r="MC38" s="254"/>
      <c r="MD38" s="255"/>
      <c r="ME38" s="254"/>
      <c r="MF38" s="254"/>
      <c r="MG38" s="254"/>
      <c r="MH38" s="254"/>
      <c r="MI38" s="254"/>
      <c r="MJ38" s="254"/>
      <c r="MK38" s="254"/>
      <c r="ML38" s="254"/>
      <c r="MM38" s="254"/>
      <c r="MN38" s="254"/>
      <c r="MO38" s="254"/>
      <c r="MP38" s="254"/>
      <c r="MQ38" s="254"/>
      <c r="MR38" s="254"/>
      <c r="MS38" s="254"/>
      <c r="MT38" s="254"/>
      <c r="MU38" s="254"/>
      <c r="MV38" s="254"/>
      <c r="MW38" s="254"/>
      <c r="MX38" s="255"/>
      <c r="MY38" s="254"/>
      <c r="MZ38" s="254"/>
      <c r="NA38" s="254"/>
      <c r="NB38" s="254"/>
      <c r="NC38" s="254"/>
      <c r="ND38" s="254"/>
      <c r="NE38" s="254"/>
      <c r="NF38" s="254"/>
      <c r="NG38" s="254"/>
      <c r="NH38" s="254"/>
      <c r="NI38" s="254"/>
      <c r="NJ38" s="254"/>
      <c r="NK38" s="254"/>
      <c r="NL38" s="254"/>
      <c r="NM38" s="254"/>
      <c r="NN38" s="254"/>
      <c r="NO38" s="254"/>
      <c r="NP38" s="254"/>
      <c r="NQ38" s="254"/>
      <c r="NR38" s="254"/>
      <c r="NS38" s="254"/>
      <c r="NT38" s="254"/>
      <c r="NU38" s="254"/>
      <c r="NV38" s="254"/>
      <c r="NW38" s="254"/>
      <c r="NX38" s="254"/>
      <c r="NY38" s="254"/>
      <c r="NZ38" s="254"/>
      <c r="OA38" s="254"/>
      <c r="OB38" s="254"/>
      <c r="OC38" s="254"/>
      <c r="OD38" s="255"/>
      <c r="OE38" s="255"/>
      <c r="OF38" s="254"/>
      <c r="OG38" s="254"/>
      <c r="OH38" s="254"/>
      <c r="OI38" s="254"/>
      <c r="OJ38" s="254"/>
      <c r="OK38" s="254"/>
      <c r="OL38" s="254"/>
      <c r="OM38" s="254"/>
      <c r="ON38" s="254"/>
      <c r="OO38" s="254"/>
      <c r="OP38" s="254"/>
      <c r="OQ38" s="254"/>
      <c r="OR38" s="254"/>
      <c r="OS38" s="255"/>
      <c r="OT38" s="254"/>
      <c r="OU38" s="254"/>
      <c r="OV38" s="254"/>
      <c r="OW38" s="254"/>
      <c r="OX38" s="254"/>
      <c r="OY38" s="255"/>
      <c r="OZ38" s="254"/>
      <c r="PA38" s="254"/>
      <c r="PB38" s="254"/>
      <c r="PC38" s="254"/>
      <c r="PD38" s="254"/>
      <c r="PE38" s="254"/>
      <c r="PF38" s="254"/>
      <c r="PG38" s="254"/>
      <c r="PH38" s="254"/>
      <c r="PI38" s="254"/>
      <c r="PJ38" s="254"/>
      <c r="PK38" s="254"/>
      <c r="PL38" s="254"/>
      <c r="PM38" s="254"/>
      <c r="PN38" s="254"/>
      <c r="PO38" s="254"/>
      <c r="PP38" s="254"/>
      <c r="PQ38" s="254"/>
      <c r="PR38" s="254"/>
      <c r="PS38" s="254"/>
      <c r="PT38" s="254"/>
      <c r="PU38" s="254"/>
      <c r="PV38" s="254"/>
      <c r="PW38" s="254"/>
      <c r="PX38" s="254"/>
      <c r="PY38" s="254"/>
      <c r="PZ38" s="254"/>
      <c r="QA38" s="254"/>
      <c r="QB38" s="254"/>
      <c r="QC38" s="254"/>
      <c r="QD38" s="254"/>
      <c r="QE38" s="254"/>
      <c r="QF38" s="254"/>
      <c r="QG38" s="254"/>
      <c r="QH38" s="254"/>
      <c r="QI38" s="256"/>
    </row>
    <row r="39" spans="1:451" ht="18" customHeight="1" collapsed="1" x14ac:dyDescent="0.2">
      <c r="A39" s="251" t="s">
        <v>424</v>
      </c>
      <c r="B39" s="245"/>
      <c r="C39" s="242"/>
      <c r="D39" s="242"/>
      <c r="E39" s="242"/>
      <c r="F39" s="242"/>
      <c r="G39" s="242"/>
      <c r="H39" s="242"/>
      <c r="I39" s="242"/>
      <c r="J39" s="242"/>
      <c r="K39" s="242"/>
      <c r="L39" s="242"/>
      <c r="M39" s="242"/>
      <c r="N39" s="242"/>
      <c r="O39" s="242"/>
      <c r="P39" s="242"/>
      <c r="Q39" s="242"/>
      <c r="R39" s="242"/>
      <c r="S39" s="242"/>
      <c r="T39" s="242"/>
      <c r="U39" s="242"/>
      <c r="V39" s="242"/>
      <c r="W39" s="242"/>
      <c r="X39" s="242"/>
      <c r="Y39" s="242"/>
      <c r="Z39" s="242"/>
      <c r="AA39" s="242"/>
      <c r="AB39" s="242"/>
      <c r="AC39" s="243"/>
      <c r="AD39" s="242"/>
      <c r="AE39" s="242"/>
      <c r="AF39" s="242"/>
      <c r="AG39" s="242"/>
      <c r="AH39" s="242"/>
      <c r="AI39" s="242"/>
      <c r="AJ39" s="242"/>
      <c r="AK39" s="242"/>
      <c r="AL39" s="242"/>
      <c r="AM39" s="242"/>
      <c r="AN39" s="242"/>
      <c r="AO39" s="242"/>
      <c r="AP39" s="242"/>
      <c r="AQ39" s="242"/>
      <c r="AR39" s="243"/>
      <c r="AS39" s="242"/>
      <c r="AT39" s="242"/>
      <c r="AU39" s="242"/>
      <c r="AV39" s="242"/>
      <c r="AW39" s="242"/>
      <c r="AX39" s="242"/>
      <c r="AY39" s="242"/>
      <c r="AZ39" s="242"/>
      <c r="BA39" s="242"/>
      <c r="BB39" s="242"/>
      <c r="BC39" s="242"/>
      <c r="BD39" s="242"/>
      <c r="BE39" s="242"/>
      <c r="BF39" s="257"/>
      <c r="BG39" s="252" t="s">
        <v>330</v>
      </c>
      <c r="BH39" s="252" t="s">
        <v>331</v>
      </c>
      <c r="BI39" s="252" t="s">
        <v>332</v>
      </c>
      <c r="BJ39" s="252" t="s">
        <v>333</v>
      </c>
      <c r="BK39" s="252" t="s">
        <v>334</v>
      </c>
      <c r="BL39" s="253" t="s">
        <v>335</v>
      </c>
      <c r="BM39" s="254" t="s">
        <v>336</v>
      </c>
      <c r="BN39" s="254" t="s">
        <v>337</v>
      </c>
      <c r="BO39" s="254" t="s">
        <v>338</v>
      </c>
      <c r="BP39" s="254" t="s">
        <v>339</v>
      </c>
      <c r="BQ39" s="254" t="s">
        <v>340</v>
      </c>
      <c r="BR39" s="254" t="s">
        <v>341</v>
      </c>
      <c r="BS39" s="254" t="s">
        <v>342</v>
      </c>
      <c r="BT39" s="254" t="s">
        <v>343</v>
      </c>
      <c r="BU39" s="254" t="s">
        <v>344</v>
      </c>
      <c r="BV39" s="254" t="s">
        <v>345</v>
      </c>
      <c r="BW39" s="254" t="s">
        <v>346</v>
      </c>
      <c r="BX39" s="254" t="s">
        <v>347</v>
      </c>
      <c r="BY39" s="254" t="s">
        <v>348</v>
      </c>
      <c r="BZ39" s="254" t="s">
        <v>349</v>
      </c>
      <c r="CA39" s="254" t="s">
        <v>350</v>
      </c>
      <c r="CB39" s="254" t="s">
        <v>351</v>
      </c>
      <c r="CC39" s="255"/>
      <c r="CD39" s="255"/>
      <c r="CE39" s="254" t="s">
        <v>352</v>
      </c>
      <c r="CF39" s="254" t="s">
        <v>353</v>
      </c>
      <c r="CG39" s="254" t="s">
        <v>354</v>
      </c>
      <c r="CH39" s="254" t="s">
        <v>355</v>
      </c>
      <c r="CI39" s="254" t="s">
        <v>356</v>
      </c>
      <c r="CJ39" s="254" t="s">
        <v>357</v>
      </c>
      <c r="CK39" s="254" t="s">
        <v>358</v>
      </c>
      <c r="CL39" s="254" t="s">
        <v>359</v>
      </c>
      <c r="CM39" s="254" t="s">
        <v>360</v>
      </c>
      <c r="CN39" s="254" t="s">
        <v>361</v>
      </c>
      <c r="CO39" s="254" t="s">
        <v>362</v>
      </c>
      <c r="CP39" s="254" t="s">
        <v>363</v>
      </c>
      <c r="CQ39" s="254" t="s">
        <v>364</v>
      </c>
      <c r="CR39" s="255"/>
      <c r="CS39" s="254" t="s">
        <v>365</v>
      </c>
      <c r="CT39" s="254" t="s">
        <v>366</v>
      </c>
      <c r="CU39" s="254" t="s">
        <v>367</v>
      </c>
      <c r="CV39" s="254" t="s">
        <v>368</v>
      </c>
      <c r="CW39" s="254" t="s">
        <v>369</v>
      </c>
      <c r="CX39" s="255"/>
      <c r="CY39" s="254" t="s">
        <v>370</v>
      </c>
      <c r="CZ39" s="254" t="s">
        <v>371</v>
      </c>
      <c r="DA39" s="254" t="s">
        <v>372</v>
      </c>
      <c r="DB39" s="254" t="s">
        <v>373</v>
      </c>
      <c r="DC39" s="254" t="s">
        <v>374</v>
      </c>
      <c r="DD39" s="254" t="s">
        <v>375</v>
      </c>
      <c r="DE39" s="254" t="s">
        <v>376</v>
      </c>
      <c r="DF39" s="254" t="s">
        <v>377</v>
      </c>
      <c r="DG39" s="254" t="s">
        <v>378</v>
      </c>
      <c r="DH39" s="254" t="s">
        <v>379</v>
      </c>
      <c r="DI39" s="254" t="s">
        <v>380</v>
      </c>
      <c r="DJ39" s="254" t="s">
        <v>381</v>
      </c>
      <c r="DK39" s="254" t="s">
        <v>382</v>
      </c>
      <c r="DL39" s="254" t="s">
        <v>383</v>
      </c>
      <c r="DM39" s="254" t="s">
        <v>384</v>
      </c>
      <c r="DN39" s="254" t="s">
        <v>385</v>
      </c>
      <c r="DO39" s="254" t="s">
        <v>386</v>
      </c>
      <c r="DP39" s="254" t="s">
        <v>387</v>
      </c>
      <c r="DQ39" s="254" t="s">
        <v>388</v>
      </c>
      <c r="DR39" s="254" t="s">
        <v>389</v>
      </c>
      <c r="DS39" s="254" t="s">
        <v>390</v>
      </c>
      <c r="DT39" s="254" t="s">
        <v>391</v>
      </c>
      <c r="DU39" s="254" t="s">
        <v>392</v>
      </c>
      <c r="DV39" s="254" t="s">
        <v>393</v>
      </c>
      <c r="DW39" s="254" t="s">
        <v>394</v>
      </c>
      <c r="DX39" s="254" t="s">
        <v>395</v>
      </c>
      <c r="DY39" s="254" t="s">
        <v>396</v>
      </c>
      <c r="DZ39" s="254" t="s">
        <v>397</v>
      </c>
      <c r="EA39" s="254" t="s">
        <v>398</v>
      </c>
      <c r="EB39" s="254" t="s">
        <v>399</v>
      </c>
      <c r="EC39" s="254" t="s">
        <v>400</v>
      </c>
      <c r="ED39" s="254" t="s">
        <v>401</v>
      </c>
      <c r="EE39" s="254" t="s">
        <v>402</v>
      </c>
      <c r="EF39" s="254" t="s">
        <v>403</v>
      </c>
      <c r="EG39" s="254" t="s">
        <v>404</v>
      </c>
      <c r="EH39" s="254" t="s">
        <v>405</v>
      </c>
      <c r="EI39" s="254" t="s">
        <v>406</v>
      </c>
      <c r="EJ39" s="254" t="s">
        <v>407</v>
      </c>
      <c r="EK39" s="254" t="s">
        <v>408</v>
      </c>
      <c r="EL39" s="254" t="s">
        <v>409</v>
      </c>
      <c r="EM39" s="254" t="s">
        <v>410</v>
      </c>
      <c r="EN39" s="254" t="s">
        <v>411</v>
      </c>
      <c r="EO39" s="254" t="s">
        <v>412</v>
      </c>
      <c r="EP39" s="254" t="s">
        <v>413</v>
      </c>
      <c r="EQ39" s="254" t="s">
        <v>414</v>
      </c>
      <c r="ER39" s="254" t="s">
        <v>415</v>
      </c>
      <c r="ES39" s="254" t="s">
        <v>416</v>
      </c>
      <c r="ET39" s="254" t="s">
        <v>417</v>
      </c>
      <c r="EU39" s="254" t="s">
        <v>418</v>
      </c>
      <c r="EV39" s="254" t="s">
        <v>419</v>
      </c>
      <c r="EW39" s="254" t="s">
        <v>420</v>
      </c>
      <c r="EX39" s="254" t="s">
        <v>421</v>
      </c>
      <c r="EY39" s="254" t="s">
        <v>422</v>
      </c>
      <c r="EZ39" s="254"/>
      <c r="FA39" s="254"/>
      <c r="FB39" s="254"/>
      <c r="FC39" s="254"/>
      <c r="FD39" s="254"/>
      <c r="FE39" s="254"/>
      <c r="FF39" s="254"/>
      <c r="FG39" s="254"/>
      <c r="FH39" s="254"/>
      <c r="FI39" s="254"/>
      <c r="FJ39" s="254"/>
      <c r="FK39" s="254"/>
      <c r="FL39" s="254"/>
      <c r="FM39" s="254"/>
      <c r="FN39" s="254"/>
      <c r="FO39" s="254"/>
      <c r="FP39" s="254"/>
      <c r="FQ39" s="255"/>
      <c r="FR39" s="255"/>
      <c r="FS39" s="254"/>
      <c r="FT39" s="254"/>
      <c r="FU39" s="254"/>
      <c r="FV39" s="254"/>
      <c r="FW39" s="254"/>
      <c r="FX39" s="254"/>
      <c r="FY39" s="254"/>
      <c r="FZ39" s="254"/>
      <c r="GA39" s="254"/>
      <c r="GB39" s="254"/>
      <c r="GC39" s="254"/>
      <c r="GD39" s="254"/>
      <c r="GE39" s="254"/>
      <c r="GF39" s="254"/>
      <c r="GG39" s="254"/>
      <c r="GH39" s="254"/>
      <c r="GI39" s="254"/>
      <c r="GJ39" s="254"/>
      <c r="GK39" s="254"/>
      <c r="GL39" s="254"/>
      <c r="GM39" s="254"/>
      <c r="GN39" s="254"/>
      <c r="GO39" s="254"/>
      <c r="GP39" s="254"/>
      <c r="GQ39" s="254"/>
      <c r="GR39" s="254"/>
      <c r="GS39" s="254"/>
      <c r="GT39" s="254"/>
      <c r="GU39" s="254"/>
      <c r="GV39" s="254"/>
      <c r="GW39" s="255"/>
      <c r="GX39" s="254"/>
      <c r="GY39" s="254"/>
      <c r="GZ39" s="254"/>
      <c r="HA39" s="254"/>
      <c r="HB39" s="254"/>
      <c r="HC39" s="254"/>
      <c r="HD39" s="254"/>
      <c r="HE39" s="254"/>
      <c r="HF39" s="254"/>
      <c r="HG39" s="254"/>
      <c r="HH39" s="254"/>
      <c r="HI39" s="254"/>
      <c r="HJ39" s="254"/>
      <c r="HK39" s="254"/>
      <c r="HL39" s="254"/>
      <c r="HM39" s="254"/>
      <c r="HN39" s="254"/>
      <c r="HO39" s="254"/>
      <c r="HP39" s="254"/>
      <c r="HQ39" s="254"/>
      <c r="HR39" s="254"/>
      <c r="HS39" s="254"/>
      <c r="HT39" s="254"/>
      <c r="HU39" s="254"/>
      <c r="HV39" s="254"/>
      <c r="HW39" s="254"/>
      <c r="HX39" s="254"/>
      <c r="HY39" s="254"/>
      <c r="HZ39" s="254"/>
      <c r="IA39" s="254"/>
      <c r="IB39" s="254"/>
      <c r="IC39" s="254"/>
      <c r="ID39" s="254"/>
      <c r="IE39" s="254"/>
      <c r="IF39" s="254"/>
      <c r="IG39" s="254"/>
      <c r="IH39" s="254"/>
      <c r="II39" s="254"/>
      <c r="IJ39" s="254"/>
      <c r="IK39" s="254"/>
      <c r="IL39" s="254"/>
      <c r="IM39" s="254"/>
      <c r="IN39" s="254"/>
      <c r="IO39" s="254"/>
      <c r="IP39" s="254"/>
      <c r="IQ39" s="254"/>
      <c r="IR39" s="254"/>
      <c r="IS39" s="254"/>
      <c r="IT39" s="254"/>
      <c r="IU39" s="254"/>
      <c r="IV39" s="255"/>
      <c r="IW39" s="254"/>
      <c r="IX39" s="254"/>
      <c r="IY39" s="254"/>
      <c r="IZ39" s="254"/>
      <c r="JA39" s="254"/>
      <c r="JB39" s="254"/>
      <c r="JC39" s="254"/>
      <c r="JD39" s="254"/>
      <c r="JE39" s="254"/>
      <c r="JF39" s="254"/>
      <c r="JG39" s="254"/>
      <c r="JH39" s="254"/>
      <c r="JI39" s="254"/>
      <c r="JJ39" s="254"/>
      <c r="JK39" s="254"/>
      <c r="JL39" s="254"/>
      <c r="JM39" s="254"/>
      <c r="JN39" s="254"/>
      <c r="JO39" s="254"/>
      <c r="JP39" s="255"/>
      <c r="JQ39" s="254"/>
      <c r="JR39" s="254"/>
      <c r="JS39" s="254"/>
      <c r="JT39" s="255"/>
      <c r="JU39" s="255"/>
      <c r="JV39" s="254"/>
      <c r="JW39" s="254"/>
      <c r="JX39" s="254"/>
      <c r="JY39" s="254"/>
      <c r="JZ39" s="254"/>
      <c r="KA39" s="254"/>
      <c r="KB39" s="255"/>
      <c r="KC39" s="254"/>
      <c r="KD39" s="254"/>
      <c r="KE39" s="254"/>
      <c r="KF39" s="254"/>
      <c r="KG39" s="254"/>
      <c r="KH39" s="254"/>
      <c r="KI39" s="254"/>
      <c r="KJ39" s="254"/>
      <c r="KK39" s="254"/>
      <c r="KL39" s="254"/>
      <c r="KM39" s="254"/>
      <c r="KN39" s="254"/>
      <c r="KO39" s="254"/>
      <c r="KP39" s="254"/>
      <c r="KQ39" s="254"/>
      <c r="KR39" s="254"/>
      <c r="KS39" s="254"/>
      <c r="KT39" s="254"/>
      <c r="KU39" s="254"/>
      <c r="KV39" s="255"/>
      <c r="KW39" s="254"/>
      <c r="KX39" s="254"/>
      <c r="KY39" s="254"/>
      <c r="KZ39" s="254"/>
      <c r="LA39" s="254"/>
      <c r="LB39" s="254"/>
      <c r="LC39" s="254"/>
      <c r="LD39" s="254"/>
      <c r="LE39" s="254"/>
      <c r="LF39" s="254"/>
      <c r="LG39" s="254"/>
      <c r="LH39" s="254"/>
      <c r="LI39" s="254"/>
      <c r="LJ39" s="254"/>
      <c r="LK39" s="254"/>
      <c r="LL39" s="254"/>
      <c r="LM39" s="254"/>
      <c r="LN39" s="254"/>
      <c r="LO39" s="254"/>
      <c r="LP39" s="254"/>
      <c r="LQ39" s="254"/>
      <c r="LR39" s="254"/>
      <c r="LS39" s="254"/>
      <c r="LT39" s="254"/>
      <c r="LU39" s="254"/>
      <c r="LV39" s="254"/>
      <c r="LW39" s="254"/>
      <c r="LX39" s="254"/>
      <c r="LY39" s="254"/>
      <c r="LZ39" s="254"/>
      <c r="MA39" s="254"/>
      <c r="MB39" s="254"/>
      <c r="MC39" s="254"/>
      <c r="MD39" s="255"/>
      <c r="ME39" s="254"/>
      <c r="MF39" s="254"/>
      <c r="MG39" s="254"/>
      <c r="MH39" s="254"/>
      <c r="MI39" s="254"/>
      <c r="MJ39" s="254"/>
      <c r="MK39" s="254"/>
      <c r="ML39" s="254"/>
      <c r="MM39" s="254"/>
      <c r="MN39" s="254"/>
      <c r="MO39" s="254"/>
      <c r="MP39" s="254"/>
      <c r="MQ39" s="254"/>
      <c r="MR39" s="254"/>
      <c r="MS39" s="254"/>
      <c r="MT39" s="254"/>
      <c r="MU39" s="254"/>
      <c r="MV39" s="254"/>
      <c r="MW39" s="254"/>
      <c r="MX39" s="255"/>
      <c r="MY39" s="254"/>
      <c r="MZ39" s="254"/>
      <c r="NA39" s="254"/>
      <c r="NB39" s="254"/>
      <c r="NC39" s="254"/>
      <c r="ND39" s="254"/>
      <c r="NE39" s="254"/>
      <c r="NF39" s="254"/>
      <c r="NG39" s="254"/>
      <c r="NH39" s="254"/>
      <c r="NI39" s="254"/>
      <c r="NJ39" s="254"/>
      <c r="NK39" s="254"/>
      <c r="NL39" s="254"/>
      <c r="NM39" s="254"/>
      <c r="NN39" s="254"/>
      <c r="NO39" s="254"/>
      <c r="NP39" s="254"/>
      <c r="NQ39" s="254"/>
      <c r="NR39" s="254"/>
      <c r="NS39" s="254"/>
      <c r="NT39" s="254"/>
      <c r="NU39" s="254"/>
      <c r="NV39" s="254"/>
      <c r="NW39" s="254"/>
      <c r="NX39" s="254"/>
      <c r="NY39" s="254"/>
      <c r="NZ39" s="254"/>
      <c r="OA39" s="254"/>
      <c r="OB39" s="254"/>
      <c r="OC39" s="254"/>
      <c r="OD39" s="255"/>
      <c r="OE39" s="255"/>
      <c r="OF39" s="254"/>
      <c r="OG39" s="254"/>
      <c r="OH39" s="254"/>
      <c r="OI39" s="254"/>
      <c r="OJ39" s="254"/>
      <c r="OK39" s="254"/>
      <c r="OL39" s="254"/>
      <c r="OM39" s="254"/>
      <c r="ON39" s="254"/>
      <c r="OO39" s="254"/>
      <c r="OP39" s="254"/>
      <c r="OQ39" s="254"/>
      <c r="OR39" s="254"/>
      <c r="OS39" s="255"/>
      <c r="OT39" s="254"/>
      <c r="OU39" s="254"/>
      <c r="OV39" s="254"/>
      <c r="OW39" s="254"/>
      <c r="OX39" s="254"/>
      <c r="OY39" s="255"/>
      <c r="OZ39" s="254"/>
      <c r="PA39" s="254"/>
      <c r="PB39" s="254"/>
      <c r="PC39" s="254"/>
      <c r="PD39" s="254"/>
      <c r="PE39" s="254"/>
      <c r="PF39" s="254"/>
      <c r="PG39" s="254"/>
      <c r="PH39" s="254"/>
      <c r="PI39" s="254"/>
      <c r="PJ39" s="254"/>
      <c r="PK39" s="254"/>
      <c r="PL39" s="254"/>
      <c r="PM39" s="254"/>
      <c r="PN39" s="254"/>
      <c r="PO39" s="254"/>
      <c r="PP39" s="254"/>
      <c r="PQ39" s="254"/>
      <c r="PR39" s="254"/>
      <c r="PS39" s="254"/>
      <c r="PT39" s="254"/>
      <c r="PU39" s="254"/>
      <c r="PV39" s="254"/>
      <c r="PW39" s="254"/>
      <c r="PX39" s="254"/>
      <c r="PY39" s="254"/>
      <c r="PZ39" s="254"/>
      <c r="QA39" s="254"/>
      <c r="QB39" s="254"/>
      <c r="QC39" s="254"/>
      <c r="QD39" s="254"/>
      <c r="QE39" s="254"/>
      <c r="QF39" s="254"/>
      <c r="QG39" s="254"/>
      <c r="QH39" s="254"/>
      <c r="QI39" s="256"/>
    </row>
    <row r="40" spans="1:451" ht="18" customHeight="1" collapsed="1" x14ac:dyDescent="0.2">
      <c r="A40" s="251" t="s">
        <v>425</v>
      </c>
      <c r="B40" s="245"/>
      <c r="C40" s="242"/>
      <c r="D40" s="242"/>
      <c r="E40" s="242"/>
      <c r="F40" s="242"/>
      <c r="G40" s="242"/>
      <c r="H40" s="242"/>
      <c r="I40" s="242"/>
      <c r="J40" s="242"/>
      <c r="K40" s="242"/>
      <c r="L40" s="242"/>
      <c r="M40" s="242"/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42"/>
      <c r="Y40" s="242"/>
      <c r="Z40" s="242"/>
      <c r="AA40" s="242"/>
      <c r="AB40" s="242"/>
      <c r="AC40" s="243"/>
      <c r="AD40" s="242"/>
      <c r="AE40" s="242"/>
      <c r="AF40" s="242"/>
      <c r="AG40" s="242"/>
      <c r="AH40" s="242"/>
      <c r="AI40" s="242"/>
      <c r="AJ40" s="242"/>
      <c r="AK40" s="242"/>
      <c r="AL40" s="242"/>
      <c r="AM40" s="242"/>
      <c r="AN40" s="242"/>
      <c r="AO40" s="242"/>
      <c r="AP40" s="242"/>
      <c r="AQ40" s="242"/>
      <c r="AR40" s="243"/>
      <c r="AS40" s="242"/>
      <c r="AT40" s="242"/>
      <c r="AU40" s="242"/>
      <c r="AV40" s="242"/>
      <c r="AW40" s="242"/>
      <c r="AX40" s="242"/>
      <c r="AY40" s="242"/>
      <c r="AZ40" s="242"/>
      <c r="BA40" s="242"/>
      <c r="BB40" s="242"/>
      <c r="BC40" s="242"/>
      <c r="BD40" s="242"/>
      <c r="BE40" s="242"/>
      <c r="BF40" s="257"/>
      <c r="BG40" s="252" t="s">
        <v>426</v>
      </c>
      <c r="BH40" s="254" t="s">
        <v>427</v>
      </c>
      <c r="BI40" s="254" t="s">
        <v>428</v>
      </c>
      <c r="BJ40" s="254" t="s">
        <v>429</v>
      </c>
      <c r="BK40" s="254" t="s">
        <v>430</v>
      </c>
      <c r="BL40" s="253" t="s">
        <v>335</v>
      </c>
      <c r="BM40" s="254" t="s">
        <v>336</v>
      </c>
      <c r="BN40" s="254" t="s">
        <v>337</v>
      </c>
      <c r="BO40" s="254" t="s">
        <v>338</v>
      </c>
      <c r="BP40" s="254" t="s">
        <v>339</v>
      </c>
      <c r="BQ40" s="254" t="s">
        <v>340</v>
      </c>
      <c r="BR40" s="254" t="s">
        <v>341</v>
      </c>
      <c r="BS40" s="254" t="s">
        <v>342</v>
      </c>
      <c r="BT40" s="254" t="s">
        <v>343</v>
      </c>
      <c r="BU40" s="254" t="s">
        <v>344</v>
      </c>
      <c r="BV40" s="254" t="s">
        <v>345</v>
      </c>
      <c r="BW40" s="254" t="s">
        <v>346</v>
      </c>
      <c r="BX40" s="254" t="s">
        <v>347</v>
      </c>
      <c r="BY40" s="254" t="s">
        <v>348</v>
      </c>
      <c r="BZ40" s="254" t="s">
        <v>349</v>
      </c>
      <c r="CA40" s="254" t="s">
        <v>350</v>
      </c>
      <c r="CB40" s="254" t="s">
        <v>351</v>
      </c>
      <c r="CC40" s="255"/>
      <c r="CD40" s="255"/>
      <c r="CE40" s="254" t="s">
        <v>352</v>
      </c>
      <c r="CF40" s="254" t="s">
        <v>353</v>
      </c>
      <c r="CG40" s="254" t="s">
        <v>354</v>
      </c>
      <c r="CH40" s="254" t="s">
        <v>355</v>
      </c>
      <c r="CI40" s="254" t="s">
        <v>356</v>
      </c>
      <c r="CJ40" s="254" t="s">
        <v>357</v>
      </c>
      <c r="CK40" s="254" t="s">
        <v>358</v>
      </c>
      <c r="CL40" s="254" t="s">
        <v>359</v>
      </c>
      <c r="CM40" s="254" t="s">
        <v>360</v>
      </c>
      <c r="CN40" s="254" t="s">
        <v>361</v>
      </c>
      <c r="CO40" s="254" t="s">
        <v>362</v>
      </c>
      <c r="CP40" s="254" t="s">
        <v>363</v>
      </c>
      <c r="CQ40" s="254" t="s">
        <v>364</v>
      </c>
      <c r="CR40" s="255"/>
      <c r="CS40" s="254" t="s">
        <v>365</v>
      </c>
      <c r="CT40" s="254" t="s">
        <v>366</v>
      </c>
      <c r="CU40" s="254" t="s">
        <v>367</v>
      </c>
      <c r="CV40" s="254" t="s">
        <v>368</v>
      </c>
      <c r="CW40" s="254" t="s">
        <v>369</v>
      </c>
      <c r="CX40" s="255"/>
      <c r="CY40" s="254" t="s">
        <v>370</v>
      </c>
      <c r="CZ40" s="254" t="s">
        <v>371</v>
      </c>
      <c r="DA40" s="254" t="s">
        <v>372</v>
      </c>
      <c r="DB40" s="254" t="s">
        <v>373</v>
      </c>
      <c r="DC40" s="254" t="s">
        <v>374</v>
      </c>
      <c r="DD40" s="254" t="s">
        <v>375</v>
      </c>
      <c r="DE40" s="254" t="s">
        <v>376</v>
      </c>
      <c r="DF40" s="254" t="s">
        <v>377</v>
      </c>
      <c r="DG40" s="254" t="s">
        <v>378</v>
      </c>
      <c r="DH40" s="254" t="s">
        <v>379</v>
      </c>
      <c r="DI40" s="254" t="s">
        <v>380</v>
      </c>
      <c r="DJ40" s="254" t="s">
        <v>381</v>
      </c>
      <c r="DK40" s="254" t="s">
        <v>382</v>
      </c>
      <c r="DL40" s="254" t="s">
        <v>383</v>
      </c>
      <c r="DM40" s="254" t="s">
        <v>384</v>
      </c>
      <c r="DN40" s="254" t="s">
        <v>385</v>
      </c>
      <c r="DO40" s="254" t="s">
        <v>386</v>
      </c>
      <c r="DP40" s="254" t="s">
        <v>387</v>
      </c>
      <c r="DQ40" s="254" t="s">
        <v>388</v>
      </c>
      <c r="DR40" s="254" t="s">
        <v>389</v>
      </c>
      <c r="DS40" s="254" t="s">
        <v>390</v>
      </c>
      <c r="DT40" s="254" t="s">
        <v>391</v>
      </c>
      <c r="DU40" s="254" t="s">
        <v>392</v>
      </c>
      <c r="DV40" s="254" t="s">
        <v>393</v>
      </c>
      <c r="DW40" s="254" t="s">
        <v>394</v>
      </c>
      <c r="DX40" s="254" t="s">
        <v>395</v>
      </c>
      <c r="DY40" s="254" t="s">
        <v>396</v>
      </c>
      <c r="DZ40" s="254" t="s">
        <v>397</v>
      </c>
      <c r="EA40" s="254" t="s">
        <v>398</v>
      </c>
      <c r="EB40" s="254" t="s">
        <v>399</v>
      </c>
      <c r="EC40" s="254" t="s">
        <v>400</v>
      </c>
      <c r="ED40" s="254" t="s">
        <v>401</v>
      </c>
      <c r="EE40" s="254" t="s">
        <v>402</v>
      </c>
      <c r="EF40" s="254" t="s">
        <v>403</v>
      </c>
      <c r="EG40" s="254" t="s">
        <v>404</v>
      </c>
      <c r="EH40" s="254" t="s">
        <v>405</v>
      </c>
      <c r="EI40" s="254" t="s">
        <v>406</v>
      </c>
      <c r="EJ40" s="254" t="s">
        <v>407</v>
      </c>
      <c r="EK40" s="254" t="s">
        <v>408</v>
      </c>
      <c r="EL40" s="254" t="s">
        <v>409</v>
      </c>
      <c r="EM40" s="254" t="s">
        <v>410</v>
      </c>
      <c r="EN40" s="254" t="s">
        <v>411</v>
      </c>
      <c r="EO40" s="254" t="s">
        <v>412</v>
      </c>
      <c r="EP40" s="254" t="s">
        <v>413</v>
      </c>
      <c r="EQ40" s="254" t="s">
        <v>414</v>
      </c>
      <c r="ER40" s="254" t="s">
        <v>415</v>
      </c>
      <c r="ES40" s="254" t="s">
        <v>416</v>
      </c>
      <c r="ET40" s="254" t="s">
        <v>417</v>
      </c>
      <c r="EU40" s="254" t="s">
        <v>418</v>
      </c>
      <c r="EV40" s="254" t="s">
        <v>419</v>
      </c>
      <c r="EW40" s="254" t="s">
        <v>420</v>
      </c>
      <c r="EX40" s="254" t="s">
        <v>421</v>
      </c>
      <c r="EY40" s="254" t="s">
        <v>422</v>
      </c>
      <c r="EZ40" s="254"/>
      <c r="FA40" s="254"/>
      <c r="FB40" s="254"/>
      <c r="FC40" s="254"/>
      <c r="FD40" s="254"/>
      <c r="FE40" s="254"/>
      <c r="FF40" s="254"/>
      <c r="FG40" s="254"/>
      <c r="FH40" s="254"/>
      <c r="FI40" s="254"/>
      <c r="FJ40" s="254"/>
      <c r="FK40" s="254"/>
      <c r="FL40" s="254"/>
      <c r="FM40" s="254"/>
      <c r="FN40" s="254"/>
      <c r="FO40" s="254"/>
      <c r="FP40" s="254"/>
      <c r="FQ40" s="255"/>
      <c r="FR40" s="255"/>
      <c r="FS40" s="254"/>
      <c r="FT40" s="254"/>
      <c r="FU40" s="254"/>
      <c r="FV40" s="254"/>
      <c r="FW40" s="254"/>
      <c r="FX40" s="254"/>
      <c r="FY40" s="254"/>
      <c r="FZ40" s="254"/>
      <c r="GA40" s="254"/>
      <c r="GB40" s="254"/>
      <c r="GC40" s="254"/>
      <c r="GD40" s="254"/>
      <c r="GE40" s="254"/>
      <c r="GF40" s="254"/>
      <c r="GG40" s="254"/>
      <c r="GH40" s="254"/>
      <c r="GI40" s="254"/>
      <c r="GJ40" s="254"/>
      <c r="GK40" s="254"/>
      <c r="GL40" s="254"/>
      <c r="GM40" s="254"/>
      <c r="GN40" s="254"/>
      <c r="GO40" s="254"/>
      <c r="GP40" s="254"/>
      <c r="GQ40" s="254"/>
      <c r="GR40" s="254"/>
      <c r="GS40" s="254"/>
      <c r="GT40" s="254"/>
      <c r="GU40" s="254"/>
      <c r="GV40" s="254"/>
      <c r="GW40" s="255"/>
      <c r="GX40" s="254"/>
      <c r="GY40" s="254"/>
      <c r="GZ40" s="254"/>
      <c r="HA40" s="254"/>
      <c r="HB40" s="254"/>
      <c r="HC40" s="254"/>
      <c r="HD40" s="254"/>
      <c r="HE40" s="254"/>
      <c r="HF40" s="254"/>
      <c r="HG40" s="254"/>
      <c r="HH40" s="254"/>
      <c r="HI40" s="254"/>
      <c r="HJ40" s="254"/>
      <c r="HK40" s="254"/>
      <c r="HL40" s="254"/>
      <c r="HM40" s="254"/>
      <c r="HN40" s="254"/>
      <c r="HO40" s="254"/>
      <c r="HP40" s="254"/>
      <c r="HQ40" s="254"/>
      <c r="HR40" s="254"/>
      <c r="HS40" s="254"/>
      <c r="HT40" s="254"/>
      <c r="HU40" s="254"/>
      <c r="HV40" s="254"/>
      <c r="HW40" s="254"/>
      <c r="HX40" s="254"/>
      <c r="HY40" s="254"/>
      <c r="HZ40" s="254"/>
      <c r="IA40" s="254"/>
      <c r="IB40" s="254"/>
      <c r="IC40" s="254"/>
      <c r="ID40" s="254"/>
      <c r="IE40" s="254"/>
      <c r="IF40" s="254"/>
      <c r="IG40" s="254"/>
      <c r="IH40" s="254"/>
      <c r="II40" s="254"/>
      <c r="IJ40" s="254"/>
      <c r="IK40" s="254"/>
      <c r="IL40" s="254"/>
      <c r="IM40" s="254"/>
      <c r="IN40" s="254"/>
      <c r="IO40" s="254"/>
      <c r="IP40" s="254"/>
      <c r="IQ40" s="254"/>
      <c r="IR40" s="254"/>
      <c r="IS40" s="254"/>
      <c r="IT40" s="254"/>
      <c r="IU40" s="254"/>
      <c r="IV40" s="255"/>
      <c r="IW40" s="254"/>
      <c r="IX40" s="254"/>
      <c r="IY40" s="254"/>
      <c r="IZ40" s="254"/>
      <c r="JA40" s="254"/>
      <c r="JB40" s="254"/>
      <c r="JC40" s="254"/>
      <c r="JD40" s="254"/>
      <c r="JE40" s="254"/>
      <c r="JF40" s="254"/>
      <c r="JG40" s="254"/>
      <c r="JH40" s="254"/>
      <c r="JI40" s="254"/>
      <c r="JJ40" s="254"/>
      <c r="JK40" s="254"/>
      <c r="JL40" s="254"/>
      <c r="JM40" s="254"/>
      <c r="JN40" s="254"/>
      <c r="JO40" s="254"/>
      <c r="JP40" s="255"/>
      <c r="JQ40" s="254"/>
      <c r="JR40" s="254"/>
      <c r="JS40" s="254"/>
      <c r="JT40" s="255"/>
      <c r="JU40" s="255"/>
      <c r="JV40" s="254"/>
      <c r="JW40" s="254"/>
      <c r="JX40" s="254"/>
      <c r="JY40" s="254"/>
      <c r="JZ40" s="254"/>
      <c r="KA40" s="254"/>
      <c r="KB40" s="255"/>
      <c r="KC40" s="254"/>
      <c r="KD40" s="254"/>
      <c r="KE40" s="254"/>
      <c r="KF40" s="254"/>
      <c r="KG40" s="254"/>
      <c r="KH40" s="254"/>
      <c r="KI40" s="254"/>
      <c r="KJ40" s="254"/>
      <c r="KK40" s="254"/>
      <c r="KL40" s="254"/>
      <c r="KM40" s="254"/>
      <c r="KN40" s="254"/>
      <c r="KO40" s="254"/>
      <c r="KP40" s="254"/>
      <c r="KQ40" s="254"/>
      <c r="KR40" s="254"/>
      <c r="KS40" s="254"/>
      <c r="KT40" s="254"/>
      <c r="KU40" s="254"/>
      <c r="KV40" s="255"/>
      <c r="KW40" s="254"/>
      <c r="KX40" s="254"/>
      <c r="KY40" s="254"/>
      <c r="KZ40" s="254"/>
      <c r="LA40" s="254"/>
      <c r="LB40" s="254"/>
      <c r="LC40" s="254"/>
      <c r="LD40" s="254"/>
      <c r="LE40" s="254"/>
      <c r="LF40" s="254"/>
      <c r="LG40" s="254"/>
      <c r="LH40" s="254"/>
      <c r="LI40" s="254"/>
      <c r="LJ40" s="254"/>
      <c r="LK40" s="254"/>
      <c r="LL40" s="254"/>
      <c r="LM40" s="254"/>
      <c r="LN40" s="254"/>
      <c r="LO40" s="254"/>
      <c r="LP40" s="254"/>
      <c r="LQ40" s="254"/>
      <c r="LR40" s="254"/>
      <c r="LS40" s="254"/>
      <c r="LT40" s="254"/>
      <c r="LU40" s="254"/>
      <c r="LV40" s="254"/>
      <c r="LW40" s="254"/>
      <c r="LX40" s="254"/>
      <c r="LY40" s="254"/>
      <c r="LZ40" s="254"/>
      <c r="MA40" s="254"/>
      <c r="MB40" s="254"/>
      <c r="MC40" s="254"/>
      <c r="MD40" s="255"/>
      <c r="ME40" s="254"/>
      <c r="MF40" s="254"/>
      <c r="MG40" s="254"/>
      <c r="MH40" s="254"/>
      <c r="MI40" s="254"/>
      <c r="MJ40" s="254"/>
      <c r="MK40" s="254"/>
      <c r="ML40" s="254"/>
      <c r="MM40" s="254"/>
      <c r="MN40" s="254"/>
      <c r="MO40" s="254"/>
      <c r="MP40" s="254"/>
      <c r="MQ40" s="254"/>
      <c r="MR40" s="254"/>
      <c r="MS40" s="254"/>
      <c r="MT40" s="254"/>
      <c r="MU40" s="254"/>
      <c r="MV40" s="254"/>
      <c r="MW40" s="254"/>
      <c r="MX40" s="255"/>
      <c r="MY40" s="254"/>
      <c r="MZ40" s="254"/>
      <c r="NA40" s="254"/>
      <c r="NB40" s="254"/>
      <c r="NC40" s="254"/>
      <c r="ND40" s="254"/>
      <c r="NE40" s="254"/>
      <c r="NF40" s="254"/>
      <c r="NG40" s="254"/>
      <c r="NH40" s="254"/>
      <c r="NI40" s="254"/>
      <c r="NJ40" s="254"/>
      <c r="NK40" s="254"/>
      <c r="NL40" s="254"/>
      <c r="NM40" s="254"/>
      <c r="NN40" s="254"/>
      <c r="NO40" s="254"/>
      <c r="NP40" s="254"/>
      <c r="NQ40" s="254"/>
      <c r="NR40" s="254"/>
      <c r="NS40" s="254"/>
      <c r="NT40" s="254"/>
      <c r="NU40" s="254"/>
      <c r="NV40" s="254"/>
      <c r="NW40" s="254"/>
      <c r="NX40" s="254"/>
      <c r="NY40" s="254"/>
      <c r="NZ40" s="254"/>
      <c r="OA40" s="254"/>
      <c r="OB40" s="254"/>
      <c r="OC40" s="254"/>
      <c r="OD40" s="255"/>
      <c r="OE40" s="255"/>
      <c r="OF40" s="254"/>
      <c r="OG40" s="254"/>
      <c r="OH40" s="254"/>
      <c r="OI40" s="254"/>
      <c r="OJ40" s="254"/>
      <c r="OK40" s="254"/>
      <c r="OL40" s="254"/>
      <c r="OM40" s="254"/>
      <c r="ON40" s="254"/>
      <c r="OO40" s="254"/>
      <c r="OP40" s="254"/>
      <c r="OQ40" s="254"/>
      <c r="OR40" s="254"/>
      <c r="OS40" s="255"/>
      <c r="OT40" s="254"/>
      <c r="OU40" s="254"/>
      <c r="OV40" s="254"/>
      <c r="OW40" s="254"/>
      <c r="OX40" s="254"/>
      <c r="OY40" s="255"/>
      <c r="OZ40" s="254"/>
      <c r="PA40" s="254"/>
      <c r="PB40" s="254"/>
      <c r="PC40" s="254"/>
      <c r="PD40" s="254"/>
      <c r="PE40" s="254"/>
      <c r="PF40" s="254"/>
      <c r="PG40" s="254"/>
      <c r="PH40" s="254"/>
      <c r="PI40" s="254"/>
      <c r="PJ40" s="254"/>
      <c r="PK40" s="254"/>
      <c r="PL40" s="254"/>
      <c r="PM40" s="254"/>
      <c r="PN40" s="254"/>
      <c r="PO40" s="254"/>
      <c r="PP40" s="254"/>
      <c r="PQ40" s="254"/>
      <c r="PR40" s="254"/>
      <c r="PS40" s="254"/>
      <c r="PT40" s="254"/>
      <c r="PU40" s="254"/>
      <c r="PV40" s="254"/>
      <c r="PW40" s="254"/>
      <c r="PX40" s="254"/>
      <c r="PY40" s="254"/>
      <c r="PZ40" s="254"/>
      <c r="QA40" s="254"/>
      <c r="QB40" s="254"/>
      <c r="QC40" s="254"/>
      <c r="QD40" s="254"/>
      <c r="QE40" s="254"/>
      <c r="QF40" s="254"/>
      <c r="QG40" s="254"/>
      <c r="QH40" s="254"/>
      <c r="QI40" s="256"/>
    </row>
    <row r="41" spans="1:451" ht="18" customHeight="1" x14ac:dyDescent="0.2">
      <c r="A41" s="250" t="s">
        <v>431</v>
      </c>
      <c r="B41" s="245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  <c r="Y41" s="242"/>
      <c r="Z41" s="242"/>
      <c r="AA41" s="242"/>
      <c r="AB41" s="242"/>
      <c r="AC41" s="243"/>
      <c r="AD41" s="242"/>
      <c r="AE41" s="242"/>
      <c r="AF41" s="242"/>
      <c r="AG41" s="242"/>
      <c r="AH41" s="242"/>
      <c r="AI41" s="242"/>
      <c r="AJ41" s="242"/>
      <c r="AK41" s="242"/>
      <c r="AL41" s="242"/>
      <c r="AM41" s="242"/>
      <c r="AN41" s="242"/>
      <c r="AO41" s="242"/>
      <c r="AP41" s="242"/>
      <c r="AQ41" s="242"/>
      <c r="AR41" s="243"/>
      <c r="AS41" s="242"/>
      <c r="AT41" s="242"/>
      <c r="AU41" s="242"/>
      <c r="AV41" s="242"/>
      <c r="AW41" s="242"/>
      <c r="AX41" s="242"/>
      <c r="AY41" s="242"/>
      <c r="AZ41" s="242"/>
      <c r="BA41" s="242"/>
      <c r="BB41" s="242"/>
      <c r="BC41" s="242"/>
      <c r="BD41" s="242"/>
      <c r="BE41" s="242"/>
      <c r="BF41" s="258">
        <v>1</v>
      </c>
      <c r="BG41" s="258">
        <v>2</v>
      </c>
      <c r="BH41" s="258">
        <v>3</v>
      </c>
      <c r="BI41" s="258">
        <v>4</v>
      </c>
      <c r="BJ41" s="258">
        <v>5</v>
      </c>
      <c r="BK41" s="258">
        <v>6</v>
      </c>
      <c r="BL41" s="258">
        <v>7</v>
      </c>
      <c r="BM41" s="258">
        <v>8</v>
      </c>
      <c r="BN41" s="258">
        <v>9</v>
      </c>
      <c r="BO41" s="258">
        <v>10</v>
      </c>
      <c r="BP41" s="258">
        <v>11</v>
      </c>
      <c r="BQ41" s="258">
        <v>12</v>
      </c>
      <c r="BR41" s="258">
        <v>13</v>
      </c>
      <c r="BS41" s="258">
        <v>14</v>
      </c>
      <c r="BT41" s="258">
        <v>15</v>
      </c>
      <c r="BU41" s="258">
        <v>16</v>
      </c>
      <c r="BV41" s="258">
        <v>17</v>
      </c>
      <c r="BW41" s="258">
        <v>18</v>
      </c>
      <c r="BX41" s="258">
        <v>19</v>
      </c>
      <c r="BY41" s="258">
        <v>20</v>
      </c>
      <c r="BZ41" s="258">
        <v>21</v>
      </c>
      <c r="CA41" s="258">
        <v>22</v>
      </c>
      <c r="CB41" s="258">
        <v>23</v>
      </c>
      <c r="CC41" s="259"/>
      <c r="CD41" s="259"/>
      <c r="CE41" s="258">
        <v>24</v>
      </c>
      <c r="CF41" s="258">
        <v>25</v>
      </c>
      <c r="CG41" s="258">
        <v>26</v>
      </c>
      <c r="CH41" s="258">
        <v>27</v>
      </c>
      <c r="CI41" s="258">
        <v>28</v>
      </c>
      <c r="CJ41" s="258">
        <v>29</v>
      </c>
      <c r="CK41" s="258">
        <v>30</v>
      </c>
      <c r="CL41" s="258">
        <v>31</v>
      </c>
      <c r="CM41" s="258">
        <v>32</v>
      </c>
      <c r="CN41" s="258">
        <v>33</v>
      </c>
      <c r="CO41" s="258">
        <v>34</v>
      </c>
      <c r="CP41" s="258">
        <v>35</v>
      </c>
      <c r="CQ41" s="258">
        <v>36</v>
      </c>
      <c r="CR41" s="259"/>
      <c r="CS41" s="258">
        <v>37</v>
      </c>
      <c r="CT41" s="258">
        <v>38</v>
      </c>
      <c r="CU41" s="258">
        <v>39</v>
      </c>
      <c r="CV41" s="258">
        <v>40</v>
      </c>
      <c r="CW41" s="258">
        <v>41</v>
      </c>
      <c r="CX41" s="259"/>
      <c r="CY41" s="258">
        <v>42</v>
      </c>
      <c r="CZ41" s="258">
        <v>43</v>
      </c>
      <c r="DA41" s="258">
        <v>44</v>
      </c>
      <c r="DB41" s="258">
        <v>45</v>
      </c>
      <c r="DC41" s="258">
        <v>46</v>
      </c>
      <c r="DD41" s="258">
        <v>47</v>
      </c>
      <c r="DE41" s="258">
        <v>48</v>
      </c>
      <c r="DF41" s="258">
        <v>49</v>
      </c>
      <c r="DG41" s="258">
        <v>50</v>
      </c>
      <c r="DH41" s="258">
        <v>51</v>
      </c>
      <c r="DI41" s="258">
        <v>52</v>
      </c>
      <c r="DJ41" s="258">
        <v>53</v>
      </c>
      <c r="DK41" s="258">
        <v>54</v>
      </c>
      <c r="DL41" s="258">
        <v>55</v>
      </c>
      <c r="DM41" s="258">
        <v>56</v>
      </c>
      <c r="DN41" s="258">
        <v>57</v>
      </c>
      <c r="DO41" s="258">
        <v>58</v>
      </c>
      <c r="DP41" s="258">
        <v>59</v>
      </c>
      <c r="DQ41" s="258">
        <v>60</v>
      </c>
      <c r="DR41" s="258">
        <v>61</v>
      </c>
      <c r="DS41" s="258">
        <v>62</v>
      </c>
      <c r="DT41" s="258">
        <v>63</v>
      </c>
      <c r="DU41" s="258">
        <v>64</v>
      </c>
      <c r="DV41" s="258">
        <v>65</v>
      </c>
      <c r="DW41" s="258">
        <v>66</v>
      </c>
      <c r="DX41" s="258">
        <v>67</v>
      </c>
      <c r="DY41" s="258">
        <v>68</v>
      </c>
      <c r="DZ41" s="258">
        <v>69</v>
      </c>
      <c r="EA41" s="258">
        <v>70</v>
      </c>
      <c r="EB41" s="258">
        <v>71</v>
      </c>
      <c r="EC41" s="258">
        <v>72</v>
      </c>
      <c r="ED41" s="258">
        <v>73</v>
      </c>
      <c r="EE41" s="258">
        <v>74</v>
      </c>
      <c r="EF41" s="258">
        <v>75</v>
      </c>
      <c r="EG41" s="258">
        <v>76</v>
      </c>
      <c r="EH41" s="258">
        <v>77</v>
      </c>
      <c r="EI41" s="258">
        <v>78</v>
      </c>
      <c r="EJ41" s="258">
        <v>79</v>
      </c>
      <c r="EK41" s="258">
        <v>80</v>
      </c>
      <c r="EL41" s="258">
        <v>81</v>
      </c>
      <c r="EM41" s="258">
        <v>82</v>
      </c>
      <c r="EN41" s="258">
        <v>83</v>
      </c>
      <c r="EO41" s="258">
        <v>84</v>
      </c>
      <c r="EP41" s="258">
        <v>85</v>
      </c>
      <c r="EQ41" s="258">
        <v>86</v>
      </c>
      <c r="ER41" s="258">
        <v>87</v>
      </c>
      <c r="ES41" s="258">
        <v>88</v>
      </c>
      <c r="ET41" s="258">
        <v>89</v>
      </c>
      <c r="EU41" s="258">
        <v>90</v>
      </c>
      <c r="EV41" s="258">
        <v>91</v>
      </c>
      <c r="EW41" s="258">
        <v>92</v>
      </c>
      <c r="EX41" s="258">
        <v>93</v>
      </c>
      <c r="EY41" s="258">
        <v>94</v>
      </c>
      <c r="EZ41" s="258">
        <v>95</v>
      </c>
      <c r="FA41" s="258">
        <v>96</v>
      </c>
      <c r="FB41" s="258"/>
      <c r="FC41" s="258"/>
      <c r="FD41" s="258"/>
      <c r="FE41" s="258"/>
      <c r="FF41" s="258"/>
      <c r="FG41" s="258"/>
      <c r="FH41" s="258"/>
      <c r="FI41" s="258"/>
      <c r="FJ41" s="258"/>
      <c r="FK41" s="258"/>
      <c r="FL41" s="258"/>
      <c r="FM41" s="258"/>
      <c r="FN41" s="258"/>
      <c r="FO41" s="258"/>
      <c r="FP41" s="258"/>
      <c r="FQ41" s="259"/>
      <c r="FR41" s="259"/>
      <c r="FS41" s="258"/>
      <c r="FT41" s="258"/>
      <c r="FU41" s="258"/>
      <c r="FV41" s="258"/>
      <c r="FW41" s="258"/>
      <c r="FX41" s="258"/>
      <c r="FY41" s="258"/>
      <c r="FZ41" s="258"/>
      <c r="GA41" s="258"/>
      <c r="GB41" s="258"/>
      <c r="GC41" s="258"/>
      <c r="GD41" s="258"/>
      <c r="GE41" s="258"/>
      <c r="GF41" s="258"/>
      <c r="GG41" s="258"/>
      <c r="GH41" s="258"/>
      <c r="GI41" s="258"/>
      <c r="GJ41" s="258"/>
      <c r="GK41" s="258"/>
      <c r="GL41" s="258"/>
      <c r="GM41" s="258"/>
      <c r="GN41" s="258"/>
      <c r="GO41" s="258"/>
      <c r="GP41" s="258"/>
      <c r="GQ41" s="258"/>
      <c r="GR41" s="258"/>
      <c r="GS41" s="258"/>
      <c r="GT41" s="258"/>
      <c r="GU41" s="258"/>
      <c r="GV41" s="258"/>
      <c r="GW41" s="259"/>
      <c r="GX41" s="258"/>
      <c r="GY41" s="258"/>
      <c r="GZ41" s="258"/>
      <c r="HA41" s="258"/>
      <c r="HB41" s="258"/>
      <c r="HC41" s="258"/>
      <c r="HD41" s="258"/>
      <c r="HE41" s="258"/>
      <c r="HF41" s="258"/>
      <c r="HG41" s="258"/>
      <c r="HH41" s="258"/>
      <c r="HI41" s="258"/>
      <c r="HJ41" s="258"/>
      <c r="HK41" s="258"/>
      <c r="HL41" s="258"/>
      <c r="HM41" s="258"/>
      <c r="HN41" s="258"/>
      <c r="HO41" s="258"/>
      <c r="HP41" s="258"/>
      <c r="HQ41" s="258"/>
      <c r="HR41" s="258"/>
      <c r="HS41" s="258"/>
      <c r="HT41" s="258"/>
      <c r="HU41" s="258"/>
      <c r="HV41" s="258"/>
      <c r="HW41" s="258"/>
      <c r="HX41" s="258"/>
      <c r="HY41" s="258"/>
      <c r="HZ41" s="258"/>
      <c r="IA41" s="258"/>
      <c r="IB41" s="258"/>
      <c r="IC41" s="258"/>
      <c r="ID41" s="258"/>
      <c r="IE41" s="258"/>
      <c r="IF41" s="258"/>
      <c r="IG41" s="258"/>
      <c r="IH41" s="258"/>
      <c r="II41" s="258"/>
      <c r="IJ41" s="258"/>
      <c r="IK41" s="258"/>
      <c r="IL41" s="258"/>
      <c r="IM41" s="258"/>
      <c r="IN41" s="258"/>
      <c r="IO41" s="258"/>
      <c r="IP41" s="258"/>
      <c r="IQ41" s="258"/>
      <c r="IR41" s="258"/>
      <c r="IS41" s="258"/>
      <c r="IT41" s="258"/>
      <c r="IU41" s="258"/>
      <c r="IV41" s="259"/>
      <c r="IW41" s="258"/>
      <c r="IX41" s="258"/>
      <c r="IY41" s="258"/>
      <c r="IZ41" s="258"/>
      <c r="JA41" s="258"/>
      <c r="JB41" s="258"/>
      <c r="JC41" s="258"/>
      <c r="JD41" s="258"/>
      <c r="JE41" s="258"/>
      <c r="JF41" s="258"/>
      <c r="JG41" s="258"/>
      <c r="JH41" s="258"/>
      <c r="JI41" s="258"/>
      <c r="JJ41" s="258"/>
      <c r="JK41" s="258"/>
      <c r="JL41" s="258"/>
      <c r="JM41" s="258"/>
      <c r="JN41" s="258"/>
      <c r="JO41" s="258"/>
      <c r="JP41" s="259"/>
      <c r="JQ41" s="258"/>
      <c r="JR41" s="258"/>
      <c r="JS41" s="258"/>
      <c r="JT41" s="259"/>
      <c r="JU41" s="259"/>
      <c r="JV41" s="258"/>
      <c r="JW41" s="258"/>
      <c r="JX41" s="258"/>
      <c r="JY41" s="258"/>
      <c r="JZ41" s="258"/>
      <c r="KA41" s="258"/>
      <c r="KB41" s="259"/>
      <c r="KC41" s="258"/>
      <c r="KD41" s="258"/>
      <c r="KE41" s="258"/>
      <c r="KF41" s="258"/>
      <c r="KG41" s="258"/>
      <c r="KH41" s="258"/>
      <c r="KI41" s="258"/>
      <c r="KJ41" s="258"/>
      <c r="KK41" s="258"/>
      <c r="KL41" s="258"/>
      <c r="KM41" s="258"/>
      <c r="KN41" s="258"/>
      <c r="KO41" s="258"/>
      <c r="KP41" s="258"/>
      <c r="KQ41" s="258"/>
      <c r="KR41" s="258"/>
      <c r="KS41" s="258"/>
      <c r="KT41" s="258"/>
      <c r="KU41" s="258"/>
      <c r="KV41" s="259"/>
      <c r="KW41" s="258"/>
      <c r="KX41" s="258"/>
      <c r="KY41" s="258"/>
      <c r="KZ41" s="258"/>
      <c r="LA41" s="258"/>
      <c r="LB41" s="258"/>
      <c r="LC41" s="258"/>
      <c r="LD41" s="258"/>
      <c r="LE41" s="258"/>
      <c r="LF41" s="258"/>
      <c r="LG41" s="258"/>
      <c r="LH41" s="258"/>
      <c r="LI41" s="258"/>
      <c r="LJ41" s="258"/>
      <c r="LK41" s="258"/>
      <c r="LL41" s="258"/>
      <c r="LM41" s="258"/>
      <c r="LN41" s="258"/>
      <c r="LO41" s="258"/>
      <c r="LP41" s="258"/>
      <c r="LQ41" s="258"/>
      <c r="LR41" s="258"/>
      <c r="LS41" s="258"/>
      <c r="LT41" s="258"/>
      <c r="LU41" s="258"/>
      <c r="LV41" s="258"/>
      <c r="LW41" s="258"/>
      <c r="LX41" s="258"/>
      <c r="LY41" s="258"/>
      <c r="LZ41" s="258"/>
      <c r="MA41" s="258"/>
      <c r="MB41" s="258"/>
      <c r="MC41" s="258"/>
      <c r="MD41" s="259"/>
      <c r="ME41" s="258"/>
      <c r="MF41" s="258"/>
      <c r="MG41" s="258"/>
      <c r="MH41" s="258"/>
      <c r="MI41" s="258"/>
      <c r="MJ41" s="258"/>
      <c r="MK41" s="258"/>
      <c r="ML41" s="258"/>
      <c r="MM41" s="258"/>
      <c r="MN41" s="258"/>
      <c r="MO41" s="258"/>
      <c r="MP41" s="258"/>
      <c r="MQ41" s="258"/>
      <c r="MR41" s="258"/>
      <c r="MS41" s="258"/>
      <c r="MT41" s="258"/>
      <c r="MU41" s="258"/>
      <c r="MV41" s="258"/>
      <c r="MW41" s="258"/>
      <c r="MX41" s="259"/>
      <c r="MY41" s="258"/>
      <c r="MZ41" s="258"/>
      <c r="NA41" s="258"/>
      <c r="NB41" s="258"/>
      <c r="NC41" s="258"/>
      <c r="ND41" s="258"/>
      <c r="NE41" s="258"/>
      <c r="NF41" s="258"/>
      <c r="NG41" s="258"/>
      <c r="NH41" s="258"/>
      <c r="NI41" s="258"/>
      <c r="NJ41" s="258"/>
      <c r="NK41" s="258"/>
      <c r="NL41" s="258"/>
      <c r="NM41" s="258"/>
      <c r="NN41" s="258"/>
      <c r="NO41" s="258"/>
      <c r="NP41" s="258"/>
      <c r="NQ41" s="258"/>
      <c r="NR41" s="258"/>
      <c r="NS41" s="258"/>
      <c r="NT41" s="258"/>
      <c r="NU41" s="258"/>
      <c r="NV41" s="258"/>
      <c r="NW41" s="258"/>
      <c r="NX41" s="258"/>
      <c r="NY41" s="258"/>
      <c r="NZ41" s="258"/>
      <c r="OA41" s="258"/>
      <c r="OB41" s="258"/>
      <c r="OC41" s="258"/>
      <c r="OD41" s="259"/>
      <c r="OE41" s="259"/>
      <c r="OF41" s="258"/>
      <c r="OG41" s="258"/>
      <c r="OH41" s="258"/>
      <c r="OI41" s="258"/>
      <c r="OJ41" s="258"/>
      <c r="OK41" s="258"/>
      <c r="OL41" s="258"/>
      <c r="OM41" s="258"/>
      <c r="ON41" s="258"/>
      <c r="OO41" s="258"/>
      <c r="OP41" s="258"/>
      <c r="OQ41" s="258"/>
      <c r="OR41" s="258"/>
      <c r="OS41" s="259"/>
      <c r="OT41" s="258"/>
      <c r="OU41" s="258"/>
      <c r="OV41" s="258"/>
      <c r="OW41" s="258"/>
      <c r="OX41" s="258"/>
      <c r="OY41" s="259"/>
      <c r="OZ41" s="258"/>
      <c r="PA41" s="258"/>
      <c r="PB41" s="258"/>
      <c r="PC41" s="258"/>
      <c r="PD41" s="258"/>
      <c r="PE41" s="258"/>
      <c r="PF41" s="258"/>
      <c r="PG41" s="258"/>
      <c r="PH41" s="258"/>
      <c r="PI41" s="258"/>
      <c r="PJ41" s="258"/>
      <c r="PK41" s="258"/>
      <c r="PL41" s="258"/>
      <c r="PM41" s="258"/>
      <c r="PN41" s="258"/>
      <c r="PO41" s="258"/>
      <c r="PP41" s="258"/>
      <c r="PQ41" s="258"/>
      <c r="PR41" s="258"/>
      <c r="PS41" s="258"/>
      <c r="PT41" s="258"/>
      <c r="PU41" s="258"/>
      <c r="PV41" s="258"/>
      <c r="PW41" s="258"/>
      <c r="PX41" s="258"/>
      <c r="PY41" s="258"/>
      <c r="PZ41" s="258"/>
      <c r="QA41" s="258"/>
      <c r="QB41" s="258"/>
      <c r="QC41" s="258"/>
      <c r="QD41" s="258"/>
      <c r="QE41" s="258"/>
      <c r="QF41" s="258"/>
      <c r="QG41" s="258"/>
      <c r="QH41" s="258"/>
      <c r="QI41" s="260"/>
    </row>
    <row r="42" spans="1:451" ht="18" customHeight="1" x14ac:dyDescent="0.2">
      <c r="A42" s="251" t="s">
        <v>432</v>
      </c>
      <c r="B42" s="245"/>
      <c r="C42" s="242"/>
      <c r="D42" s="242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  <c r="Y42" s="242"/>
      <c r="Z42" s="242"/>
      <c r="AA42" s="242"/>
      <c r="AB42" s="242"/>
      <c r="AC42" s="243"/>
      <c r="AD42" s="242"/>
      <c r="AE42" s="242"/>
      <c r="AF42" s="242"/>
      <c r="AG42" s="242"/>
      <c r="AH42" s="242"/>
      <c r="AI42" s="242"/>
      <c r="AJ42" s="242"/>
      <c r="AK42" s="242"/>
      <c r="AL42" s="242"/>
      <c r="AM42" s="242"/>
      <c r="AN42" s="242"/>
      <c r="AO42" s="242"/>
      <c r="AP42" s="242"/>
      <c r="AQ42" s="242"/>
      <c r="AR42" s="243"/>
      <c r="AS42" s="242"/>
      <c r="AT42" s="242"/>
      <c r="AU42" s="242"/>
      <c r="AV42" s="242"/>
      <c r="AW42" s="242"/>
      <c r="AX42" s="242"/>
      <c r="AY42" s="242"/>
      <c r="AZ42" s="242"/>
      <c r="BA42" s="242"/>
      <c r="BB42" s="242"/>
      <c r="BC42" s="242"/>
      <c r="BD42" s="242"/>
      <c r="BE42" s="242"/>
      <c r="BF42" s="257"/>
      <c r="BG42" s="254"/>
      <c r="BH42" s="252" t="s">
        <v>330</v>
      </c>
      <c r="BI42" s="252" t="s">
        <v>331</v>
      </c>
      <c r="BJ42" s="252" t="s">
        <v>332</v>
      </c>
      <c r="BK42" s="252" t="s">
        <v>333</v>
      </c>
      <c r="BL42" s="252" t="s">
        <v>334</v>
      </c>
      <c r="BM42" s="253" t="s">
        <v>433</v>
      </c>
      <c r="BN42" s="254" t="s">
        <v>434</v>
      </c>
      <c r="BO42" s="254" t="s">
        <v>435</v>
      </c>
      <c r="BP42" s="254" t="s">
        <v>338</v>
      </c>
      <c r="BQ42" s="254" t="s">
        <v>339</v>
      </c>
      <c r="BR42" s="254" t="s">
        <v>340</v>
      </c>
      <c r="BS42" s="254" t="s">
        <v>341</v>
      </c>
      <c r="BT42" s="254" t="s">
        <v>342</v>
      </c>
      <c r="BU42" s="254" t="s">
        <v>343</v>
      </c>
      <c r="BV42" s="254" t="s">
        <v>344</v>
      </c>
      <c r="BW42" s="254" t="s">
        <v>345</v>
      </c>
      <c r="BX42" s="254" t="s">
        <v>346</v>
      </c>
      <c r="BY42" s="254" t="s">
        <v>347</v>
      </c>
      <c r="BZ42" s="254" t="s">
        <v>348</v>
      </c>
      <c r="CA42" s="254" t="s">
        <v>349</v>
      </c>
      <c r="CB42" s="254" t="s">
        <v>350</v>
      </c>
      <c r="CC42" s="255"/>
      <c r="CD42" s="255"/>
      <c r="CE42" s="254" t="s">
        <v>351</v>
      </c>
      <c r="CF42" s="254" t="s">
        <v>352</v>
      </c>
      <c r="CG42" s="254" t="s">
        <v>353</v>
      </c>
      <c r="CH42" s="254" t="s">
        <v>354</v>
      </c>
      <c r="CI42" s="254" t="s">
        <v>355</v>
      </c>
      <c r="CJ42" s="254" t="s">
        <v>356</v>
      </c>
      <c r="CK42" s="254" t="s">
        <v>357</v>
      </c>
      <c r="CL42" s="254" t="s">
        <v>358</v>
      </c>
      <c r="CM42" s="254" t="s">
        <v>359</v>
      </c>
      <c r="CN42" s="254" t="s">
        <v>360</v>
      </c>
      <c r="CO42" s="254" t="s">
        <v>361</v>
      </c>
      <c r="CP42" s="254" t="s">
        <v>362</v>
      </c>
      <c r="CQ42" s="254" t="s">
        <v>363</v>
      </c>
      <c r="CR42" s="255"/>
      <c r="CS42" s="254" t="s">
        <v>364</v>
      </c>
      <c r="CT42" s="254" t="s">
        <v>365</v>
      </c>
      <c r="CU42" s="254" t="s">
        <v>366</v>
      </c>
      <c r="CV42" s="254" t="s">
        <v>367</v>
      </c>
      <c r="CW42" s="254" t="s">
        <v>368</v>
      </c>
      <c r="CX42" s="255"/>
      <c r="CY42" s="254" t="s">
        <v>369</v>
      </c>
      <c r="CZ42" s="254" t="s">
        <v>370</v>
      </c>
      <c r="DA42" s="254" t="s">
        <v>371</v>
      </c>
      <c r="DB42" s="254" t="s">
        <v>372</v>
      </c>
      <c r="DC42" s="254" t="s">
        <v>373</v>
      </c>
      <c r="DD42" s="254" t="s">
        <v>374</v>
      </c>
      <c r="DE42" s="254" t="s">
        <v>375</v>
      </c>
      <c r="DF42" s="254" t="s">
        <v>376</v>
      </c>
      <c r="DG42" s="254" t="s">
        <v>377</v>
      </c>
      <c r="DH42" s="254" t="s">
        <v>378</v>
      </c>
      <c r="DI42" s="254" t="s">
        <v>379</v>
      </c>
      <c r="DJ42" s="254" t="s">
        <v>380</v>
      </c>
      <c r="DK42" s="254" t="s">
        <v>381</v>
      </c>
      <c r="DL42" s="254" t="s">
        <v>382</v>
      </c>
      <c r="DM42" s="254" t="s">
        <v>383</v>
      </c>
      <c r="DN42" s="254" t="s">
        <v>384</v>
      </c>
      <c r="DO42" s="254" t="s">
        <v>385</v>
      </c>
      <c r="DP42" s="254" t="s">
        <v>386</v>
      </c>
      <c r="DQ42" s="254" t="s">
        <v>387</v>
      </c>
      <c r="DR42" s="254" t="s">
        <v>388</v>
      </c>
      <c r="DS42" s="254" t="s">
        <v>389</v>
      </c>
      <c r="DT42" s="254" t="s">
        <v>390</v>
      </c>
      <c r="DU42" s="254" t="s">
        <v>391</v>
      </c>
      <c r="DV42" s="254" t="s">
        <v>392</v>
      </c>
      <c r="DW42" s="254" t="s">
        <v>393</v>
      </c>
      <c r="DX42" s="254" t="s">
        <v>394</v>
      </c>
      <c r="DY42" s="254" t="s">
        <v>395</v>
      </c>
      <c r="DZ42" s="254" t="s">
        <v>396</v>
      </c>
      <c r="EA42" s="254" t="s">
        <v>397</v>
      </c>
      <c r="EB42" s="254" t="s">
        <v>398</v>
      </c>
      <c r="EC42" s="254" t="s">
        <v>399</v>
      </c>
      <c r="ED42" s="254" t="s">
        <v>400</v>
      </c>
      <c r="EE42" s="254" t="s">
        <v>401</v>
      </c>
      <c r="EF42" s="254" t="s">
        <v>402</v>
      </c>
      <c r="EG42" s="254" t="s">
        <v>403</v>
      </c>
      <c r="EH42" s="254" t="s">
        <v>404</v>
      </c>
      <c r="EI42" s="254" t="s">
        <v>405</v>
      </c>
      <c r="EJ42" s="254" t="s">
        <v>406</v>
      </c>
      <c r="EK42" s="254" t="s">
        <v>407</v>
      </c>
      <c r="EL42" s="254" t="s">
        <v>408</v>
      </c>
      <c r="EM42" s="254" t="s">
        <v>409</v>
      </c>
      <c r="EN42" s="254" t="s">
        <v>410</v>
      </c>
      <c r="EO42" s="254" t="s">
        <v>411</v>
      </c>
      <c r="EP42" s="254" t="s">
        <v>412</v>
      </c>
      <c r="EQ42" s="254" t="s">
        <v>413</v>
      </c>
      <c r="ER42" s="254" t="s">
        <v>414</v>
      </c>
      <c r="ES42" s="254" t="s">
        <v>415</v>
      </c>
      <c r="ET42" s="254" t="s">
        <v>416</v>
      </c>
      <c r="EU42" s="254" t="s">
        <v>417</v>
      </c>
      <c r="EV42" s="254" t="s">
        <v>418</v>
      </c>
      <c r="EW42" s="254" t="s">
        <v>419</v>
      </c>
      <c r="EX42" s="254" t="s">
        <v>420</v>
      </c>
      <c r="EY42" s="254" t="s">
        <v>421</v>
      </c>
      <c r="EZ42" s="254" t="s">
        <v>422</v>
      </c>
      <c r="FA42" s="254"/>
      <c r="FB42" s="254"/>
      <c r="FC42" s="254"/>
      <c r="FD42" s="254"/>
      <c r="FE42" s="254"/>
      <c r="FF42" s="254"/>
      <c r="FG42" s="254"/>
      <c r="FH42" s="254"/>
      <c r="FI42" s="254"/>
      <c r="FJ42" s="254"/>
      <c r="FK42" s="254"/>
      <c r="FL42" s="254"/>
      <c r="FM42" s="254"/>
      <c r="FN42" s="254"/>
      <c r="FO42" s="254"/>
      <c r="FP42" s="254"/>
      <c r="FQ42" s="255"/>
      <c r="FR42" s="255"/>
      <c r="FS42" s="254"/>
      <c r="FT42" s="254"/>
      <c r="FU42" s="254"/>
      <c r="FV42" s="254"/>
      <c r="FW42" s="254"/>
      <c r="FX42" s="254"/>
      <c r="FY42" s="254"/>
      <c r="FZ42" s="254"/>
      <c r="GA42" s="254"/>
      <c r="GB42" s="254"/>
      <c r="GC42" s="254"/>
      <c r="GD42" s="254"/>
      <c r="GE42" s="254"/>
      <c r="GF42" s="254"/>
      <c r="GG42" s="254"/>
      <c r="GH42" s="254"/>
      <c r="GI42" s="254"/>
      <c r="GJ42" s="254"/>
      <c r="GK42" s="254"/>
      <c r="GL42" s="254"/>
      <c r="GM42" s="254"/>
      <c r="GN42" s="254"/>
      <c r="GO42" s="254"/>
      <c r="GP42" s="254"/>
      <c r="GQ42" s="254"/>
      <c r="GR42" s="254"/>
      <c r="GS42" s="254"/>
      <c r="GT42" s="254"/>
      <c r="GU42" s="254"/>
      <c r="GV42" s="254"/>
      <c r="GW42" s="255"/>
      <c r="GX42" s="254"/>
      <c r="GY42" s="254"/>
      <c r="GZ42" s="254"/>
      <c r="HA42" s="254"/>
      <c r="HB42" s="254"/>
      <c r="HC42" s="254"/>
      <c r="HD42" s="254"/>
      <c r="HE42" s="254"/>
      <c r="HF42" s="254"/>
      <c r="HG42" s="254"/>
      <c r="HH42" s="254"/>
      <c r="HI42" s="254"/>
      <c r="HJ42" s="254"/>
      <c r="HK42" s="254"/>
      <c r="HL42" s="254"/>
      <c r="HM42" s="254"/>
      <c r="HN42" s="254"/>
      <c r="HO42" s="254"/>
      <c r="HP42" s="254"/>
      <c r="HQ42" s="254"/>
      <c r="HR42" s="254"/>
      <c r="HS42" s="254"/>
      <c r="HT42" s="254"/>
      <c r="HU42" s="254"/>
      <c r="HV42" s="254"/>
      <c r="HW42" s="254"/>
      <c r="HX42" s="254"/>
      <c r="HY42" s="254"/>
      <c r="HZ42" s="254"/>
      <c r="IA42" s="254"/>
      <c r="IB42" s="254"/>
      <c r="IC42" s="254"/>
      <c r="ID42" s="254"/>
      <c r="IE42" s="254"/>
      <c r="IF42" s="254"/>
      <c r="IG42" s="254"/>
      <c r="IH42" s="254"/>
      <c r="II42" s="254"/>
      <c r="IJ42" s="254"/>
      <c r="IK42" s="254"/>
      <c r="IL42" s="254"/>
      <c r="IM42" s="254"/>
      <c r="IN42" s="254"/>
      <c r="IO42" s="254"/>
      <c r="IP42" s="254"/>
      <c r="IQ42" s="254"/>
      <c r="IR42" s="254"/>
      <c r="IS42" s="254"/>
      <c r="IT42" s="254"/>
      <c r="IU42" s="254"/>
      <c r="IV42" s="255"/>
      <c r="IW42" s="254"/>
      <c r="IX42" s="254"/>
      <c r="IY42" s="254"/>
      <c r="IZ42" s="254"/>
      <c r="JA42" s="254"/>
      <c r="JB42" s="254"/>
      <c r="JC42" s="254"/>
      <c r="JD42" s="254"/>
      <c r="JE42" s="254"/>
      <c r="JF42" s="254"/>
      <c r="JG42" s="254"/>
      <c r="JH42" s="254"/>
      <c r="JI42" s="254"/>
      <c r="JJ42" s="254"/>
      <c r="JK42" s="254"/>
      <c r="JL42" s="254"/>
      <c r="JM42" s="254"/>
      <c r="JN42" s="254"/>
      <c r="JO42" s="254"/>
      <c r="JP42" s="255"/>
      <c r="JQ42" s="254"/>
      <c r="JR42" s="254"/>
      <c r="JS42" s="254"/>
      <c r="JT42" s="255"/>
      <c r="JU42" s="255"/>
      <c r="JV42" s="254"/>
      <c r="JW42" s="254"/>
      <c r="JX42" s="254"/>
      <c r="JY42" s="254"/>
      <c r="JZ42" s="254"/>
      <c r="KA42" s="254"/>
      <c r="KB42" s="255"/>
      <c r="KC42" s="254"/>
      <c r="KD42" s="254"/>
      <c r="KE42" s="254"/>
      <c r="KF42" s="254"/>
      <c r="KG42" s="254"/>
      <c r="KH42" s="254"/>
      <c r="KI42" s="254"/>
      <c r="KJ42" s="254"/>
      <c r="KK42" s="254"/>
      <c r="KL42" s="254"/>
      <c r="KM42" s="254"/>
      <c r="KN42" s="254"/>
      <c r="KO42" s="254"/>
      <c r="KP42" s="254"/>
      <c r="KQ42" s="254"/>
      <c r="KR42" s="254"/>
      <c r="KS42" s="254"/>
      <c r="KT42" s="254"/>
      <c r="KU42" s="254"/>
      <c r="KV42" s="255"/>
      <c r="KW42" s="254"/>
      <c r="KX42" s="254"/>
      <c r="KY42" s="254"/>
      <c r="KZ42" s="254"/>
      <c r="LA42" s="254"/>
      <c r="LB42" s="254"/>
      <c r="LC42" s="254"/>
      <c r="LD42" s="254"/>
      <c r="LE42" s="254"/>
      <c r="LF42" s="254"/>
      <c r="LG42" s="254"/>
      <c r="LH42" s="254"/>
      <c r="LI42" s="254"/>
      <c r="LJ42" s="254"/>
      <c r="LK42" s="254"/>
      <c r="LL42" s="254"/>
      <c r="LM42" s="254"/>
      <c r="LN42" s="254"/>
      <c r="LO42" s="254"/>
      <c r="LP42" s="254"/>
      <c r="LQ42" s="254"/>
      <c r="LR42" s="254"/>
      <c r="LS42" s="254"/>
      <c r="LT42" s="254"/>
      <c r="LU42" s="254"/>
      <c r="LV42" s="254"/>
      <c r="LW42" s="254"/>
      <c r="LX42" s="254"/>
      <c r="LY42" s="254"/>
      <c r="LZ42" s="254"/>
      <c r="MA42" s="254"/>
      <c r="MB42" s="254"/>
      <c r="MC42" s="254"/>
      <c r="MD42" s="255"/>
      <c r="ME42" s="254"/>
      <c r="MF42" s="254"/>
      <c r="MG42" s="254"/>
      <c r="MH42" s="254"/>
      <c r="MI42" s="254"/>
      <c r="MJ42" s="254"/>
      <c r="MK42" s="254"/>
      <c r="ML42" s="254"/>
      <c r="MM42" s="254"/>
      <c r="MN42" s="254"/>
      <c r="MO42" s="254"/>
      <c r="MP42" s="254"/>
      <c r="MQ42" s="254"/>
      <c r="MR42" s="254"/>
      <c r="MS42" s="254"/>
      <c r="MT42" s="254"/>
      <c r="MU42" s="254"/>
      <c r="MV42" s="254"/>
      <c r="MW42" s="254"/>
      <c r="MX42" s="255"/>
      <c r="MY42" s="254"/>
      <c r="MZ42" s="254"/>
      <c r="NA42" s="254"/>
      <c r="NB42" s="254"/>
      <c r="NC42" s="254"/>
      <c r="ND42" s="254"/>
      <c r="NE42" s="254"/>
      <c r="NF42" s="254"/>
      <c r="NG42" s="254"/>
      <c r="NH42" s="254"/>
      <c r="NI42" s="254"/>
      <c r="NJ42" s="254"/>
      <c r="NK42" s="254"/>
      <c r="NL42" s="254"/>
      <c r="NM42" s="254"/>
      <c r="NN42" s="254"/>
      <c r="NO42" s="254"/>
      <c r="NP42" s="254"/>
      <c r="NQ42" s="254"/>
      <c r="NR42" s="254"/>
      <c r="NS42" s="254"/>
      <c r="NT42" s="254"/>
      <c r="NU42" s="254"/>
      <c r="NV42" s="254"/>
      <c r="NW42" s="254"/>
      <c r="NX42" s="254"/>
      <c r="NY42" s="254"/>
      <c r="NZ42" s="254"/>
      <c r="OA42" s="254"/>
      <c r="OB42" s="254"/>
      <c r="OC42" s="254"/>
      <c r="OD42" s="255"/>
      <c r="OE42" s="255"/>
      <c r="OF42" s="254"/>
      <c r="OG42" s="254"/>
      <c r="OH42" s="254"/>
      <c r="OI42" s="254"/>
      <c r="OJ42" s="254"/>
      <c r="OK42" s="254"/>
      <c r="OL42" s="254"/>
      <c r="OM42" s="254"/>
      <c r="ON42" s="254"/>
      <c r="OO42" s="254"/>
      <c r="OP42" s="254"/>
      <c r="OQ42" s="254"/>
      <c r="OR42" s="254"/>
      <c r="OS42" s="255"/>
      <c r="OT42" s="254"/>
      <c r="OU42" s="254"/>
      <c r="OV42" s="254"/>
      <c r="OW42" s="254"/>
      <c r="OX42" s="254"/>
      <c r="OY42" s="255"/>
      <c r="OZ42" s="254"/>
      <c r="PA42" s="254"/>
      <c r="PB42" s="254"/>
      <c r="PC42" s="254"/>
      <c r="PD42" s="254"/>
      <c r="PE42" s="254"/>
      <c r="PF42" s="254"/>
      <c r="PG42" s="254"/>
      <c r="PH42" s="254"/>
      <c r="PI42" s="254"/>
      <c r="PJ42" s="254"/>
      <c r="PK42" s="254"/>
      <c r="PL42" s="254"/>
      <c r="PM42" s="254"/>
      <c r="PN42" s="254"/>
      <c r="PO42" s="254"/>
      <c r="PP42" s="254"/>
      <c r="PQ42" s="254"/>
      <c r="PR42" s="254"/>
      <c r="PS42" s="254"/>
      <c r="PT42" s="254"/>
      <c r="PU42" s="254"/>
      <c r="PV42" s="254"/>
      <c r="PW42" s="254"/>
      <c r="PX42" s="254"/>
      <c r="PY42" s="254"/>
      <c r="PZ42" s="254"/>
      <c r="QA42" s="254"/>
      <c r="QB42" s="254"/>
      <c r="QC42" s="254"/>
      <c r="QD42" s="254"/>
      <c r="QE42" s="254"/>
      <c r="QF42" s="254"/>
      <c r="QG42" s="254"/>
      <c r="QH42" s="254"/>
      <c r="QI42" s="256"/>
    </row>
    <row r="43" spans="1:451" ht="18" customHeight="1" x14ac:dyDescent="0.2">
      <c r="A43" s="251" t="s">
        <v>436</v>
      </c>
      <c r="B43" s="245"/>
      <c r="C43" s="242"/>
      <c r="D43" s="242"/>
      <c r="E43" s="242"/>
      <c r="F43" s="242"/>
      <c r="G43" s="242"/>
      <c r="H43" s="242"/>
      <c r="I43" s="242"/>
      <c r="J43" s="242"/>
      <c r="K43" s="242"/>
      <c r="L43" s="242"/>
      <c r="M43" s="242"/>
      <c r="N43" s="242"/>
      <c r="O43" s="242"/>
      <c r="P43" s="242"/>
      <c r="Q43" s="242"/>
      <c r="R43" s="242"/>
      <c r="S43" s="242"/>
      <c r="T43" s="242"/>
      <c r="U43" s="242"/>
      <c r="V43" s="242"/>
      <c r="W43" s="242"/>
      <c r="X43" s="242"/>
      <c r="Y43" s="242"/>
      <c r="Z43" s="242"/>
      <c r="AA43" s="242"/>
      <c r="AB43" s="242"/>
      <c r="AC43" s="243"/>
      <c r="AD43" s="242"/>
      <c r="AE43" s="242"/>
      <c r="AF43" s="242"/>
      <c r="AG43" s="242"/>
      <c r="AH43" s="242"/>
      <c r="AI43" s="242"/>
      <c r="AJ43" s="242"/>
      <c r="AK43" s="242"/>
      <c r="AL43" s="242"/>
      <c r="AM43" s="242"/>
      <c r="AN43" s="242"/>
      <c r="AO43" s="242"/>
      <c r="AP43" s="242"/>
      <c r="AQ43" s="242"/>
      <c r="AR43" s="243"/>
      <c r="AS43" s="242"/>
      <c r="AT43" s="242"/>
      <c r="AU43" s="242"/>
      <c r="AV43" s="242"/>
      <c r="AW43" s="242"/>
      <c r="AX43" s="242"/>
      <c r="AY43" s="242"/>
      <c r="AZ43" s="242"/>
      <c r="BA43" s="242"/>
      <c r="BB43" s="242"/>
      <c r="BC43" s="242"/>
      <c r="BD43" s="242"/>
      <c r="BE43" s="242"/>
      <c r="BF43" s="257"/>
      <c r="BG43" s="254"/>
      <c r="BH43" s="254"/>
      <c r="BI43" s="252" t="s">
        <v>330</v>
      </c>
      <c r="BJ43" s="252" t="s">
        <v>331</v>
      </c>
      <c r="BK43" s="252" t="s">
        <v>332</v>
      </c>
      <c r="BL43" s="252" t="s">
        <v>333</v>
      </c>
      <c r="BM43" s="252" t="s">
        <v>334</v>
      </c>
      <c r="BN43" s="253" t="s">
        <v>433</v>
      </c>
      <c r="BO43" s="254" t="s">
        <v>434</v>
      </c>
      <c r="BP43" s="254" t="s">
        <v>435</v>
      </c>
      <c r="BQ43" s="254" t="s">
        <v>338</v>
      </c>
      <c r="BR43" s="254" t="s">
        <v>339</v>
      </c>
      <c r="BS43" s="254" t="s">
        <v>340</v>
      </c>
      <c r="BT43" s="254" t="s">
        <v>341</v>
      </c>
      <c r="BU43" s="254" t="s">
        <v>342</v>
      </c>
      <c r="BV43" s="254" t="s">
        <v>343</v>
      </c>
      <c r="BW43" s="254" t="s">
        <v>344</v>
      </c>
      <c r="BX43" s="254" t="s">
        <v>345</v>
      </c>
      <c r="BY43" s="254" t="s">
        <v>346</v>
      </c>
      <c r="BZ43" s="254" t="s">
        <v>347</v>
      </c>
      <c r="CA43" s="254" t="s">
        <v>348</v>
      </c>
      <c r="CB43" s="254" t="s">
        <v>349</v>
      </c>
      <c r="CC43" s="255"/>
      <c r="CD43" s="255"/>
      <c r="CE43" s="254" t="s">
        <v>350</v>
      </c>
      <c r="CF43" s="254" t="s">
        <v>351</v>
      </c>
      <c r="CG43" s="254" t="s">
        <v>352</v>
      </c>
      <c r="CH43" s="254" t="s">
        <v>353</v>
      </c>
      <c r="CI43" s="254" t="s">
        <v>354</v>
      </c>
      <c r="CJ43" s="254" t="s">
        <v>355</v>
      </c>
      <c r="CK43" s="254" t="s">
        <v>356</v>
      </c>
      <c r="CL43" s="254" t="s">
        <v>357</v>
      </c>
      <c r="CM43" s="254" t="s">
        <v>358</v>
      </c>
      <c r="CN43" s="254" t="s">
        <v>359</v>
      </c>
      <c r="CO43" s="254" t="s">
        <v>360</v>
      </c>
      <c r="CP43" s="254" t="s">
        <v>361</v>
      </c>
      <c r="CQ43" s="254" t="s">
        <v>362</v>
      </c>
      <c r="CR43" s="255"/>
      <c r="CS43" s="254" t="s">
        <v>363</v>
      </c>
      <c r="CT43" s="254" t="s">
        <v>364</v>
      </c>
      <c r="CU43" s="254" t="s">
        <v>365</v>
      </c>
      <c r="CV43" s="254" t="s">
        <v>366</v>
      </c>
      <c r="CW43" s="254" t="s">
        <v>367</v>
      </c>
      <c r="CX43" s="255"/>
      <c r="CY43" s="254" t="s">
        <v>368</v>
      </c>
      <c r="CZ43" s="254" t="s">
        <v>369</v>
      </c>
      <c r="DA43" s="254" t="s">
        <v>370</v>
      </c>
      <c r="DB43" s="254" t="s">
        <v>371</v>
      </c>
      <c r="DC43" s="254" t="s">
        <v>372</v>
      </c>
      <c r="DD43" s="254" t="s">
        <v>373</v>
      </c>
      <c r="DE43" s="254" t="s">
        <v>374</v>
      </c>
      <c r="DF43" s="254" t="s">
        <v>375</v>
      </c>
      <c r="DG43" s="254" t="s">
        <v>376</v>
      </c>
      <c r="DH43" s="254" t="s">
        <v>377</v>
      </c>
      <c r="DI43" s="254" t="s">
        <v>378</v>
      </c>
      <c r="DJ43" s="254" t="s">
        <v>379</v>
      </c>
      <c r="DK43" s="254" t="s">
        <v>380</v>
      </c>
      <c r="DL43" s="254" t="s">
        <v>381</v>
      </c>
      <c r="DM43" s="254" t="s">
        <v>382</v>
      </c>
      <c r="DN43" s="254" t="s">
        <v>383</v>
      </c>
      <c r="DO43" s="254" t="s">
        <v>384</v>
      </c>
      <c r="DP43" s="254" t="s">
        <v>385</v>
      </c>
      <c r="DQ43" s="254" t="s">
        <v>386</v>
      </c>
      <c r="DR43" s="254" t="s">
        <v>387</v>
      </c>
      <c r="DS43" s="254" t="s">
        <v>388</v>
      </c>
      <c r="DT43" s="254" t="s">
        <v>389</v>
      </c>
      <c r="DU43" s="254" t="s">
        <v>390</v>
      </c>
      <c r="DV43" s="254" t="s">
        <v>391</v>
      </c>
      <c r="DW43" s="254" t="s">
        <v>392</v>
      </c>
      <c r="DX43" s="254" t="s">
        <v>393</v>
      </c>
      <c r="DY43" s="254" t="s">
        <v>394</v>
      </c>
      <c r="DZ43" s="254" t="s">
        <v>395</v>
      </c>
      <c r="EA43" s="254" t="s">
        <v>396</v>
      </c>
      <c r="EB43" s="254" t="s">
        <v>397</v>
      </c>
      <c r="EC43" s="254" t="s">
        <v>398</v>
      </c>
      <c r="ED43" s="254" t="s">
        <v>399</v>
      </c>
      <c r="EE43" s="254" t="s">
        <v>400</v>
      </c>
      <c r="EF43" s="254" t="s">
        <v>401</v>
      </c>
      <c r="EG43" s="254" t="s">
        <v>402</v>
      </c>
      <c r="EH43" s="254" t="s">
        <v>403</v>
      </c>
      <c r="EI43" s="254" t="s">
        <v>404</v>
      </c>
      <c r="EJ43" s="254" t="s">
        <v>405</v>
      </c>
      <c r="EK43" s="254" t="s">
        <v>406</v>
      </c>
      <c r="EL43" s="254" t="s">
        <v>407</v>
      </c>
      <c r="EM43" s="254" t="s">
        <v>408</v>
      </c>
      <c r="EN43" s="254" t="s">
        <v>409</v>
      </c>
      <c r="EO43" s="254" t="s">
        <v>410</v>
      </c>
      <c r="EP43" s="254" t="s">
        <v>411</v>
      </c>
      <c r="EQ43" s="254" t="s">
        <v>412</v>
      </c>
      <c r="ER43" s="254" t="s">
        <v>413</v>
      </c>
      <c r="ES43" s="254" t="s">
        <v>414</v>
      </c>
      <c r="ET43" s="254" t="s">
        <v>415</v>
      </c>
      <c r="EU43" s="254" t="s">
        <v>416</v>
      </c>
      <c r="EV43" s="254" t="s">
        <v>417</v>
      </c>
      <c r="EW43" s="254" t="s">
        <v>418</v>
      </c>
      <c r="EX43" s="254" t="s">
        <v>419</v>
      </c>
      <c r="EY43" s="254" t="s">
        <v>420</v>
      </c>
      <c r="EZ43" s="254" t="s">
        <v>421</v>
      </c>
      <c r="FA43" s="254" t="s">
        <v>422</v>
      </c>
      <c r="FB43" s="254"/>
      <c r="FC43" s="254"/>
      <c r="FD43" s="254"/>
      <c r="FE43" s="254"/>
      <c r="FF43" s="254"/>
      <c r="FG43" s="254"/>
      <c r="FH43" s="254"/>
      <c r="FI43" s="254"/>
      <c r="FJ43" s="254"/>
      <c r="FK43" s="254"/>
      <c r="FL43" s="254"/>
      <c r="FM43" s="254"/>
      <c r="FN43" s="254"/>
      <c r="FO43" s="254"/>
      <c r="FP43" s="254"/>
      <c r="FQ43" s="255"/>
      <c r="FR43" s="255"/>
      <c r="FS43" s="254"/>
      <c r="FT43" s="254"/>
      <c r="FU43" s="254"/>
      <c r="FV43" s="254"/>
      <c r="FW43" s="254"/>
      <c r="FX43" s="254"/>
      <c r="FY43" s="254"/>
      <c r="FZ43" s="254"/>
      <c r="GA43" s="254"/>
      <c r="GB43" s="254"/>
      <c r="GC43" s="254"/>
      <c r="GD43" s="254"/>
      <c r="GE43" s="254"/>
      <c r="GF43" s="254"/>
      <c r="GG43" s="254"/>
      <c r="GH43" s="254"/>
      <c r="GI43" s="254"/>
      <c r="GJ43" s="254"/>
      <c r="GK43" s="254"/>
      <c r="GL43" s="254"/>
      <c r="GM43" s="254"/>
      <c r="GN43" s="254"/>
      <c r="GO43" s="254"/>
      <c r="GP43" s="254"/>
      <c r="GQ43" s="254"/>
      <c r="GR43" s="254"/>
      <c r="GS43" s="254"/>
      <c r="GT43" s="254"/>
      <c r="GU43" s="254"/>
      <c r="GV43" s="254"/>
      <c r="GW43" s="255"/>
      <c r="GX43" s="254"/>
      <c r="GY43" s="254"/>
      <c r="GZ43" s="254"/>
      <c r="HA43" s="254"/>
      <c r="HB43" s="254"/>
      <c r="HC43" s="254"/>
      <c r="HD43" s="254"/>
      <c r="HE43" s="254"/>
      <c r="HF43" s="254"/>
      <c r="HG43" s="254"/>
      <c r="HH43" s="254"/>
      <c r="HI43" s="254"/>
      <c r="HJ43" s="254"/>
      <c r="HK43" s="254"/>
      <c r="HL43" s="254"/>
      <c r="HM43" s="254"/>
      <c r="HN43" s="254"/>
      <c r="HO43" s="254"/>
      <c r="HP43" s="254"/>
      <c r="HQ43" s="254"/>
      <c r="HR43" s="254"/>
      <c r="HS43" s="254"/>
      <c r="HT43" s="254"/>
      <c r="HU43" s="254"/>
      <c r="HV43" s="254"/>
      <c r="HW43" s="254"/>
      <c r="HX43" s="254"/>
      <c r="HY43" s="254"/>
      <c r="HZ43" s="254"/>
      <c r="IA43" s="254"/>
      <c r="IB43" s="254"/>
      <c r="IC43" s="254"/>
      <c r="ID43" s="254"/>
      <c r="IE43" s="254"/>
      <c r="IF43" s="254"/>
      <c r="IG43" s="254"/>
      <c r="IH43" s="254"/>
      <c r="II43" s="254"/>
      <c r="IJ43" s="254"/>
      <c r="IK43" s="254"/>
      <c r="IL43" s="254"/>
      <c r="IM43" s="254"/>
      <c r="IN43" s="254"/>
      <c r="IO43" s="254"/>
      <c r="IP43" s="254"/>
      <c r="IQ43" s="254"/>
      <c r="IR43" s="254"/>
      <c r="IS43" s="254"/>
      <c r="IT43" s="254"/>
      <c r="IU43" s="254"/>
      <c r="IV43" s="255"/>
      <c r="IW43" s="254"/>
      <c r="IX43" s="254"/>
      <c r="IY43" s="254"/>
      <c r="IZ43" s="254"/>
      <c r="JA43" s="254"/>
      <c r="JB43" s="254"/>
      <c r="JC43" s="254"/>
      <c r="JD43" s="254"/>
      <c r="JE43" s="254"/>
      <c r="JF43" s="254"/>
      <c r="JG43" s="254"/>
      <c r="JH43" s="254"/>
      <c r="JI43" s="254"/>
      <c r="JJ43" s="254"/>
      <c r="JK43" s="254"/>
      <c r="JL43" s="254"/>
      <c r="JM43" s="254"/>
      <c r="JN43" s="254"/>
      <c r="JO43" s="254"/>
      <c r="JP43" s="255"/>
      <c r="JQ43" s="254"/>
      <c r="JR43" s="254"/>
      <c r="JS43" s="254"/>
      <c r="JT43" s="255"/>
      <c r="JU43" s="255"/>
      <c r="JV43" s="254"/>
      <c r="JW43" s="254"/>
      <c r="JX43" s="254"/>
      <c r="JY43" s="254"/>
      <c r="JZ43" s="254"/>
      <c r="KA43" s="254"/>
      <c r="KB43" s="255"/>
      <c r="KC43" s="254"/>
      <c r="KD43" s="254"/>
      <c r="KE43" s="254"/>
      <c r="KF43" s="254"/>
      <c r="KG43" s="254"/>
      <c r="KH43" s="254"/>
      <c r="KI43" s="254"/>
      <c r="KJ43" s="254"/>
      <c r="KK43" s="254"/>
      <c r="KL43" s="254"/>
      <c r="KM43" s="254"/>
      <c r="KN43" s="254"/>
      <c r="KO43" s="254"/>
      <c r="KP43" s="254"/>
      <c r="KQ43" s="254"/>
      <c r="KR43" s="254"/>
      <c r="KS43" s="254"/>
      <c r="KT43" s="254"/>
      <c r="KU43" s="254"/>
      <c r="KV43" s="255"/>
      <c r="KW43" s="254"/>
      <c r="KX43" s="254"/>
      <c r="KY43" s="254"/>
      <c r="KZ43" s="254"/>
      <c r="LA43" s="254"/>
      <c r="LB43" s="254"/>
      <c r="LC43" s="254"/>
      <c r="LD43" s="254"/>
      <c r="LE43" s="254"/>
      <c r="LF43" s="254"/>
      <c r="LG43" s="254"/>
      <c r="LH43" s="254"/>
      <c r="LI43" s="254"/>
      <c r="LJ43" s="254"/>
      <c r="LK43" s="254"/>
      <c r="LL43" s="254"/>
      <c r="LM43" s="254"/>
      <c r="LN43" s="254"/>
      <c r="LO43" s="254"/>
      <c r="LP43" s="254"/>
      <c r="LQ43" s="254"/>
      <c r="LR43" s="254"/>
      <c r="LS43" s="254"/>
      <c r="LT43" s="254"/>
      <c r="LU43" s="254"/>
      <c r="LV43" s="254"/>
      <c r="LW43" s="254"/>
      <c r="LX43" s="254"/>
      <c r="LY43" s="254"/>
      <c r="LZ43" s="254"/>
      <c r="MA43" s="254"/>
      <c r="MB43" s="254"/>
      <c r="MC43" s="254"/>
      <c r="MD43" s="255"/>
      <c r="ME43" s="254"/>
      <c r="MF43" s="254"/>
      <c r="MG43" s="254"/>
      <c r="MH43" s="254"/>
      <c r="MI43" s="254"/>
      <c r="MJ43" s="254"/>
      <c r="MK43" s="254"/>
      <c r="ML43" s="254"/>
      <c r="MM43" s="254"/>
      <c r="MN43" s="254"/>
      <c r="MO43" s="254"/>
      <c r="MP43" s="254"/>
      <c r="MQ43" s="254"/>
      <c r="MR43" s="254"/>
      <c r="MS43" s="254"/>
      <c r="MT43" s="254"/>
      <c r="MU43" s="254"/>
      <c r="MV43" s="254"/>
      <c r="MW43" s="254"/>
      <c r="MX43" s="255"/>
      <c r="MY43" s="254"/>
      <c r="MZ43" s="254"/>
      <c r="NA43" s="254"/>
      <c r="NB43" s="254"/>
      <c r="NC43" s="254"/>
      <c r="ND43" s="254"/>
      <c r="NE43" s="254"/>
      <c r="NF43" s="254"/>
      <c r="NG43" s="254"/>
      <c r="NH43" s="254"/>
      <c r="NI43" s="254"/>
      <c r="NJ43" s="254"/>
      <c r="NK43" s="254"/>
      <c r="NL43" s="254"/>
      <c r="NM43" s="254"/>
      <c r="NN43" s="254"/>
      <c r="NO43" s="254"/>
      <c r="NP43" s="254"/>
      <c r="NQ43" s="254"/>
      <c r="NR43" s="254"/>
      <c r="NS43" s="254"/>
      <c r="NT43" s="254"/>
      <c r="NU43" s="254"/>
      <c r="NV43" s="254"/>
      <c r="NW43" s="254"/>
      <c r="NX43" s="254"/>
      <c r="NY43" s="254"/>
      <c r="NZ43" s="254"/>
      <c r="OA43" s="254"/>
      <c r="OB43" s="254"/>
      <c r="OC43" s="254"/>
      <c r="OD43" s="255"/>
      <c r="OE43" s="255"/>
      <c r="OF43" s="254"/>
      <c r="OG43" s="254"/>
      <c r="OH43" s="254"/>
      <c r="OI43" s="254"/>
      <c r="OJ43" s="254"/>
      <c r="OK43" s="254"/>
      <c r="OL43" s="254"/>
      <c r="OM43" s="254"/>
      <c r="ON43" s="254"/>
      <c r="OO43" s="254"/>
      <c r="OP43" s="254"/>
      <c r="OQ43" s="254"/>
      <c r="OR43" s="254"/>
      <c r="OS43" s="255"/>
      <c r="OT43" s="254"/>
      <c r="OU43" s="254"/>
      <c r="OV43" s="254"/>
      <c r="OW43" s="254"/>
      <c r="OX43" s="254"/>
      <c r="OY43" s="255"/>
      <c r="OZ43" s="254"/>
      <c r="PA43" s="254"/>
      <c r="PB43" s="254"/>
      <c r="PC43" s="254"/>
      <c r="PD43" s="254"/>
      <c r="PE43" s="254"/>
      <c r="PF43" s="254"/>
      <c r="PG43" s="254"/>
      <c r="PH43" s="254"/>
      <c r="PI43" s="254"/>
      <c r="PJ43" s="254"/>
      <c r="PK43" s="254"/>
      <c r="PL43" s="254"/>
      <c r="PM43" s="254"/>
      <c r="PN43" s="254"/>
      <c r="PO43" s="254"/>
      <c r="PP43" s="254"/>
      <c r="PQ43" s="254"/>
      <c r="PR43" s="254"/>
      <c r="PS43" s="254"/>
      <c r="PT43" s="254"/>
      <c r="PU43" s="254"/>
      <c r="PV43" s="254"/>
      <c r="PW43" s="254"/>
      <c r="PX43" s="254"/>
      <c r="PY43" s="254"/>
      <c r="PZ43" s="254"/>
      <c r="QA43" s="254"/>
      <c r="QB43" s="254"/>
      <c r="QC43" s="254"/>
      <c r="QD43" s="254"/>
      <c r="QE43" s="254"/>
      <c r="QF43" s="254"/>
      <c r="QG43" s="254"/>
      <c r="QH43" s="254"/>
      <c r="QI43" s="256"/>
    </row>
    <row r="44" spans="1:451" ht="18" customHeight="1" x14ac:dyDescent="0.2">
      <c r="A44" s="251" t="s">
        <v>437</v>
      </c>
      <c r="B44" s="245"/>
      <c r="C44" s="242"/>
      <c r="D44" s="242"/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2"/>
      <c r="P44" s="242"/>
      <c r="Q44" s="242"/>
      <c r="R44" s="242"/>
      <c r="S44" s="242"/>
      <c r="T44" s="242"/>
      <c r="U44" s="242"/>
      <c r="V44" s="242"/>
      <c r="W44" s="242"/>
      <c r="X44" s="242"/>
      <c r="Y44" s="242"/>
      <c r="Z44" s="242"/>
      <c r="AA44" s="242"/>
      <c r="AB44" s="242"/>
      <c r="AC44" s="243"/>
      <c r="AD44" s="242"/>
      <c r="AE44" s="242"/>
      <c r="AF44" s="242"/>
      <c r="AG44" s="242"/>
      <c r="AH44" s="242"/>
      <c r="AI44" s="242"/>
      <c r="AJ44" s="242"/>
      <c r="AK44" s="242"/>
      <c r="AL44" s="242"/>
      <c r="AM44" s="242"/>
      <c r="AN44" s="242"/>
      <c r="AO44" s="242"/>
      <c r="AP44" s="242"/>
      <c r="AQ44" s="242"/>
      <c r="AR44" s="243"/>
      <c r="AS44" s="242"/>
      <c r="AT44" s="242"/>
      <c r="AU44" s="242"/>
      <c r="AV44" s="242"/>
      <c r="AW44" s="242"/>
      <c r="AX44" s="242"/>
      <c r="AY44" s="242"/>
      <c r="AZ44" s="242"/>
      <c r="BA44" s="242"/>
      <c r="BB44" s="242"/>
      <c r="BC44" s="242"/>
      <c r="BD44" s="242"/>
      <c r="BE44" s="242"/>
      <c r="BF44" s="257"/>
      <c r="BG44" s="254"/>
      <c r="BH44" s="254"/>
      <c r="BI44" s="252" t="s">
        <v>330</v>
      </c>
      <c r="BJ44" s="252" t="s">
        <v>331</v>
      </c>
      <c r="BK44" s="252" t="s">
        <v>332</v>
      </c>
      <c r="BL44" s="252" t="s">
        <v>333</v>
      </c>
      <c r="BM44" s="252" t="s">
        <v>334</v>
      </c>
      <c r="BN44" s="253" t="s">
        <v>433</v>
      </c>
      <c r="BO44" s="254" t="s">
        <v>434</v>
      </c>
      <c r="BP44" s="254" t="s">
        <v>435</v>
      </c>
      <c r="BQ44" s="254" t="s">
        <v>338</v>
      </c>
      <c r="BR44" s="254" t="s">
        <v>339</v>
      </c>
      <c r="BS44" s="254" t="s">
        <v>340</v>
      </c>
      <c r="BT44" s="254" t="s">
        <v>341</v>
      </c>
      <c r="BU44" s="254" t="s">
        <v>342</v>
      </c>
      <c r="BV44" s="254" t="s">
        <v>343</v>
      </c>
      <c r="BW44" s="254" t="s">
        <v>344</v>
      </c>
      <c r="BX44" s="254" t="s">
        <v>345</v>
      </c>
      <c r="BY44" s="254" t="s">
        <v>346</v>
      </c>
      <c r="BZ44" s="254" t="s">
        <v>347</v>
      </c>
      <c r="CA44" s="254" t="s">
        <v>348</v>
      </c>
      <c r="CB44" s="254" t="s">
        <v>349</v>
      </c>
      <c r="CC44" s="255"/>
      <c r="CD44" s="255"/>
      <c r="CE44" s="254" t="s">
        <v>350</v>
      </c>
      <c r="CF44" s="254" t="s">
        <v>351</v>
      </c>
      <c r="CG44" s="254" t="s">
        <v>352</v>
      </c>
      <c r="CH44" s="254" t="s">
        <v>353</v>
      </c>
      <c r="CI44" s="254" t="s">
        <v>354</v>
      </c>
      <c r="CJ44" s="254" t="s">
        <v>355</v>
      </c>
      <c r="CK44" s="254" t="s">
        <v>356</v>
      </c>
      <c r="CL44" s="254" t="s">
        <v>357</v>
      </c>
      <c r="CM44" s="254" t="s">
        <v>358</v>
      </c>
      <c r="CN44" s="254" t="s">
        <v>359</v>
      </c>
      <c r="CO44" s="254" t="s">
        <v>360</v>
      </c>
      <c r="CP44" s="254" t="s">
        <v>361</v>
      </c>
      <c r="CQ44" s="254" t="s">
        <v>362</v>
      </c>
      <c r="CR44" s="255"/>
      <c r="CS44" s="254" t="s">
        <v>363</v>
      </c>
      <c r="CT44" s="254" t="s">
        <v>364</v>
      </c>
      <c r="CU44" s="254" t="s">
        <v>365</v>
      </c>
      <c r="CV44" s="254" t="s">
        <v>366</v>
      </c>
      <c r="CW44" s="254" t="s">
        <v>367</v>
      </c>
      <c r="CX44" s="255"/>
      <c r="CY44" s="254" t="s">
        <v>368</v>
      </c>
      <c r="CZ44" s="254" t="s">
        <v>369</v>
      </c>
      <c r="DA44" s="254" t="s">
        <v>370</v>
      </c>
      <c r="DB44" s="254" t="s">
        <v>371</v>
      </c>
      <c r="DC44" s="254" t="s">
        <v>372</v>
      </c>
      <c r="DD44" s="254" t="s">
        <v>373</v>
      </c>
      <c r="DE44" s="254" t="s">
        <v>374</v>
      </c>
      <c r="DF44" s="254" t="s">
        <v>375</v>
      </c>
      <c r="DG44" s="254" t="s">
        <v>376</v>
      </c>
      <c r="DH44" s="254" t="s">
        <v>377</v>
      </c>
      <c r="DI44" s="254" t="s">
        <v>378</v>
      </c>
      <c r="DJ44" s="254" t="s">
        <v>379</v>
      </c>
      <c r="DK44" s="254" t="s">
        <v>380</v>
      </c>
      <c r="DL44" s="254" t="s">
        <v>381</v>
      </c>
      <c r="DM44" s="254" t="s">
        <v>382</v>
      </c>
      <c r="DN44" s="254" t="s">
        <v>383</v>
      </c>
      <c r="DO44" s="254" t="s">
        <v>384</v>
      </c>
      <c r="DP44" s="254" t="s">
        <v>385</v>
      </c>
      <c r="DQ44" s="254" t="s">
        <v>386</v>
      </c>
      <c r="DR44" s="254" t="s">
        <v>387</v>
      </c>
      <c r="DS44" s="254" t="s">
        <v>388</v>
      </c>
      <c r="DT44" s="254" t="s">
        <v>389</v>
      </c>
      <c r="DU44" s="254" t="s">
        <v>390</v>
      </c>
      <c r="DV44" s="254" t="s">
        <v>391</v>
      </c>
      <c r="DW44" s="254" t="s">
        <v>392</v>
      </c>
      <c r="DX44" s="254" t="s">
        <v>393</v>
      </c>
      <c r="DY44" s="254" t="s">
        <v>394</v>
      </c>
      <c r="DZ44" s="254" t="s">
        <v>395</v>
      </c>
      <c r="EA44" s="254" t="s">
        <v>396</v>
      </c>
      <c r="EB44" s="254" t="s">
        <v>397</v>
      </c>
      <c r="EC44" s="254" t="s">
        <v>398</v>
      </c>
      <c r="ED44" s="254" t="s">
        <v>399</v>
      </c>
      <c r="EE44" s="254" t="s">
        <v>400</v>
      </c>
      <c r="EF44" s="254" t="s">
        <v>401</v>
      </c>
      <c r="EG44" s="254" t="s">
        <v>402</v>
      </c>
      <c r="EH44" s="254" t="s">
        <v>403</v>
      </c>
      <c r="EI44" s="254" t="s">
        <v>404</v>
      </c>
      <c r="EJ44" s="254" t="s">
        <v>405</v>
      </c>
      <c r="EK44" s="254" t="s">
        <v>406</v>
      </c>
      <c r="EL44" s="254" t="s">
        <v>407</v>
      </c>
      <c r="EM44" s="254" t="s">
        <v>408</v>
      </c>
      <c r="EN44" s="254" t="s">
        <v>409</v>
      </c>
      <c r="EO44" s="254" t="s">
        <v>410</v>
      </c>
      <c r="EP44" s="254" t="s">
        <v>411</v>
      </c>
      <c r="EQ44" s="254" t="s">
        <v>412</v>
      </c>
      <c r="ER44" s="254" t="s">
        <v>413</v>
      </c>
      <c r="ES44" s="254" t="s">
        <v>414</v>
      </c>
      <c r="ET44" s="254" t="s">
        <v>415</v>
      </c>
      <c r="EU44" s="254" t="s">
        <v>416</v>
      </c>
      <c r="EV44" s="254" t="s">
        <v>417</v>
      </c>
      <c r="EW44" s="254" t="s">
        <v>418</v>
      </c>
      <c r="EX44" s="254" t="s">
        <v>419</v>
      </c>
      <c r="EY44" s="254" t="s">
        <v>420</v>
      </c>
      <c r="EZ44" s="254" t="s">
        <v>421</v>
      </c>
      <c r="FA44" s="254" t="s">
        <v>422</v>
      </c>
      <c r="FB44" s="254"/>
      <c r="FC44" s="254"/>
      <c r="FD44" s="254"/>
      <c r="FE44" s="254"/>
      <c r="FF44" s="254"/>
      <c r="FG44" s="254"/>
      <c r="FH44" s="254"/>
      <c r="FI44" s="254"/>
      <c r="FJ44" s="254"/>
      <c r="FK44" s="254"/>
      <c r="FL44" s="254"/>
      <c r="FM44" s="254"/>
      <c r="FN44" s="254"/>
      <c r="FO44" s="254"/>
      <c r="FP44" s="254"/>
      <c r="FQ44" s="255"/>
      <c r="FR44" s="255"/>
      <c r="FS44" s="254"/>
      <c r="FT44" s="254"/>
      <c r="FU44" s="254"/>
      <c r="FV44" s="254"/>
      <c r="FW44" s="254"/>
      <c r="FX44" s="254"/>
      <c r="FY44" s="254"/>
      <c r="FZ44" s="254"/>
      <c r="GA44" s="254"/>
      <c r="GB44" s="254"/>
      <c r="GC44" s="254"/>
      <c r="GD44" s="254"/>
      <c r="GE44" s="254"/>
      <c r="GF44" s="254"/>
      <c r="GG44" s="254"/>
      <c r="GH44" s="254"/>
      <c r="GI44" s="254"/>
      <c r="GJ44" s="254"/>
      <c r="GK44" s="254"/>
      <c r="GL44" s="254"/>
      <c r="GM44" s="254"/>
      <c r="GN44" s="254"/>
      <c r="GO44" s="254"/>
      <c r="GP44" s="254"/>
      <c r="GQ44" s="254"/>
      <c r="GR44" s="254"/>
      <c r="GS44" s="254"/>
      <c r="GT44" s="254"/>
      <c r="GU44" s="254"/>
      <c r="GV44" s="254"/>
      <c r="GW44" s="255"/>
      <c r="GX44" s="254"/>
      <c r="GY44" s="254"/>
      <c r="GZ44" s="254"/>
      <c r="HA44" s="254"/>
      <c r="HB44" s="254"/>
      <c r="HC44" s="254"/>
      <c r="HD44" s="254"/>
      <c r="HE44" s="254"/>
      <c r="HF44" s="254"/>
      <c r="HG44" s="254"/>
      <c r="HH44" s="254"/>
      <c r="HI44" s="254"/>
      <c r="HJ44" s="254"/>
      <c r="HK44" s="254"/>
      <c r="HL44" s="254"/>
      <c r="HM44" s="254"/>
      <c r="HN44" s="254"/>
      <c r="HO44" s="254"/>
      <c r="HP44" s="254"/>
      <c r="HQ44" s="254"/>
      <c r="HR44" s="254"/>
      <c r="HS44" s="254"/>
      <c r="HT44" s="254"/>
      <c r="HU44" s="254"/>
      <c r="HV44" s="254"/>
      <c r="HW44" s="254"/>
      <c r="HX44" s="254"/>
      <c r="HY44" s="254"/>
      <c r="HZ44" s="254"/>
      <c r="IA44" s="254"/>
      <c r="IB44" s="254"/>
      <c r="IC44" s="254"/>
      <c r="ID44" s="254"/>
      <c r="IE44" s="254"/>
      <c r="IF44" s="254"/>
      <c r="IG44" s="254"/>
      <c r="IH44" s="254"/>
      <c r="II44" s="254"/>
      <c r="IJ44" s="254"/>
      <c r="IK44" s="254"/>
      <c r="IL44" s="254"/>
      <c r="IM44" s="254"/>
      <c r="IN44" s="254"/>
      <c r="IO44" s="254"/>
      <c r="IP44" s="254"/>
      <c r="IQ44" s="254"/>
      <c r="IR44" s="254"/>
      <c r="IS44" s="254"/>
      <c r="IT44" s="254"/>
      <c r="IU44" s="254"/>
      <c r="IV44" s="255"/>
      <c r="IW44" s="254"/>
      <c r="IX44" s="254"/>
      <c r="IY44" s="254"/>
      <c r="IZ44" s="254"/>
      <c r="JA44" s="254"/>
      <c r="JB44" s="254"/>
      <c r="JC44" s="254"/>
      <c r="JD44" s="254"/>
      <c r="JE44" s="254"/>
      <c r="JF44" s="254"/>
      <c r="JG44" s="254"/>
      <c r="JH44" s="254"/>
      <c r="JI44" s="254"/>
      <c r="JJ44" s="254"/>
      <c r="JK44" s="254"/>
      <c r="JL44" s="254"/>
      <c r="JM44" s="254"/>
      <c r="JN44" s="254"/>
      <c r="JO44" s="254"/>
      <c r="JP44" s="255"/>
      <c r="JQ44" s="254"/>
      <c r="JR44" s="254"/>
      <c r="JS44" s="254"/>
      <c r="JT44" s="255"/>
      <c r="JU44" s="255"/>
      <c r="JV44" s="254"/>
      <c r="JW44" s="254"/>
      <c r="JX44" s="254"/>
      <c r="JY44" s="254"/>
      <c r="JZ44" s="254"/>
      <c r="KA44" s="254"/>
      <c r="KB44" s="255"/>
      <c r="KC44" s="254"/>
      <c r="KD44" s="254"/>
      <c r="KE44" s="254"/>
      <c r="KF44" s="254"/>
      <c r="KG44" s="254"/>
      <c r="KH44" s="254"/>
      <c r="KI44" s="254"/>
      <c r="KJ44" s="254"/>
      <c r="KK44" s="254"/>
      <c r="KL44" s="254"/>
      <c r="KM44" s="254"/>
      <c r="KN44" s="254"/>
      <c r="KO44" s="254"/>
      <c r="KP44" s="254"/>
      <c r="KQ44" s="254"/>
      <c r="KR44" s="254"/>
      <c r="KS44" s="254"/>
      <c r="KT44" s="254"/>
      <c r="KU44" s="254"/>
      <c r="KV44" s="255"/>
      <c r="KW44" s="254"/>
      <c r="KX44" s="254"/>
      <c r="KY44" s="254"/>
      <c r="KZ44" s="254"/>
      <c r="LA44" s="254"/>
      <c r="LB44" s="254"/>
      <c r="LC44" s="254"/>
      <c r="LD44" s="254"/>
      <c r="LE44" s="254"/>
      <c r="LF44" s="254"/>
      <c r="LG44" s="254"/>
      <c r="LH44" s="254"/>
      <c r="LI44" s="254"/>
      <c r="LJ44" s="254"/>
      <c r="LK44" s="254"/>
      <c r="LL44" s="254"/>
      <c r="LM44" s="254"/>
      <c r="LN44" s="254"/>
      <c r="LO44" s="254"/>
      <c r="LP44" s="254"/>
      <c r="LQ44" s="254"/>
      <c r="LR44" s="254"/>
      <c r="LS44" s="254"/>
      <c r="LT44" s="254"/>
      <c r="LU44" s="254"/>
      <c r="LV44" s="254"/>
      <c r="LW44" s="254"/>
      <c r="LX44" s="254"/>
      <c r="LY44" s="254"/>
      <c r="LZ44" s="254"/>
      <c r="MA44" s="254"/>
      <c r="MB44" s="254"/>
      <c r="MC44" s="254"/>
      <c r="MD44" s="255"/>
      <c r="ME44" s="254"/>
      <c r="MF44" s="254"/>
      <c r="MG44" s="254"/>
      <c r="MH44" s="254"/>
      <c r="MI44" s="254"/>
      <c r="MJ44" s="254"/>
      <c r="MK44" s="254"/>
      <c r="ML44" s="254"/>
      <c r="MM44" s="254"/>
      <c r="MN44" s="254"/>
      <c r="MO44" s="254"/>
      <c r="MP44" s="254"/>
      <c r="MQ44" s="254"/>
      <c r="MR44" s="254"/>
      <c r="MS44" s="254"/>
      <c r="MT44" s="254"/>
      <c r="MU44" s="254"/>
      <c r="MV44" s="254"/>
      <c r="MW44" s="254"/>
      <c r="MX44" s="255"/>
      <c r="MY44" s="254"/>
      <c r="MZ44" s="254"/>
      <c r="NA44" s="254"/>
      <c r="NB44" s="254"/>
      <c r="NC44" s="254"/>
      <c r="ND44" s="254"/>
      <c r="NE44" s="254"/>
      <c r="NF44" s="254"/>
      <c r="NG44" s="254"/>
      <c r="NH44" s="254"/>
      <c r="NI44" s="254"/>
      <c r="NJ44" s="254"/>
      <c r="NK44" s="254"/>
      <c r="NL44" s="254"/>
      <c r="NM44" s="254"/>
      <c r="NN44" s="254"/>
      <c r="NO44" s="254"/>
      <c r="NP44" s="254"/>
      <c r="NQ44" s="254"/>
      <c r="NR44" s="254"/>
      <c r="NS44" s="254"/>
      <c r="NT44" s="254"/>
      <c r="NU44" s="254"/>
      <c r="NV44" s="254"/>
      <c r="NW44" s="254"/>
      <c r="NX44" s="254"/>
      <c r="NY44" s="254"/>
      <c r="NZ44" s="254"/>
      <c r="OA44" s="254"/>
      <c r="OB44" s="254"/>
      <c r="OC44" s="254"/>
      <c r="OD44" s="255"/>
      <c r="OE44" s="255"/>
      <c r="OF44" s="254"/>
      <c r="OG44" s="254"/>
      <c r="OH44" s="254"/>
      <c r="OI44" s="254"/>
      <c r="OJ44" s="254"/>
      <c r="OK44" s="254"/>
      <c r="OL44" s="254"/>
      <c r="OM44" s="254"/>
      <c r="ON44" s="254"/>
      <c r="OO44" s="254"/>
      <c r="OP44" s="254"/>
      <c r="OQ44" s="254"/>
      <c r="OR44" s="254"/>
      <c r="OS44" s="255"/>
      <c r="OT44" s="254"/>
      <c r="OU44" s="254"/>
      <c r="OV44" s="254"/>
      <c r="OW44" s="254"/>
      <c r="OX44" s="254"/>
      <c r="OY44" s="255"/>
      <c r="OZ44" s="254"/>
      <c r="PA44" s="254"/>
      <c r="PB44" s="254"/>
      <c r="PC44" s="254"/>
      <c r="PD44" s="254"/>
      <c r="PE44" s="254"/>
      <c r="PF44" s="254"/>
      <c r="PG44" s="254"/>
      <c r="PH44" s="254"/>
      <c r="PI44" s="254"/>
      <c r="PJ44" s="254"/>
      <c r="PK44" s="254"/>
      <c r="PL44" s="254"/>
      <c r="PM44" s="254"/>
      <c r="PN44" s="254"/>
      <c r="PO44" s="254"/>
      <c r="PP44" s="254"/>
      <c r="PQ44" s="254"/>
      <c r="PR44" s="254"/>
      <c r="PS44" s="254"/>
      <c r="PT44" s="254"/>
      <c r="PU44" s="254"/>
      <c r="PV44" s="254"/>
      <c r="PW44" s="254"/>
      <c r="PX44" s="254"/>
      <c r="PY44" s="254"/>
      <c r="PZ44" s="254"/>
      <c r="QA44" s="254"/>
      <c r="QB44" s="254"/>
      <c r="QC44" s="254"/>
      <c r="QD44" s="254"/>
      <c r="QE44" s="254"/>
      <c r="QF44" s="254"/>
      <c r="QG44" s="254"/>
      <c r="QH44" s="254"/>
      <c r="QI44" s="256"/>
    </row>
    <row r="45" spans="1:451" ht="18" customHeight="1" x14ac:dyDescent="0.2">
      <c r="A45" s="251" t="s">
        <v>438</v>
      </c>
      <c r="B45" s="245"/>
      <c r="C45" s="242"/>
      <c r="D45" s="242"/>
      <c r="E45" s="242"/>
      <c r="F45" s="242"/>
      <c r="G45" s="242"/>
      <c r="H45" s="242"/>
      <c r="I45" s="242"/>
      <c r="J45" s="242"/>
      <c r="K45" s="242"/>
      <c r="L45" s="242"/>
      <c r="M45" s="242"/>
      <c r="N45" s="242"/>
      <c r="O45" s="242"/>
      <c r="P45" s="242"/>
      <c r="Q45" s="242"/>
      <c r="R45" s="242"/>
      <c r="S45" s="242"/>
      <c r="T45" s="242"/>
      <c r="U45" s="242"/>
      <c r="V45" s="242"/>
      <c r="W45" s="242"/>
      <c r="X45" s="242"/>
      <c r="Y45" s="242"/>
      <c r="Z45" s="242"/>
      <c r="AA45" s="242"/>
      <c r="AB45" s="242"/>
      <c r="AC45" s="243"/>
      <c r="AD45" s="242"/>
      <c r="AE45" s="242"/>
      <c r="AF45" s="242"/>
      <c r="AG45" s="242"/>
      <c r="AH45" s="242"/>
      <c r="AI45" s="242"/>
      <c r="AJ45" s="242"/>
      <c r="AK45" s="242"/>
      <c r="AL45" s="242"/>
      <c r="AM45" s="242"/>
      <c r="AN45" s="242"/>
      <c r="AO45" s="242"/>
      <c r="AP45" s="242"/>
      <c r="AQ45" s="242"/>
      <c r="AR45" s="243"/>
      <c r="AS45" s="242"/>
      <c r="AT45" s="242"/>
      <c r="AU45" s="242"/>
      <c r="AV45" s="242"/>
      <c r="AW45" s="242"/>
      <c r="AX45" s="242"/>
      <c r="AY45" s="242"/>
      <c r="AZ45" s="242"/>
      <c r="BA45" s="242"/>
      <c r="BB45" s="242"/>
      <c r="BC45" s="242"/>
      <c r="BD45" s="242"/>
      <c r="BE45" s="242"/>
      <c r="BF45" s="254"/>
      <c r="BG45" s="254"/>
      <c r="BH45" s="254"/>
      <c r="BI45" s="252" t="s">
        <v>330</v>
      </c>
      <c r="BJ45" s="252" t="s">
        <v>331</v>
      </c>
      <c r="BK45" s="252" t="s">
        <v>332</v>
      </c>
      <c r="BL45" s="252" t="s">
        <v>333</v>
      </c>
      <c r="BM45" s="252" t="s">
        <v>334</v>
      </c>
      <c r="BN45" s="253" t="s">
        <v>433</v>
      </c>
      <c r="BO45" s="254" t="s">
        <v>434</v>
      </c>
      <c r="BP45" s="254" t="s">
        <v>435</v>
      </c>
      <c r="BQ45" s="254" t="s">
        <v>338</v>
      </c>
      <c r="BR45" s="254" t="s">
        <v>339</v>
      </c>
      <c r="BS45" s="254" t="s">
        <v>340</v>
      </c>
      <c r="BT45" s="254" t="s">
        <v>341</v>
      </c>
      <c r="BU45" s="254" t="s">
        <v>342</v>
      </c>
      <c r="BV45" s="254" t="s">
        <v>343</v>
      </c>
      <c r="BW45" s="254" t="s">
        <v>344</v>
      </c>
      <c r="BX45" s="254" t="s">
        <v>345</v>
      </c>
      <c r="BY45" s="254" t="s">
        <v>346</v>
      </c>
      <c r="BZ45" s="254" t="s">
        <v>347</v>
      </c>
      <c r="CA45" s="254" t="s">
        <v>348</v>
      </c>
      <c r="CB45" s="254" t="s">
        <v>349</v>
      </c>
      <c r="CC45" s="255"/>
      <c r="CD45" s="255"/>
      <c r="CE45" s="254" t="s">
        <v>350</v>
      </c>
      <c r="CF45" s="254" t="s">
        <v>351</v>
      </c>
      <c r="CG45" s="254" t="s">
        <v>352</v>
      </c>
      <c r="CH45" s="254" t="s">
        <v>353</v>
      </c>
      <c r="CI45" s="254" t="s">
        <v>354</v>
      </c>
      <c r="CJ45" s="254" t="s">
        <v>355</v>
      </c>
      <c r="CK45" s="254" t="s">
        <v>356</v>
      </c>
      <c r="CL45" s="254" t="s">
        <v>357</v>
      </c>
      <c r="CM45" s="254" t="s">
        <v>358</v>
      </c>
      <c r="CN45" s="254" t="s">
        <v>359</v>
      </c>
      <c r="CO45" s="254" t="s">
        <v>360</v>
      </c>
      <c r="CP45" s="254" t="s">
        <v>361</v>
      </c>
      <c r="CQ45" s="254" t="s">
        <v>362</v>
      </c>
      <c r="CR45" s="255"/>
      <c r="CS45" s="254" t="s">
        <v>363</v>
      </c>
      <c r="CT45" s="254" t="s">
        <v>364</v>
      </c>
      <c r="CU45" s="254" t="s">
        <v>365</v>
      </c>
      <c r="CV45" s="254" t="s">
        <v>366</v>
      </c>
      <c r="CW45" s="254" t="s">
        <v>367</v>
      </c>
      <c r="CX45" s="255"/>
      <c r="CY45" s="254" t="s">
        <v>368</v>
      </c>
      <c r="CZ45" s="254" t="s">
        <v>369</v>
      </c>
      <c r="DA45" s="254" t="s">
        <v>370</v>
      </c>
      <c r="DB45" s="254" t="s">
        <v>371</v>
      </c>
      <c r="DC45" s="254" t="s">
        <v>372</v>
      </c>
      <c r="DD45" s="254" t="s">
        <v>373</v>
      </c>
      <c r="DE45" s="254" t="s">
        <v>374</v>
      </c>
      <c r="DF45" s="254" t="s">
        <v>375</v>
      </c>
      <c r="DG45" s="254" t="s">
        <v>376</v>
      </c>
      <c r="DH45" s="254" t="s">
        <v>377</v>
      </c>
      <c r="DI45" s="254" t="s">
        <v>378</v>
      </c>
      <c r="DJ45" s="254" t="s">
        <v>379</v>
      </c>
      <c r="DK45" s="254" t="s">
        <v>380</v>
      </c>
      <c r="DL45" s="254" t="s">
        <v>381</v>
      </c>
      <c r="DM45" s="254" t="s">
        <v>382</v>
      </c>
      <c r="DN45" s="254" t="s">
        <v>383</v>
      </c>
      <c r="DO45" s="254" t="s">
        <v>384</v>
      </c>
      <c r="DP45" s="254" t="s">
        <v>385</v>
      </c>
      <c r="DQ45" s="254" t="s">
        <v>386</v>
      </c>
      <c r="DR45" s="254" t="s">
        <v>387</v>
      </c>
      <c r="DS45" s="254" t="s">
        <v>388</v>
      </c>
      <c r="DT45" s="254" t="s">
        <v>389</v>
      </c>
      <c r="DU45" s="254" t="s">
        <v>390</v>
      </c>
      <c r="DV45" s="254" t="s">
        <v>391</v>
      </c>
      <c r="DW45" s="254" t="s">
        <v>392</v>
      </c>
      <c r="DX45" s="254" t="s">
        <v>393</v>
      </c>
      <c r="DY45" s="254" t="s">
        <v>394</v>
      </c>
      <c r="DZ45" s="254" t="s">
        <v>395</v>
      </c>
      <c r="EA45" s="254" t="s">
        <v>396</v>
      </c>
      <c r="EB45" s="254" t="s">
        <v>397</v>
      </c>
      <c r="EC45" s="254" t="s">
        <v>398</v>
      </c>
      <c r="ED45" s="254" t="s">
        <v>399</v>
      </c>
      <c r="EE45" s="254" t="s">
        <v>400</v>
      </c>
      <c r="EF45" s="254" t="s">
        <v>401</v>
      </c>
      <c r="EG45" s="254" t="s">
        <v>402</v>
      </c>
      <c r="EH45" s="254" t="s">
        <v>403</v>
      </c>
      <c r="EI45" s="254" t="s">
        <v>404</v>
      </c>
      <c r="EJ45" s="254" t="s">
        <v>405</v>
      </c>
      <c r="EK45" s="254" t="s">
        <v>406</v>
      </c>
      <c r="EL45" s="254" t="s">
        <v>407</v>
      </c>
      <c r="EM45" s="254" t="s">
        <v>408</v>
      </c>
      <c r="EN45" s="254" t="s">
        <v>409</v>
      </c>
      <c r="EO45" s="254" t="s">
        <v>410</v>
      </c>
      <c r="EP45" s="254" t="s">
        <v>411</v>
      </c>
      <c r="EQ45" s="254" t="s">
        <v>412</v>
      </c>
      <c r="ER45" s="254" t="s">
        <v>413</v>
      </c>
      <c r="ES45" s="254" t="s">
        <v>414</v>
      </c>
      <c r="ET45" s="254" t="s">
        <v>415</v>
      </c>
      <c r="EU45" s="254" t="s">
        <v>416</v>
      </c>
      <c r="EV45" s="254" t="s">
        <v>417</v>
      </c>
      <c r="EW45" s="254" t="s">
        <v>418</v>
      </c>
      <c r="EX45" s="254" t="s">
        <v>419</v>
      </c>
      <c r="EY45" s="254" t="s">
        <v>420</v>
      </c>
      <c r="EZ45" s="254" t="s">
        <v>421</v>
      </c>
      <c r="FA45" s="254" t="s">
        <v>422</v>
      </c>
      <c r="FB45" s="254"/>
      <c r="FC45" s="254"/>
      <c r="FD45" s="254"/>
      <c r="FE45" s="254"/>
      <c r="FF45" s="254"/>
      <c r="FG45" s="254"/>
      <c r="FH45" s="254"/>
      <c r="FI45" s="254"/>
      <c r="FJ45" s="254"/>
      <c r="FK45" s="254"/>
      <c r="FL45" s="254"/>
      <c r="FM45" s="254"/>
      <c r="FN45" s="254"/>
      <c r="FO45" s="254"/>
      <c r="FP45" s="254"/>
      <c r="FQ45" s="255"/>
      <c r="FR45" s="255"/>
      <c r="FS45" s="254"/>
      <c r="FT45" s="254"/>
      <c r="FU45" s="254"/>
      <c r="FV45" s="254"/>
      <c r="FW45" s="254"/>
      <c r="FX45" s="254"/>
      <c r="FY45" s="254"/>
      <c r="FZ45" s="254"/>
      <c r="GA45" s="254"/>
      <c r="GB45" s="254"/>
      <c r="GC45" s="254"/>
      <c r="GD45" s="254"/>
      <c r="GE45" s="254"/>
      <c r="GF45" s="254"/>
      <c r="GG45" s="254"/>
      <c r="GH45" s="254"/>
      <c r="GI45" s="254"/>
      <c r="GJ45" s="254"/>
      <c r="GK45" s="254"/>
      <c r="GL45" s="254"/>
      <c r="GM45" s="254"/>
      <c r="GN45" s="254"/>
      <c r="GO45" s="254"/>
      <c r="GP45" s="254"/>
      <c r="GQ45" s="254"/>
      <c r="GR45" s="254"/>
      <c r="GS45" s="254"/>
      <c r="GT45" s="254"/>
      <c r="GU45" s="254"/>
      <c r="GV45" s="254"/>
      <c r="GW45" s="255"/>
      <c r="GX45" s="254"/>
      <c r="GY45" s="254"/>
      <c r="GZ45" s="254"/>
      <c r="HA45" s="254"/>
      <c r="HB45" s="254"/>
      <c r="HC45" s="254"/>
      <c r="HD45" s="254"/>
      <c r="HE45" s="254"/>
      <c r="HF45" s="254"/>
      <c r="HG45" s="254"/>
      <c r="HH45" s="254"/>
      <c r="HI45" s="254"/>
      <c r="HJ45" s="254"/>
      <c r="HK45" s="254"/>
      <c r="HL45" s="254"/>
      <c r="HM45" s="254"/>
      <c r="HN45" s="254"/>
      <c r="HO45" s="254"/>
      <c r="HP45" s="254"/>
      <c r="HQ45" s="254"/>
      <c r="HR45" s="254"/>
      <c r="HS45" s="254"/>
      <c r="HT45" s="254"/>
      <c r="HU45" s="254"/>
      <c r="HV45" s="254"/>
      <c r="HW45" s="254"/>
      <c r="HX45" s="254"/>
      <c r="HY45" s="254"/>
      <c r="HZ45" s="254"/>
      <c r="IA45" s="254"/>
      <c r="IB45" s="254"/>
      <c r="IC45" s="254"/>
      <c r="ID45" s="254"/>
      <c r="IE45" s="254"/>
      <c r="IF45" s="254"/>
      <c r="IG45" s="254"/>
      <c r="IH45" s="254"/>
      <c r="II45" s="254"/>
      <c r="IJ45" s="254"/>
      <c r="IK45" s="254"/>
      <c r="IL45" s="254"/>
      <c r="IM45" s="254"/>
      <c r="IN45" s="254"/>
      <c r="IO45" s="254"/>
      <c r="IP45" s="254"/>
      <c r="IQ45" s="254"/>
      <c r="IR45" s="254"/>
      <c r="IS45" s="254"/>
      <c r="IT45" s="254"/>
      <c r="IU45" s="254"/>
      <c r="IV45" s="255"/>
      <c r="IW45" s="254"/>
      <c r="IX45" s="254"/>
      <c r="IY45" s="254"/>
      <c r="IZ45" s="254"/>
      <c r="JA45" s="254"/>
      <c r="JB45" s="254"/>
      <c r="JC45" s="254"/>
      <c r="JD45" s="254"/>
      <c r="JE45" s="254"/>
      <c r="JF45" s="254"/>
      <c r="JG45" s="254"/>
      <c r="JH45" s="254"/>
      <c r="JI45" s="254"/>
      <c r="JJ45" s="254"/>
      <c r="JK45" s="254"/>
      <c r="JL45" s="254"/>
      <c r="JM45" s="254"/>
      <c r="JN45" s="254"/>
      <c r="JO45" s="254"/>
      <c r="JP45" s="255"/>
      <c r="JQ45" s="254"/>
      <c r="JR45" s="254"/>
      <c r="JS45" s="254"/>
      <c r="JT45" s="255"/>
      <c r="JU45" s="255"/>
      <c r="JV45" s="254"/>
      <c r="JW45" s="254"/>
      <c r="JX45" s="254"/>
      <c r="JY45" s="254"/>
      <c r="JZ45" s="254"/>
      <c r="KA45" s="254"/>
      <c r="KB45" s="255"/>
      <c r="KC45" s="254"/>
      <c r="KD45" s="254"/>
      <c r="KE45" s="254"/>
      <c r="KF45" s="254"/>
      <c r="KG45" s="254"/>
      <c r="KH45" s="254"/>
      <c r="KI45" s="254"/>
      <c r="KJ45" s="254"/>
      <c r="KK45" s="254"/>
      <c r="KL45" s="254"/>
      <c r="KM45" s="254"/>
      <c r="KN45" s="254"/>
      <c r="KO45" s="254"/>
      <c r="KP45" s="254"/>
      <c r="KQ45" s="254"/>
      <c r="KR45" s="254"/>
      <c r="KS45" s="254"/>
      <c r="KT45" s="254"/>
      <c r="KU45" s="254"/>
      <c r="KV45" s="255"/>
      <c r="KW45" s="254"/>
      <c r="KX45" s="254"/>
      <c r="KY45" s="254"/>
      <c r="KZ45" s="254"/>
      <c r="LA45" s="254"/>
      <c r="LB45" s="254"/>
      <c r="LC45" s="254"/>
      <c r="LD45" s="254"/>
      <c r="LE45" s="254"/>
      <c r="LF45" s="254"/>
      <c r="LG45" s="254"/>
      <c r="LH45" s="254"/>
      <c r="LI45" s="254"/>
      <c r="LJ45" s="254"/>
      <c r="LK45" s="254"/>
      <c r="LL45" s="254"/>
      <c r="LM45" s="254"/>
      <c r="LN45" s="254"/>
      <c r="LO45" s="254"/>
      <c r="LP45" s="254"/>
      <c r="LQ45" s="254"/>
      <c r="LR45" s="254"/>
      <c r="LS45" s="254"/>
      <c r="LT45" s="254"/>
      <c r="LU45" s="254"/>
      <c r="LV45" s="254"/>
      <c r="LW45" s="254"/>
      <c r="LX45" s="254"/>
      <c r="LY45" s="254"/>
      <c r="LZ45" s="254"/>
      <c r="MA45" s="254"/>
      <c r="MB45" s="254"/>
      <c r="MC45" s="254"/>
      <c r="MD45" s="255"/>
      <c r="ME45" s="254"/>
      <c r="MF45" s="254"/>
      <c r="MG45" s="254"/>
      <c r="MH45" s="254"/>
      <c r="MI45" s="254"/>
      <c r="MJ45" s="254"/>
      <c r="MK45" s="254"/>
      <c r="ML45" s="254"/>
      <c r="MM45" s="254"/>
      <c r="MN45" s="254"/>
      <c r="MO45" s="254"/>
      <c r="MP45" s="254"/>
      <c r="MQ45" s="254"/>
      <c r="MR45" s="254"/>
      <c r="MS45" s="254"/>
      <c r="MT45" s="254"/>
      <c r="MU45" s="254"/>
      <c r="MV45" s="254"/>
      <c r="MW45" s="254"/>
      <c r="MX45" s="255"/>
      <c r="MY45" s="254"/>
      <c r="MZ45" s="254"/>
      <c r="NA45" s="254"/>
      <c r="NB45" s="254"/>
      <c r="NC45" s="254"/>
      <c r="ND45" s="254"/>
      <c r="NE45" s="254"/>
      <c r="NF45" s="254"/>
      <c r="NG45" s="254"/>
      <c r="NH45" s="254"/>
      <c r="NI45" s="254"/>
      <c r="NJ45" s="254"/>
      <c r="NK45" s="254"/>
      <c r="NL45" s="254"/>
      <c r="NM45" s="254"/>
      <c r="NN45" s="254"/>
      <c r="NO45" s="254"/>
      <c r="NP45" s="254"/>
      <c r="NQ45" s="254"/>
      <c r="NR45" s="254"/>
      <c r="NS45" s="254"/>
      <c r="NT45" s="254"/>
      <c r="NU45" s="254"/>
      <c r="NV45" s="254"/>
      <c r="NW45" s="254"/>
      <c r="NX45" s="254"/>
      <c r="NY45" s="254"/>
      <c r="NZ45" s="254"/>
      <c r="OA45" s="254"/>
      <c r="OB45" s="254"/>
      <c r="OC45" s="254"/>
      <c r="OD45" s="255"/>
      <c r="OE45" s="255"/>
      <c r="OF45" s="254"/>
      <c r="OG45" s="254"/>
      <c r="OH45" s="254"/>
      <c r="OI45" s="254"/>
      <c r="OJ45" s="254"/>
      <c r="OK45" s="254"/>
      <c r="OL45" s="254"/>
      <c r="OM45" s="254"/>
      <c r="ON45" s="254"/>
      <c r="OO45" s="254"/>
      <c r="OP45" s="254"/>
      <c r="OQ45" s="254"/>
      <c r="OR45" s="254"/>
      <c r="OS45" s="255"/>
      <c r="OT45" s="254"/>
      <c r="OU45" s="254"/>
      <c r="OV45" s="254"/>
      <c r="OW45" s="254"/>
      <c r="OX45" s="254"/>
      <c r="OY45" s="255"/>
      <c r="OZ45" s="254"/>
      <c r="PA45" s="254"/>
      <c r="PB45" s="254"/>
      <c r="PC45" s="254"/>
      <c r="PD45" s="254"/>
      <c r="PE45" s="254"/>
      <c r="PF45" s="254"/>
      <c r="PG45" s="254"/>
      <c r="PH45" s="254"/>
      <c r="PI45" s="254"/>
      <c r="PJ45" s="254"/>
      <c r="PK45" s="254"/>
      <c r="PL45" s="254"/>
      <c r="PM45" s="254"/>
      <c r="PN45" s="254"/>
      <c r="PO45" s="254"/>
      <c r="PP45" s="254"/>
      <c r="PQ45" s="254"/>
      <c r="PR45" s="254"/>
      <c r="PS45" s="254"/>
      <c r="PT45" s="254"/>
      <c r="PU45" s="254"/>
      <c r="PV45" s="254"/>
      <c r="PW45" s="254"/>
      <c r="PX45" s="254"/>
      <c r="PY45" s="254"/>
      <c r="PZ45" s="254"/>
      <c r="QA45" s="254"/>
      <c r="QB45" s="254"/>
      <c r="QC45" s="254"/>
      <c r="QD45" s="254"/>
      <c r="QE45" s="254"/>
      <c r="QF45" s="254"/>
      <c r="QG45" s="254"/>
      <c r="QH45" s="254"/>
      <c r="QI45" s="256"/>
    </row>
    <row r="46" spans="1:451" ht="18" customHeight="1" x14ac:dyDescent="0.2">
      <c r="A46" s="261" t="s">
        <v>271</v>
      </c>
      <c r="B46" s="245"/>
      <c r="C46" s="242"/>
      <c r="D46" s="242"/>
      <c r="E46" s="242"/>
      <c r="F46" s="242"/>
      <c r="G46" s="242"/>
      <c r="H46" s="242"/>
      <c r="I46" s="242"/>
      <c r="J46" s="242"/>
      <c r="K46" s="242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V46" s="242"/>
      <c r="W46" s="242"/>
      <c r="X46" s="242"/>
      <c r="Y46" s="242"/>
      <c r="Z46" s="242"/>
      <c r="AA46" s="242"/>
      <c r="AB46" s="242"/>
      <c r="AC46" s="243"/>
      <c r="AD46" s="242"/>
      <c r="AE46" s="242"/>
      <c r="AF46" s="242"/>
      <c r="AG46" s="242"/>
      <c r="AH46" s="242"/>
      <c r="AI46" s="242"/>
      <c r="AJ46" s="242"/>
      <c r="AK46" s="242"/>
      <c r="AL46" s="242"/>
      <c r="AM46" s="242"/>
      <c r="AN46" s="242"/>
      <c r="AO46" s="242"/>
      <c r="AP46" s="242"/>
      <c r="AQ46" s="242"/>
      <c r="AR46" s="243"/>
      <c r="AS46" s="242"/>
      <c r="AT46" s="242"/>
      <c r="AU46" s="242"/>
      <c r="AV46" s="242"/>
      <c r="AW46" s="242"/>
      <c r="AX46" s="242"/>
      <c r="AY46" s="242"/>
      <c r="AZ46" s="242"/>
      <c r="BA46" s="242"/>
      <c r="BB46" s="242"/>
      <c r="BC46" s="242"/>
      <c r="BD46" s="242"/>
      <c r="BE46" s="242"/>
      <c r="BF46" s="258">
        <v>1</v>
      </c>
      <c r="BG46" s="258">
        <v>2</v>
      </c>
      <c r="BH46" s="258">
        <v>3</v>
      </c>
      <c r="BI46" s="258">
        <v>4</v>
      </c>
      <c r="BJ46" s="258">
        <v>5</v>
      </c>
      <c r="BK46" s="258">
        <v>6</v>
      </c>
      <c r="BL46" s="258">
        <v>7</v>
      </c>
      <c r="BM46" s="258">
        <v>8</v>
      </c>
      <c r="BN46" s="258">
        <v>9</v>
      </c>
      <c r="BO46" s="258">
        <v>10</v>
      </c>
      <c r="BP46" s="258">
        <v>11</v>
      </c>
      <c r="BQ46" s="258">
        <v>12</v>
      </c>
      <c r="BR46" s="258">
        <v>13</v>
      </c>
      <c r="BS46" s="258">
        <v>14</v>
      </c>
      <c r="BT46" s="258">
        <v>15</v>
      </c>
      <c r="BU46" s="258">
        <v>16</v>
      </c>
      <c r="BV46" s="258">
        <v>17</v>
      </c>
      <c r="BW46" s="258">
        <v>18</v>
      </c>
      <c r="BX46" s="258">
        <v>19</v>
      </c>
      <c r="BY46" s="258">
        <v>20</v>
      </c>
      <c r="BZ46" s="258">
        <v>21</v>
      </c>
      <c r="CA46" s="258">
        <v>22</v>
      </c>
      <c r="CB46" s="258">
        <v>23</v>
      </c>
      <c r="CC46" s="259"/>
      <c r="CD46" s="259"/>
      <c r="CE46" s="258">
        <v>24</v>
      </c>
      <c r="CF46" s="258">
        <v>25</v>
      </c>
      <c r="CG46" s="258">
        <v>26</v>
      </c>
      <c r="CH46" s="258">
        <v>27</v>
      </c>
      <c r="CI46" s="258">
        <v>28</v>
      </c>
      <c r="CJ46" s="258">
        <v>29</v>
      </c>
      <c r="CK46" s="258">
        <v>30</v>
      </c>
      <c r="CL46" s="258">
        <v>31</v>
      </c>
      <c r="CM46" s="258">
        <v>32</v>
      </c>
      <c r="CN46" s="258">
        <v>33</v>
      </c>
      <c r="CO46" s="258">
        <v>34</v>
      </c>
      <c r="CP46" s="258">
        <v>35</v>
      </c>
      <c r="CQ46" s="258">
        <v>36</v>
      </c>
      <c r="CR46" s="259"/>
      <c r="CS46" s="258">
        <v>37</v>
      </c>
      <c r="CT46" s="258">
        <v>38</v>
      </c>
      <c r="CU46" s="258">
        <v>39</v>
      </c>
      <c r="CV46" s="258">
        <v>40</v>
      </c>
      <c r="CW46" s="258">
        <v>41</v>
      </c>
      <c r="CX46" s="259"/>
      <c r="CY46" s="258">
        <v>42</v>
      </c>
      <c r="CZ46" s="258">
        <v>43</v>
      </c>
      <c r="DA46" s="258">
        <v>44</v>
      </c>
      <c r="DB46" s="258">
        <v>45</v>
      </c>
      <c r="DC46" s="258">
        <v>46</v>
      </c>
      <c r="DD46" s="258">
        <v>47</v>
      </c>
      <c r="DE46" s="258">
        <v>48</v>
      </c>
      <c r="DF46" s="258">
        <v>49</v>
      </c>
      <c r="DG46" s="258">
        <v>50</v>
      </c>
      <c r="DH46" s="258">
        <v>51</v>
      </c>
      <c r="DI46" s="258">
        <v>52</v>
      </c>
      <c r="DJ46" s="258">
        <v>53</v>
      </c>
      <c r="DK46" s="258">
        <v>54</v>
      </c>
      <c r="DL46" s="258">
        <v>55</v>
      </c>
      <c r="DM46" s="258">
        <v>56</v>
      </c>
      <c r="DN46" s="258">
        <v>57</v>
      </c>
      <c r="DO46" s="258">
        <v>58</v>
      </c>
      <c r="DP46" s="258">
        <v>59</v>
      </c>
      <c r="DQ46" s="258">
        <v>60</v>
      </c>
      <c r="DR46" s="258">
        <v>61</v>
      </c>
      <c r="DS46" s="258">
        <v>62</v>
      </c>
      <c r="DT46" s="258">
        <v>63</v>
      </c>
      <c r="DU46" s="258">
        <v>64</v>
      </c>
      <c r="DV46" s="258">
        <v>65</v>
      </c>
      <c r="DW46" s="258">
        <v>66</v>
      </c>
      <c r="DX46" s="258">
        <v>67</v>
      </c>
      <c r="DY46" s="258">
        <v>68</v>
      </c>
      <c r="DZ46" s="258">
        <v>69</v>
      </c>
      <c r="EA46" s="258">
        <v>70</v>
      </c>
      <c r="EB46" s="258">
        <v>71</v>
      </c>
      <c r="EC46" s="258">
        <v>72</v>
      </c>
      <c r="ED46" s="258">
        <v>73</v>
      </c>
      <c r="EE46" s="258">
        <v>74</v>
      </c>
      <c r="EF46" s="258">
        <v>75</v>
      </c>
      <c r="EG46" s="258">
        <v>76</v>
      </c>
      <c r="EH46" s="258">
        <v>77</v>
      </c>
      <c r="EI46" s="258">
        <v>78</v>
      </c>
      <c r="EJ46" s="258">
        <v>79</v>
      </c>
      <c r="EK46" s="258">
        <v>80</v>
      </c>
      <c r="EL46" s="258">
        <v>81</v>
      </c>
      <c r="EM46" s="258">
        <v>82</v>
      </c>
      <c r="EN46" s="258">
        <v>83</v>
      </c>
      <c r="EO46" s="258">
        <v>84</v>
      </c>
      <c r="EP46" s="258">
        <v>85</v>
      </c>
      <c r="EQ46" s="258">
        <v>86</v>
      </c>
      <c r="ER46" s="258">
        <v>87</v>
      </c>
      <c r="ES46" s="258">
        <v>88</v>
      </c>
      <c r="ET46" s="258">
        <v>89</v>
      </c>
      <c r="EU46" s="258">
        <v>90</v>
      </c>
      <c r="EV46" s="258">
        <v>91</v>
      </c>
      <c r="EW46" s="258">
        <v>92</v>
      </c>
      <c r="EX46" s="258">
        <v>93</v>
      </c>
      <c r="EY46" s="258">
        <v>94</v>
      </c>
      <c r="EZ46" s="258">
        <v>95</v>
      </c>
      <c r="FA46" s="258">
        <v>96</v>
      </c>
      <c r="FB46" s="258"/>
      <c r="FC46" s="258"/>
      <c r="FD46" s="258"/>
      <c r="FE46" s="258"/>
      <c r="FF46" s="258"/>
      <c r="FG46" s="258"/>
      <c r="FH46" s="258"/>
      <c r="FI46" s="258"/>
      <c r="FJ46" s="258"/>
      <c r="FK46" s="258"/>
      <c r="FL46" s="258"/>
      <c r="FM46" s="258"/>
      <c r="FN46" s="258"/>
      <c r="FO46" s="258"/>
      <c r="FP46" s="258"/>
      <c r="FQ46" s="259"/>
      <c r="FR46" s="259"/>
      <c r="FS46" s="258"/>
      <c r="FT46" s="258"/>
      <c r="FU46" s="258"/>
      <c r="FV46" s="258"/>
      <c r="FW46" s="258"/>
      <c r="FX46" s="258"/>
      <c r="FY46" s="258"/>
      <c r="FZ46" s="258"/>
      <c r="GA46" s="258"/>
      <c r="GB46" s="258"/>
      <c r="GC46" s="258"/>
      <c r="GD46" s="258"/>
      <c r="GE46" s="258"/>
      <c r="GF46" s="258"/>
      <c r="GG46" s="258"/>
      <c r="GH46" s="258"/>
      <c r="GI46" s="258"/>
      <c r="GJ46" s="258"/>
      <c r="GK46" s="258"/>
      <c r="GL46" s="258"/>
      <c r="GM46" s="258"/>
      <c r="GN46" s="258"/>
      <c r="GO46" s="258"/>
      <c r="GP46" s="258"/>
      <c r="GQ46" s="258"/>
      <c r="GR46" s="258"/>
      <c r="GS46" s="258"/>
      <c r="GT46" s="258"/>
      <c r="GU46" s="258"/>
      <c r="GV46" s="258"/>
      <c r="GW46" s="259"/>
      <c r="GX46" s="258"/>
      <c r="GY46" s="258"/>
      <c r="GZ46" s="258"/>
      <c r="HA46" s="258"/>
      <c r="HB46" s="258"/>
      <c r="HC46" s="258"/>
      <c r="HD46" s="258"/>
      <c r="HE46" s="258"/>
      <c r="HF46" s="258"/>
      <c r="HG46" s="258"/>
      <c r="HH46" s="258"/>
      <c r="HI46" s="258"/>
      <c r="HJ46" s="258"/>
      <c r="HK46" s="258"/>
      <c r="HL46" s="258"/>
      <c r="HM46" s="258"/>
      <c r="HN46" s="258"/>
      <c r="HO46" s="258"/>
      <c r="HP46" s="258"/>
      <c r="HQ46" s="258"/>
      <c r="HR46" s="258"/>
      <c r="HS46" s="258"/>
      <c r="HT46" s="258"/>
      <c r="HU46" s="258"/>
      <c r="HV46" s="258"/>
      <c r="HW46" s="258"/>
      <c r="HX46" s="258"/>
      <c r="HY46" s="258"/>
      <c r="HZ46" s="258"/>
      <c r="IA46" s="258"/>
      <c r="IB46" s="258"/>
      <c r="IC46" s="258"/>
      <c r="ID46" s="258"/>
      <c r="IE46" s="258"/>
      <c r="IF46" s="258"/>
      <c r="IG46" s="258"/>
      <c r="IH46" s="258"/>
      <c r="II46" s="258"/>
      <c r="IJ46" s="258"/>
      <c r="IK46" s="258"/>
      <c r="IL46" s="258"/>
      <c r="IM46" s="258"/>
      <c r="IN46" s="258"/>
      <c r="IO46" s="258"/>
      <c r="IP46" s="258"/>
      <c r="IQ46" s="258"/>
      <c r="IR46" s="258"/>
      <c r="IS46" s="258"/>
      <c r="IT46" s="258"/>
      <c r="IU46" s="258"/>
      <c r="IV46" s="259"/>
      <c r="IW46" s="258"/>
      <c r="IX46" s="258"/>
      <c r="IY46" s="258"/>
      <c r="IZ46" s="258"/>
      <c r="JA46" s="258"/>
      <c r="JB46" s="258"/>
      <c r="JC46" s="258"/>
      <c r="JD46" s="258"/>
      <c r="JE46" s="258"/>
      <c r="JF46" s="258"/>
      <c r="JG46" s="258"/>
      <c r="JH46" s="258"/>
      <c r="JI46" s="258"/>
      <c r="JJ46" s="258"/>
      <c r="JK46" s="258"/>
      <c r="JL46" s="258"/>
      <c r="JM46" s="258"/>
      <c r="JN46" s="258"/>
      <c r="JO46" s="258"/>
      <c r="JP46" s="259"/>
      <c r="JQ46" s="258"/>
      <c r="JR46" s="258"/>
      <c r="JS46" s="258"/>
      <c r="JT46" s="259"/>
      <c r="JU46" s="259"/>
      <c r="JV46" s="258"/>
      <c r="JW46" s="258"/>
      <c r="JX46" s="258"/>
      <c r="JY46" s="258"/>
      <c r="JZ46" s="258"/>
      <c r="KA46" s="258"/>
      <c r="KB46" s="259"/>
      <c r="KC46" s="258"/>
      <c r="KD46" s="258"/>
      <c r="KE46" s="258"/>
      <c r="KF46" s="258"/>
      <c r="KG46" s="258"/>
      <c r="KH46" s="258"/>
      <c r="KI46" s="258"/>
      <c r="KJ46" s="258"/>
      <c r="KK46" s="258"/>
      <c r="KL46" s="258"/>
      <c r="KM46" s="258"/>
      <c r="KN46" s="258"/>
      <c r="KO46" s="258"/>
      <c r="KP46" s="258"/>
      <c r="KQ46" s="258"/>
      <c r="KR46" s="258"/>
      <c r="KS46" s="258"/>
      <c r="KT46" s="258"/>
      <c r="KU46" s="258"/>
      <c r="KV46" s="259"/>
      <c r="KW46" s="258"/>
      <c r="KX46" s="258"/>
      <c r="KY46" s="258"/>
      <c r="KZ46" s="258"/>
      <c r="LA46" s="258"/>
      <c r="LB46" s="258"/>
      <c r="LC46" s="258"/>
      <c r="LD46" s="258"/>
      <c r="LE46" s="258"/>
      <c r="LF46" s="258"/>
      <c r="LG46" s="258"/>
      <c r="LH46" s="258"/>
      <c r="LI46" s="258"/>
      <c r="LJ46" s="258"/>
      <c r="LK46" s="258"/>
      <c r="LL46" s="258"/>
      <c r="LM46" s="258"/>
      <c r="LN46" s="258"/>
      <c r="LO46" s="258"/>
      <c r="LP46" s="258"/>
      <c r="LQ46" s="258"/>
      <c r="LR46" s="258"/>
      <c r="LS46" s="258"/>
      <c r="LT46" s="258"/>
      <c r="LU46" s="258"/>
      <c r="LV46" s="258"/>
      <c r="LW46" s="258"/>
      <c r="LX46" s="258"/>
      <c r="LY46" s="258"/>
      <c r="LZ46" s="258"/>
      <c r="MA46" s="258"/>
      <c r="MB46" s="258"/>
      <c r="MC46" s="258"/>
      <c r="MD46" s="259"/>
      <c r="ME46" s="258"/>
      <c r="MF46" s="258"/>
      <c r="MG46" s="258"/>
      <c r="MH46" s="258"/>
      <c r="MI46" s="258"/>
      <c r="MJ46" s="258"/>
      <c r="MK46" s="258"/>
      <c r="ML46" s="258"/>
      <c r="MM46" s="258"/>
      <c r="MN46" s="258"/>
      <c r="MO46" s="258"/>
      <c r="MP46" s="258"/>
      <c r="MQ46" s="258"/>
      <c r="MR46" s="258"/>
      <c r="MS46" s="258"/>
      <c r="MT46" s="258"/>
      <c r="MU46" s="258"/>
      <c r="MV46" s="258"/>
      <c r="MW46" s="258"/>
      <c r="MX46" s="259"/>
      <c r="MY46" s="258"/>
      <c r="MZ46" s="258"/>
      <c r="NA46" s="258"/>
      <c r="NB46" s="258"/>
      <c r="NC46" s="258"/>
      <c r="ND46" s="258"/>
      <c r="NE46" s="258"/>
      <c r="NF46" s="258"/>
      <c r="NG46" s="258"/>
      <c r="NH46" s="258"/>
      <c r="NI46" s="258"/>
      <c r="NJ46" s="258"/>
      <c r="NK46" s="258"/>
      <c r="NL46" s="258"/>
      <c r="NM46" s="258"/>
      <c r="NN46" s="258"/>
      <c r="NO46" s="258"/>
      <c r="NP46" s="258"/>
      <c r="NQ46" s="258"/>
      <c r="NR46" s="258"/>
      <c r="NS46" s="258"/>
      <c r="NT46" s="258"/>
      <c r="NU46" s="258"/>
      <c r="NV46" s="258"/>
      <c r="NW46" s="258"/>
      <c r="NX46" s="258"/>
      <c r="NY46" s="258"/>
      <c r="NZ46" s="258"/>
      <c r="OA46" s="258"/>
      <c r="OB46" s="258"/>
      <c r="OC46" s="258"/>
      <c r="OD46" s="259"/>
      <c r="OE46" s="259"/>
      <c r="OF46" s="258"/>
      <c r="OG46" s="258"/>
      <c r="OH46" s="258"/>
      <c r="OI46" s="258"/>
      <c r="OJ46" s="258"/>
      <c r="OK46" s="258"/>
      <c r="OL46" s="258"/>
      <c r="OM46" s="258"/>
      <c r="ON46" s="258"/>
      <c r="OO46" s="258"/>
      <c r="OP46" s="258"/>
      <c r="OQ46" s="258"/>
      <c r="OR46" s="258"/>
      <c r="OS46" s="259"/>
      <c r="OT46" s="258"/>
      <c r="OU46" s="258"/>
      <c r="OV46" s="258"/>
      <c r="OW46" s="258"/>
      <c r="OX46" s="258"/>
      <c r="OY46" s="259"/>
      <c r="OZ46" s="258"/>
      <c r="PA46" s="258"/>
      <c r="PB46" s="258"/>
      <c r="PC46" s="258"/>
      <c r="PD46" s="258"/>
      <c r="PE46" s="258"/>
      <c r="PF46" s="258"/>
      <c r="PG46" s="258"/>
      <c r="PH46" s="258"/>
      <c r="PI46" s="258"/>
      <c r="PJ46" s="258"/>
      <c r="PK46" s="258"/>
      <c r="PL46" s="258"/>
      <c r="PM46" s="258"/>
      <c r="PN46" s="258"/>
      <c r="PO46" s="258"/>
      <c r="PP46" s="258"/>
      <c r="PQ46" s="258"/>
      <c r="PR46" s="258"/>
      <c r="PS46" s="258"/>
      <c r="PT46" s="258"/>
      <c r="PU46" s="258"/>
      <c r="PV46" s="258"/>
      <c r="PW46" s="258"/>
      <c r="PX46" s="258"/>
      <c r="PY46" s="258"/>
      <c r="PZ46" s="258"/>
      <c r="QA46" s="258"/>
      <c r="QB46" s="258"/>
      <c r="QC46" s="258"/>
      <c r="QD46" s="258"/>
      <c r="QE46" s="258"/>
      <c r="QF46" s="258"/>
      <c r="QG46" s="258"/>
      <c r="QH46" s="258"/>
      <c r="QI46" s="260"/>
    </row>
    <row r="47" spans="1:451" ht="18" customHeight="1" x14ac:dyDescent="0.2">
      <c r="A47" s="261"/>
      <c r="B47" s="245"/>
      <c r="C47" s="242"/>
      <c r="D47" s="242"/>
      <c r="E47" s="242"/>
      <c r="F47" s="242"/>
      <c r="G47" s="242"/>
      <c r="H47" s="242"/>
      <c r="I47" s="242"/>
      <c r="J47" s="242"/>
      <c r="K47" s="242"/>
      <c r="L47" s="242"/>
      <c r="M47" s="242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242"/>
      <c r="AA47" s="242"/>
      <c r="AB47" s="242"/>
      <c r="AC47" s="243"/>
      <c r="AD47" s="242"/>
      <c r="AE47" s="242"/>
      <c r="AF47" s="242"/>
      <c r="AG47" s="242"/>
      <c r="AH47" s="242"/>
      <c r="AI47" s="242"/>
      <c r="AJ47" s="242"/>
      <c r="AK47" s="242"/>
      <c r="AL47" s="242"/>
      <c r="AM47" s="242"/>
      <c r="AN47" s="242"/>
      <c r="AO47" s="242"/>
      <c r="AP47" s="242"/>
      <c r="AQ47" s="242"/>
      <c r="AR47" s="243"/>
      <c r="AS47" s="242"/>
      <c r="AT47" s="242"/>
      <c r="AU47" s="242"/>
      <c r="AV47" s="242"/>
      <c r="AW47" s="242"/>
      <c r="AX47" s="242"/>
      <c r="AY47" s="242"/>
      <c r="AZ47" s="242"/>
      <c r="BA47" s="242"/>
      <c r="BB47" s="242"/>
      <c r="BC47" s="242"/>
      <c r="BD47" s="242"/>
      <c r="BE47" s="242"/>
      <c r="BF47" s="262"/>
      <c r="BG47" s="262"/>
      <c r="BH47" s="262"/>
      <c r="BI47" s="262"/>
      <c r="BJ47" s="262"/>
      <c r="BK47" s="262"/>
      <c r="BL47" s="262"/>
      <c r="BM47" s="262"/>
      <c r="BN47" s="262"/>
      <c r="BO47" s="262"/>
      <c r="BP47" s="262"/>
      <c r="BQ47" s="262"/>
      <c r="BR47" s="262"/>
      <c r="BS47" s="262"/>
      <c r="BT47" s="262"/>
      <c r="BU47" s="262"/>
      <c r="BV47" s="262"/>
      <c r="BW47" s="262"/>
      <c r="BX47" s="262"/>
      <c r="BY47" s="262"/>
      <c r="BZ47" s="262"/>
      <c r="CA47" s="262"/>
      <c r="CB47" s="262"/>
      <c r="CC47" s="259"/>
      <c r="CD47" s="259"/>
      <c r="CE47" s="262"/>
      <c r="CF47" s="262"/>
      <c r="CG47" s="262"/>
      <c r="CH47" s="262"/>
      <c r="CI47" s="262"/>
      <c r="CJ47" s="262"/>
      <c r="CK47" s="262"/>
      <c r="CL47" s="262"/>
      <c r="CM47" s="262"/>
      <c r="CN47" s="262"/>
      <c r="CO47" s="262"/>
      <c r="CP47" s="262"/>
      <c r="CQ47" s="262"/>
      <c r="CR47" s="259"/>
      <c r="CS47" s="262"/>
      <c r="CT47" s="262"/>
      <c r="CU47" s="262"/>
      <c r="CV47" s="262"/>
      <c r="CW47" s="262"/>
      <c r="CX47" s="259"/>
      <c r="CY47" s="262"/>
      <c r="CZ47" s="262"/>
      <c r="DA47" s="262"/>
      <c r="DB47" s="262"/>
      <c r="DC47" s="262"/>
      <c r="DD47" s="262"/>
      <c r="DE47" s="262"/>
      <c r="DF47" s="262"/>
      <c r="DG47" s="262"/>
      <c r="DH47" s="262"/>
      <c r="DI47" s="262"/>
      <c r="DJ47" s="262"/>
      <c r="DK47" s="262"/>
      <c r="DL47" s="262"/>
      <c r="DM47" s="262"/>
      <c r="DN47" s="262"/>
      <c r="DO47" s="262"/>
      <c r="DP47" s="262"/>
      <c r="DQ47" s="262"/>
      <c r="DR47" s="262"/>
      <c r="DS47" s="262"/>
      <c r="DT47" s="262"/>
      <c r="DU47" s="262"/>
      <c r="DV47" s="262"/>
      <c r="DW47" s="262"/>
      <c r="DX47" s="262"/>
      <c r="DY47" s="262"/>
      <c r="DZ47" s="262"/>
      <c r="EA47" s="262"/>
      <c r="EB47" s="262"/>
      <c r="EC47" s="262"/>
      <c r="ED47" s="262"/>
      <c r="EE47" s="262"/>
      <c r="EF47" s="262"/>
      <c r="EG47" s="262"/>
      <c r="EH47" s="262"/>
      <c r="EI47" s="262"/>
      <c r="EJ47" s="262"/>
      <c r="EK47" s="262"/>
      <c r="EL47" s="262"/>
      <c r="EM47" s="262"/>
      <c r="EN47" s="262"/>
      <c r="EO47" s="262"/>
      <c r="EP47" s="262"/>
      <c r="EQ47" s="262"/>
      <c r="ER47" s="262"/>
      <c r="ES47" s="262"/>
      <c r="ET47" s="262"/>
      <c r="EU47" s="262"/>
      <c r="EV47" s="262"/>
      <c r="EW47" s="262"/>
      <c r="EX47" s="262"/>
      <c r="EY47" s="262"/>
      <c r="EZ47" s="262"/>
      <c r="FA47" s="262"/>
      <c r="FB47" s="262"/>
      <c r="FC47" s="262"/>
      <c r="FD47" s="262"/>
      <c r="FE47" s="262"/>
      <c r="FF47" s="262"/>
      <c r="FG47" s="262"/>
      <c r="FH47" s="262"/>
      <c r="FI47" s="262"/>
      <c r="FJ47" s="262"/>
      <c r="FK47" s="262"/>
      <c r="FL47" s="262"/>
      <c r="FM47" s="262"/>
      <c r="FN47" s="262"/>
      <c r="FO47" s="262"/>
      <c r="FP47" s="262"/>
      <c r="FQ47" s="259"/>
      <c r="FR47" s="259"/>
      <c r="FS47" s="262"/>
      <c r="FT47" s="262"/>
      <c r="FU47" s="262"/>
      <c r="FV47" s="262"/>
      <c r="FW47" s="262"/>
      <c r="FX47" s="262"/>
      <c r="FY47" s="262"/>
      <c r="FZ47" s="262"/>
      <c r="GA47" s="262"/>
      <c r="GB47" s="262"/>
      <c r="GC47" s="262"/>
      <c r="GD47" s="262"/>
      <c r="GE47" s="262"/>
      <c r="GF47" s="262"/>
      <c r="GG47" s="262"/>
      <c r="GH47" s="262"/>
      <c r="GI47" s="262"/>
      <c r="GJ47" s="262"/>
      <c r="GK47" s="262"/>
      <c r="GL47" s="262"/>
      <c r="GM47" s="262"/>
      <c r="GN47" s="262"/>
      <c r="GO47" s="262"/>
      <c r="GP47" s="262"/>
      <c r="GQ47" s="262"/>
      <c r="GR47" s="262"/>
      <c r="GS47" s="262"/>
      <c r="GT47" s="262"/>
      <c r="GU47" s="262"/>
      <c r="GV47" s="262"/>
      <c r="GW47" s="259"/>
      <c r="GX47" s="262"/>
      <c r="GY47" s="262"/>
      <c r="GZ47" s="262"/>
      <c r="HA47" s="262"/>
      <c r="HB47" s="262"/>
      <c r="HC47" s="262"/>
      <c r="HD47" s="262"/>
      <c r="HE47" s="262"/>
      <c r="HF47" s="262"/>
      <c r="HG47" s="262"/>
      <c r="HH47" s="262"/>
      <c r="HI47" s="262"/>
      <c r="HJ47" s="262"/>
      <c r="HK47" s="262"/>
      <c r="HL47" s="262"/>
      <c r="HM47" s="262"/>
      <c r="HN47" s="262"/>
      <c r="HO47" s="262"/>
      <c r="HP47" s="262"/>
      <c r="HQ47" s="262"/>
      <c r="HR47" s="262"/>
      <c r="HS47" s="262"/>
      <c r="HT47" s="262"/>
      <c r="HU47" s="262"/>
      <c r="HV47" s="262"/>
      <c r="HW47" s="262"/>
      <c r="HX47" s="262"/>
      <c r="HY47" s="262"/>
      <c r="HZ47" s="262"/>
      <c r="IA47" s="262"/>
      <c r="IB47" s="262"/>
      <c r="IC47" s="262"/>
      <c r="ID47" s="262"/>
      <c r="IE47" s="262"/>
      <c r="IF47" s="262"/>
      <c r="IG47" s="262"/>
      <c r="IH47" s="262"/>
      <c r="II47" s="262"/>
      <c r="IJ47" s="262"/>
      <c r="IK47" s="262"/>
      <c r="IL47" s="262"/>
      <c r="IM47" s="262"/>
      <c r="IN47" s="262"/>
      <c r="IO47" s="262"/>
      <c r="IP47" s="262"/>
      <c r="IQ47" s="262"/>
      <c r="IR47" s="262"/>
      <c r="IS47" s="262"/>
      <c r="IT47" s="262"/>
      <c r="IU47" s="262"/>
      <c r="IV47" s="259"/>
      <c r="IW47" s="262"/>
      <c r="IX47" s="262"/>
      <c r="IY47" s="262"/>
      <c r="IZ47" s="262"/>
      <c r="JA47" s="262"/>
      <c r="JB47" s="262"/>
      <c r="JC47" s="262"/>
      <c r="JD47" s="262"/>
      <c r="JE47" s="262"/>
      <c r="JF47" s="262"/>
      <c r="JG47" s="262"/>
      <c r="JH47" s="262"/>
      <c r="JI47" s="262"/>
      <c r="JJ47" s="262"/>
      <c r="JK47" s="262"/>
      <c r="JL47" s="262"/>
      <c r="JM47" s="262"/>
      <c r="JN47" s="262"/>
      <c r="JO47" s="262"/>
      <c r="JP47" s="259"/>
      <c r="JQ47" s="262"/>
      <c r="JR47" s="262"/>
      <c r="JS47" s="262"/>
      <c r="JT47" s="259"/>
      <c r="JU47" s="259"/>
      <c r="JV47" s="262"/>
      <c r="JW47" s="262"/>
      <c r="JX47" s="262"/>
      <c r="JY47" s="262"/>
      <c r="JZ47" s="262"/>
      <c r="KA47" s="262"/>
      <c r="KB47" s="259"/>
      <c r="KC47" s="262"/>
      <c r="KD47" s="262"/>
      <c r="KE47" s="262"/>
      <c r="KF47" s="262"/>
      <c r="KG47" s="262"/>
      <c r="KH47" s="262"/>
      <c r="KI47" s="262"/>
      <c r="KJ47" s="262"/>
      <c r="KK47" s="262"/>
      <c r="KL47" s="262"/>
      <c r="KM47" s="262"/>
      <c r="KN47" s="262"/>
      <c r="KO47" s="262"/>
      <c r="KP47" s="262"/>
      <c r="KQ47" s="262"/>
      <c r="KR47" s="262"/>
      <c r="KS47" s="262"/>
      <c r="KT47" s="262"/>
      <c r="KU47" s="262"/>
      <c r="KV47" s="259"/>
      <c r="KW47" s="262"/>
      <c r="KX47" s="262"/>
      <c r="KY47" s="262"/>
      <c r="KZ47" s="262"/>
      <c r="LA47" s="262"/>
      <c r="LB47" s="262"/>
      <c r="LC47" s="262"/>
      <c r="LD47" s="262"/>
      <c r="LE47" s="262"/>
      <c r="LF47" s="262"/>
      <c r="LG47" s="262"/>
      <c r="LH47" s="262"/>
      <c r="LI47" s="262"/>
      <c r="LJ47" s="262"/>
      <c r="LK47" s="262"/>
      <c r="LL47" s="262"/>
      <c r="LM47" s="262"/>
      <c r="LN47" s="262"/>
      <c r="LO47" s="262"/>
      <c r="LP47" s="262"/>
      <c r="LQ47" s="262"/>
      <c r="LR47" s="262"/>
      <c r="LS47" s="262"/>
      <c r="LT47" s="262"/>
      <c r="LU47" s="262"/>
      <c r="LV47" s="262"/>
      <c r="LW47" s="262"/>
      <c r="LX47" s="262"/>
      <c r="LY47" s="262"/>
      <c r="LZ47" s="262"/>
      <c r="MA47" s="262"/>
      <c r="MB47" s="262"/>
      <c r="MC47" s="262"/>
      <c r="MD47" s="259"/>
      <c r="ME47" s="262"/>
      <c r="MF47" s="262"/>
      <c r="MG47" s="262"/>
      <c r="MH47" s="262"/>
      <c r="MI47" s="262"/>
      <c r="MJ47" s="262"/>
      <c r="MK47" s="262"/>
      <c r="ML47" s="262"/>
      <c r="MM47" s="262"/>
      <c r="MN47" s="262"/>
      <c r="MO47" s="262"/>
      <c r="MP47" s="262"/>
      <c r="MQ47" s="262"/>
      <c r="MR47" s="262"/>
      <c r="MS47" s="262"/>
      <c r="MT47" s="262"/>
      <c r="MU47" s="262"/>
      <c r="MV47" s="262"/>
      <c r="MW47" s="262"/>
      <c r="MX47" s="259"/>
      <c r="MY47" s="262"/>
      <c r="MZ47" s="262"/>
      <c r="NA47" s="262"/>
      <c r="NB47" s="262"/>
      <c r="NC47" s="262"/>
      <c r="ND47" s="262"/>
      <c r="NE47" s="262"/>
      <c r="NF47" s="262"/>
      <c r="NG47" s="262"/>
      <c r="NH47" s="262"/>
      <c r="NI47" s="262"/>
      <c r="NJ47" s="262"/>
      <c r="NK47" s="262"/>
      <c r="NL47" s="262"/>
      <c r="NM47" s="262"/>
      <c r="NN47" s="262"/>
      <c r="NO47" s="262"/>
      <c r="NP47" s="262"/>
      <c r="NQ47" s="262"/>
      <c r="NR47" s="262"/>
      <c r="NS47" s="262"/>
      <c r="NT47" s="262"/>
      <c r="NU47" s="262"/>
      <c r="NV47" s="262"/>
      <c r="NW47" s="262"/>
      <c r="NX47" s="262"/>
      <c r="NY47" s="262"/>
      <c r="NZ47" s="262"/>
      <c r="OA47" s="262"/>
      <c r="OB47" s="262"/>
      <c r="OC47" s="262"/>
      <c r="OD47" s="259"/>
      <c r="OE47" s="259"/>
      <c r="OF47" s="262"/>
      <c r="OG47" s="262"/>
      <c r="OH47" s="262"/>
      <c r="OI47" s="262"/>
      <c r="OJ47" s="262"/>
      <c r="OK47" s="262"/>
      <c r="OL47" s="262"/>
      <c r="OM47" s="262"/>
      <c r="ON47" s="262"/>
      <c r="OO47" s="262"/>
      <c r="OP47" s="262"/>
      <c r="OQ47" s="262"/>
      <c r="OR47" s="262"/>
      <c r="OS47" s="259"/>
      <c r="OT47" s="262"/>
      <c r="OU47" s="262"/>
      <c r="OV47" s="262"/>
      <c r="OW47" s="262"/>
      <c r="OX47" s="262"/>
      <c r="OY47" s="259"/>
      <c r="OZ47" s="262"/>
      <c r="PA47" s="262"/>
      <c r="PB47" s="262"/>
      <c r="PC47" s="262"/>
      <c r="PD47" s="262"/>
      <c r="PE47" s="262"/>
      <c r="PF47" s="262"/>
      <c r="PG47" s="262"/>
      <c r="PH47" s="262"/>
      <c r="PI47" s="262"/>
      <c r="PJ47" s="262"/>
      <c r="PK47" s="262"/>
      <c r="PL47" s="262"/>
      <c r="PM47" s="262"/>
      <c r="PN47" s="262"/>
      <c r="PO47" s="262"/>
      <c r="PP47" s="262"/>
      <c r="PQ47" s="262"/>
      <c r="PR47" s="262"/>
      <c r="PS47" s="262"/>
      <c r="PT47" s="262"/>
      <c r="PU47" s="262"/>
      <c r="PV47" s="262"/>
      <c r="PW47" s="262"/>
      <c r="PX47" s="262"/>
      <c r="PY47" s="262"/>
      <c r="PZ47" s="262"/>
      <c r="QA47" s="262"/>
      <c r="QB47" s="262"/>
      <c r="QC47" s="262"/>
      <c r="QD47" s="262"/>
      <c r="QE47" s="262"/>
      <c r="QF47" s="262"/>
      <c r="QG47" s="262"/>
      <c r="QH47" s="262"/>
      <c r="QI47" s="263"/>
    </row>
    <row r="48" spans="1:451" ht="18" customHeight="1" x14ac:dyDescent="0.2">
      <c r="A48" s="250" t="s">
        <v>439</v>
      </c>
      <c r="B48" s="245"/>
      <c r="C48" s="242"/>
      <c r="D48" s="242"/>
      <c r="E48" s="242"/>
      <c r="F48" s="242"/>
      <c r="G48" s="242"/>
      <c r="H48" s="242"/>
      <c r="I48" s="242"/>
      <c r="J48" s="242"/>
      <c r="K48" s="242"/>
      <c r="L48" s="242"/>
      <c r="M48" s="242"/>
      <c r="N48" s="242"/>
      <c r="O48" s="242"/>
      <c r="P48" s="242"/>
      <c r="Q48" s="242"/>
      <c r="R48" s="242"/>
      <c r="S48" s="242"/>
      <c r="T48" s="242"/>
      <c r="U48" s="242"/>
      <c r="V48" s="242"/>
      <c r="W48" s="242"/>
      <c r="X48" s="242"/>
      <c r="Y48" s="242"/>
      <c r="Z48" s="242"/>
      <c r="AA48" s="242"/>
      <c r="AB48" s="242"/>
      <c r="AC48" s="243"/>
      <c r="AD48" s="242"/>
      <c r="AE48" s="242"/>
      <c r="AF48" s="242"/>
      <c r="AG48" s="242"/>
      <c r="AH48" s="242"/>
      <c r="AI48" s="242"/>
      <c r="AJ48" s="242"/>
      <c r="AK48" s="242"/>
      <c r="AL48" s="242"/>
      <c r="AM48" s="242"/>
      <c r="AN48" s="242"/>
      <c r="AO48" s="242"/>
      <c r="AP48" s="242"/>
      <c r="AQ48" s="242"/>
      <c r="AR48" s="243"/>
      <c r="AS48" s="242"/>
      <c r="AT48" s="242"/>
      <c r="AU48" s="242"/>
      <c r="AV48" s="242"/>
      <c r="AW48" s="242"/>
      <c r="AX48" s="242"/>
      <c r="AY48" s="242"/>
      <c r="AZ48" s="242"/>
      <c r="BA48" s="242"/>
      <c r="BB48" s="242"/>
      <c r="BC48" s="242"/>
      <c r="BD48" s="242"/>
      <c r="BE48" s="242"/>
      <c r="BF48" s="242"/>
      <c r="BG48" s="242"/>
      <c r="BH48" s="242"/>
      <c r="BI48" s="242"/>
      <c r="BJ48" s="242"/>
      <c r="BK48" s="242"/>
      <c r="BL48" s="242"/>
      <c r="BM48" s="242"/>
      <c r="BN48" s="242"/>
      <c r="BO48" s="242"/>
      <c r="BP48" s="242"/>
      <c r="BQ48" s="242"/>
      <c r="BR48" s="242"/>
      <c r="BS48" s="242"/>
      <c r="BT48" s="242"/>
      <c r="BU48" s="242"/>
      <c r="BV48" s="242"/>
      <c r="BW48" s="242"/>
      <c r="BX48" s="242"/>
      <c r="BY48" s="242"/>
      <c r="BZ48" s="254"/>
      <c r="CA48" s="254"/>
      <c r="CB48" s="254"/>
      <c r="CC48" s="255"/>
      <c r="CD48" s="255"/>
      <c r="CE48" s="254"/>
      <c r="CF48" s="254"/>
      <c r="CG48" s="254"/>
      <c r="CH48" s="254"/>
      <c r="CI48" s="254"/>
      <c r="CJ48" s="254"/>
      <c r="CK48" s="254"/>
      <c r="CL48" s="254"/>
      <c r="CM48" s="254"/>
      <c r="CN48" s="254"/>
      <c r="CO48" s="254"/>
      <c r="CP48" s="254"/>
      <c r="CQ48" s="254"/>
      <c r="CR48" s="255"/>
      <c r="CS48" s="254"/>
      <c r="CT48" s="254"/>
      <c r="CU48" s="254"/>
      <c r="CV48" s="254"/>
      <c r="CW48" s="254"/>
      <c r="CX48" s="255"/>
      <c r="CY48" s="254"/>
      <c r="CZ48" s="254"/>
      <c r="DA48" s="254"/>
      <c r="DB48" s="254"/>
      <c r="DC48" s="254"/>
      <c r="DD48" s="254"/>
      <c r="DE48" s="254"/>
      <c r="DF48" s="254"/>
      <c r="DG48" s="254"/>
      <c r="DH48" s="254"/>
      <c r="DI48" s="254"/>
      <c r="DJ48" s="254"/>
      <c r="DK48" s="254"/>
      <c r="DL48" s="254"/>
      <c r="DM48" s="254"/>
      <c r="DN48" s="254"/>
      <c r="DO48" s="254"/>
      <c r="DP48" s="254"/>
      <c r="DQ48" s="254"/>
      <c r="DR48" s="254"/>
      <c r="DS48" s="254"/>
      <c r="DT48" s="254"/>
      <c r="DU48" s="254"/>
      <c r="DV48" s="254"/>
      <c r="DW48" s="254"/>
      <c r="DX48" s="254"/>
      <c r="DY48" s="254"/>
      <c r="DZ48" s="254"/>
      <c r="EA48" s="254"/>
      <c r="EB48" s="254"/>
      <c r="EC48" s="254"/>
      <c r="ED48" s="254"/>
      <c r="EE48" s="254"/>
      <c r="EF48" s="254"/>
      <c r="EG48" s="254"/>
      <c r="EH48" s="254"/>
      <c r="EI48" s="254"/>
      <c r="EJ48" s="254"/>
      <c r="EK48" s="254"/>
      <c r="EL48" s="254"/>
      <c r="EM48" s="254"/>
      <c r="EN48" s="254"/>
      <c r="EO48" s="254"/>
      <c r="EP48" s="254"/>
      <c r="EQ48" s="254"/>
      <c r="ER48" s="254"/>
      <c r="ES48" s="254"/>
      <c r="ET48" s="254"/>
      <c r="EU48" s="254"/>
      <c r="EV48" s="254"/>
      <c r="EW48" s="254"/>
      <c r="EX48" s="254"/>
      <c r="EY48" s="254"/>
      <c r="EZ48" s="254"/>
      <c r="FA48" s="254"/>
      <c r="FB48" s="254"/>
      <c r="FC48" s="254"/>
      <c r="FD48" s="254"/>
      <c r="FE48" s="254"/>
      <c r="FF48" s="254"/>
      <c r="FG48" s="254"/>
      <c r="FH48" s="254"/>
      <c r="FI48" s="254"/>
      <c r="FJ48" s="254"/>
      <c r="FK48" s="254"/>
      <c r="FL48" s="254"/>
      <c r="FM48" s="254"/>
      <c r="FN48" s="254"/>
      <c r="FO48" s="254"/>
      <c r="FP48" s="254"/>
      <c r="FQ48" s="255"/>
      <c r="FR48" s="255"/>
      <c r="FS48" s="254"/>
      <c r="FT48" s="254"/>
      <c r="FU48" s="254"/>
      <c r="FV48" s="254"/>
      <c r="FW48" s="254"/>
      <c r="FX48" s="254"/>
      <c r="FY48" s="254"/>
      <c r="FZ48" s="254"/>
      <c r="GA48" s="254"/>
      <c r="GB48" s="254"/>
      <c r="GC48" s="254"/>
      <c r="GD48" s="254"/>
      <c r="GE48" s="254"/>
      <c r="GF48" s="254"/>
      <c r="GG48" s="254"/>
      <c r="GH48" s="254"/>
      <c r="GI48" s="254"/>
      <c r="GJ48" s="254"/>
      <c r="GK48" s="254"/>
      <c r="GL48" s="254"/>
      <c r="GM48" s="254"/>
      <c r="GN48" s="254"/>
      <c r="GO48" s="254"/>
      <c r="GP48" s="254"/>
      <c r="GQ48" s="254"/>
      <c r="GR48" s="254"/>
      <c r="GS48" s="254"/>
      <c r="GT48" s="254"/>
      <c r="GU48" s="254"/>
      <c r="GV48" s="254"/>
      <c r="GW48" s="255"/>
      <c r="GX48" s="254"/>
      <c r="GY48" s="254"/>
      <c r="GZ48" s="254"/>
      <c r="HA48" s="254"/>
      <c r="HB48" s="254"/>
      <c r="HC48" s="254"/>
      <c r="HD48" s="254"/>
      <c r="HE48" s="254"/>
      <c r="HF48" s="254"/>
      <c r="HG48" s="254"/>
      <c r="HH48" s="254"/>
      <c r="HI48" s="254"/>
      <c r="HJ48" s="254"/>
      <c r="HK48" s="254"/>
      <c r="HL48" s="254"/>
      <c r="HM48" s="254"/>
      <c r="HN48" s="254"/>
      <c r="HO48" s="254"/>
      <c r="HP48" s="254"/>
      <c r="HQ48" s="254"/>
      <c r="HR48" s="254"/>
      <c r="HS48" s="254"/>
      <c r="HT48" s="254"/>
      <c r="HU48" s="254"/>
      <c r="HV48" s="254"/>
      <c r="HW48" s="254"/>
      <c r="HX48" s="254"/>
      <c r="HY48" s="254"/>
      <c r="HZ48" s="254"/>
      <c r="IA48" s="254"/>
      <c r="IB48" s="254"/>
      <c r="IC48" s="254"/>
      <c r="ID48" s="254"/>
      <c r="IE48" s="254"/>
      <c r="IF48" s="254"/>
      <c r="IG48" s="254"/>
      <c r="IH48" s="254"/>
      <c r="II48" s="254"/>
      <c r="IJ48" s="254"/>
      <c r="IK48" s="254"/>
      <c r="IL48" s="254"/>
      <c r="IM48" s="254"/>
      <c r="IN48" s="254"/>
      <c r="IO48" s="254"/>
      <c r="IP48" s="254"/>
      <c r="IQ48" s="254"/>
      <c r="IR48" s="254"/>
      <c r="IS48" s="254"/>
      <c r="IT48" s="254"/>
      <c r="IU48" s="254"/>
      <c r="IV48" s="255"/>
      <c r="IW48" s="254"/>
      <c r="IX48" s="254"/>
      <c r="IY48" s="254"/>
      <c r="IZ48" s="254"/>
      <c r="JA48" s="254"/>
      <c r="JB48" s="254"/>
      <c r="JC48" s="254"/>
      <c r="JD48" s="254"/>
      <c r="JE48" s="254"/>
      <c r="JF48" s="254"/>
      <c r="JG48" s="254"/>
      <c r="JH48" s="254"/>
      <c r="JI48" s="254"/>
      <c r="JJ48" s="254"/>
      <c r="JK48" s="254"/>
      <c r="JL48" s="254"/>
      <c r="JM48" s="254"/>
      <c r="JN48" s="254"/>
      <c r="JO48" s="254"/>
      <c r="JP48" s="255"/>
      <c r="JQ48" s="254"/>
      <c r="JR48" s="254"/>
      <c r="JS48" s="254"/>
      <c r="JT48" s="255"/>
      <c r="JU48" s="255"/>
      <c r="JV48" s="254"/>
      <c r="JW48" s="254"/>
      <c r="JX48" s="254"/>
      <c r="JY48" s="254"/>
      <c r="JZ48" s="254"/>
      <c r="KA48" s="254"/>
      <c r="KB48" s="255"/>
      <c r="KC48" s="254"/>
      <c r="KD48" s="254"/>
      <c r="KE48" s="254"/>
      <c r="KF48" s="254"/>
      <c r="KG48" s="254"/>
      <c r="KH48" s="254"/>
      <c r="KI48" s="254"/>
      <c r="KJ48" s="254"/>
      <c r="KK48" s="254"/>
      <c r="KL48" s="254"/>
      <c r="KM48" s="254"/>
      <c r="KN48" s="254"/>
      <c r="KO48" s="254"/>
      <c r="KP48" s="254"/>
      <c r="KQ48" s="254"/>
      <c r="KR48" s="254"/>
      <c r="KS48" s="254"/>
      <c r="KT48" s="254"/>
      <c r="KU48" s="254"/>
      <c r="KV48" s="255"/>
      <c r="KW48" s="254"/>
      <c r="KX48" s="254"/>
      <c r="KY48" s="254"/>
      <c r="KZ48" s="254"/>
      <c r="LA48" s="254"/>
      <c r="LB48" s="254"/>
      <c r="LC48" s="254"/>
      <c r="LD48" s="254"/>
      <c r="LE48" s="254"/>
      <c r="LF48" s="254"/>
      <c r="LG48" s="254"/>
      <c r="LH48" s="254"/>
      <c r="LI48" s="254"/>
      <c r="LJ48" s="254"/>
      <c r="LK48" s="254"/>
      <c r="LL48" s="254"/>
      <c r="LM48" s="254"/>
      <c r="LN48" s="254"/>
      <c r="LO48" s="254"/>
      <c r="LP48" s="254"/>
      <c r="LQ48" s="254"/>
      <c r="LR48" s="254"/>
      <c r="LS48" s="254"/>
      <c r="LT48" s="254"/>
      <c r="LU48" s="254"/>
      <c r="LV48" s="254"/>
      <c r="LW48" s="254"/>
      <c r="LX48" s="254"/>
      <c r="LY48" s="254"/>
      <c r="LZ48" s="254"/>
      <c r="MA48" s="254"/>
      <c r="MB48" s="254"/>
      <c r="MC48" s="254"/>
      <c r="MD48" s="255"/>
      <c r="ME48" s="254"/>
      <c r="MF48" s="254"/>
      <c r="MG48" s="254"/>
      <c r="MH48" s="254"/>
      <c r="MI48" s="254"/>
      <c r="MJ48" s="254"/>
      <c r="MK48" s="254"/>
      <c r="ML48" s="254"/>
      <c r="MM48" s="254"/>
      <c r="MN48" s="254"/>
      <c r="MO48" s="254"/>
      <c r="MP48" s="254"/>
      <c r="MQ48" s="254"/>
      <c r="MR48" s="254"/>
      <c r="MS48" s="254"/>
      <c r="MT48" s="254"/>
      <c r="MU48" s="254"/>
      <c r="MV48" s="254"/>
      <c r="MW48" s="254"/>
      <c r="MX48" s="255"/>
      <c r="MY48" s="254"/>
      <c r="MZ48" s="254"/>
      <c r="NA48" s="254"/>
      <c r="NB48" s="254"/>
      <c r="NC48" s="254"/>
      <c r="ND48" s="254"/>
      <c r="NE48" s="254"/>
      <c r="NF48" s="254"/>
      <c r="NG48" s="254"/>
      <c r="NH48" s="254"/>
      <c r="NI48" s="254"/>
      <c r="NJ48" s="254"/>
      <c r="NK48" s="254"/>
      <c r="NL48" s="254"/>
      <c r="NM48" s="254"/>
      <c r="NN48" s="254"/>
      <c r="NO48" s="254"/>
      <c r="NP48" s="254"/>
      <c r="NQ48" s="254"/>
      <c r="NR48" s="254"/>
      <c r="NS48" s="254"/>
      <c r="NT48" s="254"/>
      <c r="NU48" s="254"/>
      <c r="NV48" s="254"/>
      <c r="NW48" s="254"/>
      <c r="NX48" s="254"/>
      <c r="NY48" s="254"/>
      <c r="NZ48" s="254"/>
      <c r="OA48" s="254"/>
      <c r="OB48" s="254"/>
      <c r="OC48" s="254"/>
      <c r="OD48" s="255"/>
      <c r="OE48" s="255"/>
      <c r="OF48" s="254"/>
      <c r="OG48" s="254"/>
      <c r="OH48" s="254"/>
      <c r="OI48" s="254"/>
      <c r="OJ48" s="254"/>
      <c r="OK48" s="254"/>
      <c r="OL48" s="254"/>
      <c r="OM48" s="254"/>
      <c r="ON48" s="254"/>
      <c r="OO48" s="254"/>
      <c r="OP48" s="254"/>
      <c r="OQ48" s="254"/>
      <c r="OR48" s="254"/>
      <c r="OS48" s="255"/>
      <c r="OT48" s="254"/>
      <c r="OU48" s="254"/>
      <c r="OV48" s="254"/>
      <c r="OW48" s="254"/>
      <c r="OX48" s="254"/>
      <c r="OY48" s="255"/>
      <c r="OZ48" s="254"/>
      <c r="PA48" s="254"/>
      <c r="PB48" s="254"/>
      <c r="PC48" s="254"/>
      <c r="PD48" s="254"/>
      <c r="PE48" s="254"/>
      <c r="PF48" s="254"/>
      <c r="PG48" s="254"/>
      <c r="PH48" s="254"/>
      <c r="PI48" s="254"/>
      <c r="PJ48" s="254"/>
      <c r="PK48" s="254"/>
      <c r="PL48" s="254"/>
      <c r="PM48" s="254"/>
      <c r="PN48" s="254"/>
      <c r="PO48" s="254"/>
      <c r="PP48" s="254"/>
      <c r="PQ48" s="254"/>
      <c r="PR48" s="254"/>
      <c r="PS48" s="254"/>
      <c r="PT48" s="254"/>
      <c r="PU48" s="254"/>
      <c r="PV48" s="254"/>
      <c r="PW48" s="254"/>
      <c r="PX48" s="254"/>
      <c r="PY48" s="254"/>
      <c r="PZ48" s="254"/>
      <c r="QA48" s="254"/>
      <c r="QB48" s="254"/>
      <c r="QC48" s="254"/>
      <c r="QD48" s="254"/>
      <c r="QE48" s="254"/>
      <c r="QF48" s="254"/>
      <c r="QG48" s="254"/>
      <c r="QH48" s="254"/>
      <c r="QI48" s="256"/>
    </row>
    <row r="49" spans="1:451" ht="18" customHeight="1" x14ac:dyDescent="0.2">
      <c r="A49" s="251" t="s">
        <v>440</v>
      </c>
      <c r="B49" s="245"/>
      <c r="C49" s="242"/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2"/>
      <c r="P49" s="242"/>
      <c r="Q49" s="242"/>
      <c r="R49" s="242"/>
      <c r="S49" s="242"/>
      <c r="T49" s="242"/>
      <c r="U49" s="242"/>
      <c r="V49" s="242"/>
      <c r="W49" s="242"/>
      <c r="X49" s="242"/>
      <c r="Y49" s="242"/>
      <c r="Z49" s="242"/>
      <c r="AA49" s="242"/>
      <c r="AB49" s="242"/>
      <c r="AC49" s="243"/>
      <c r="AD49" s="242"/>
      <c r="AE49" s="242"/>
      <c r="AF49" s="242"/>
      <c r="AG49" s="242"/>
      <c r="AH49" s="242"/>
      <c r="AI49" s="242"/>
      <c r="AJ49" s="242"/>
      <c r="AK49" s="242"/>
      <c r="AL49" s="242"/>
      <c r="AM49" s="242"/>
      <c r="AN49" s="242"/>
      <c r="AO49" s="242"/>
      <c r="AP49" s="242"/>
      <c r="AQ49" s="242"/>
      <c r="AR49" s="243"/>
      <c r="AS49" s="242"/>
      <c r="AT49" s="242"/>
      <c r="AU49" s="242"/>
      <c r="AV49" s="242"/>
      <c r="AW49" s="242"/>
      <c r="AX49" s="242"/>
      <c r="AY49" s="242"/>
      <c r="AZ49" s="242"/>
      <c r="BA49" s="242"/>
      <c r="BB49" s="242"/>
      <c r="BC49" s="242"/>
      <c r="BD49" s="242"/>
      <c r="BE49" s="242"/>
      <c r="BF49" s="242"/>
      <c r="BG49" s="242"/>
      <c r="BH49" s="242"/>
      <c r="BI49" s="242"/>
      <c r="BJ49" s="242"/>
      <c r="BK49" s="242"/>
      <c r="BL49" s="242"/>
      <c r="BM49" s="242"/>
      <c r="BN49" s="242"/>
      <c r="BO49" s="242"/>
      <c r="BP49" s="242"/>
      <c r="BQ49" s="242"/>
      <c r="BR49" s="242"/>
      <c r="BS49" s="242"/>
      <c r="BT49" s="242"/>
      <c r="BU49" s="242"/>
      <c r="BV49" s="242"/>
      <c r="BW49" s="242" t="s">
        <v>441</v>
      </c>
      <c r="BX49" s="242"/>
      <c r="BY49" s="242"/>
      <c r="BZ49" s="242"/>
      <c r="CA49" s="242"/>
      <c r="CB49" s="242"/>
      <c r="CC49" s="243"/>
      <c r="CD49" s="243"/>
      <c r="CE49" s="242"/>
      <c r="CF49" s="242"/>
      <c r="CG49" s="242"/>
      <c r="CH49" s="242"/>
      <c r="CI49" s="242"/>
      <c r="CJ49" s="242"/>
      <c r="CK49" s="242"/>
      <c r="CL49" s="242"/>
      <c r="CM49" s="242"/>
      <c r="CN49" s="242"/>
      <c r="CO49" s="242"/>
      <c r="CP49" s="242"/>
      <c r="CQ49" s="242"/>
      <c r="CR49" s="243"/>
      <c r="CS49" s="242"/>
      <c r="CT49" s="242"/>
      <c r="CU49" s="242"/>
      <c r="CV49" s="242"/>
      <c r="CW49" s="242"/>
      <c r="CX49" s="243"/>
      <c r="CY49" s="242"/>
      <c r="CZ49" s="242">
        <v>1</v>
      </c>
      <c r="DA49" s="242">
        <v>1</v>
      </c>
      <c r="DB49" s="242">
        <v>1</v>
      </c>
      <c r="DC49" s="242">
        <v>1</v>
      </c>
      <c r="DD49" s="242">
        <v>1</v>
      </c>
      <c r="DE49" s="242">
        <v>1</v>
      </c>
      <c r="DF49" s="242">
        <v>2</v>
      </c>
      <c r="DG49" s="242">
        <v>2</v>
      </c>
      <c r="DH49" s="242">
        <v>2</v>
      </c>
      <c r="DI49" s="242">
        <v>2</v>
      </c>
      <c r="DJ49" s="242">
        <v>2</v>
      </c>
      <c r="DK49" s="242">
        <v>2</v>
      </c>
      <c r="DL49" s="242">
        <f>+DF49+1</f>
        <v>3</v>
      </c>
      <c r="DM49" s="242">
        <f t="shared" ref="DM49:FA54" si="90">+DG49+1</f>
        <v>3</v>
      </c>
      <c r="DN49" s="242">
        <f t="shared" si="90"/>
        <v>3</v>
      </c>
      <c r="DO49" s="242">
        <f t="shared" si="90"/>
        <v>3</v>
      </c>
      <c r="DP49" s="242">
        <f t="shared" si="90"/>
        <v>3</v>
      </c>
      <c r="DQ49" s="242">
        <f t="shared" si="90"/>
        <v>3</v>
      </c>
      <c r="DR49" s="242">
        <f t="shared" si="90"/>
        <v>4</v>
      </c>
      <c r="DS49" s="242">
        <f t="shared" si="90"/>
        <v>4</v>
      </c>
      <c r="DT49" s="242">
        <f t="shared" si="90"/>
        <v>4</v>
      </c>
      <c r="DU49" s="242">
        <f t="shared" si="90"/>
        <v>4</v>
      </c>
      <c r="DV49" s="242">
        <f t="shared" si="90"/>
        <v>4</v>
      </c>
      <c r="DW49" s="242">
        <f t="shared" si="90"/>
        <v>4</v>
      </c>
      <c r="DX49" s="242">
        <f t="shared" si="90"/>
        <v>5</v>
      </c>
      <c r="DY49" s="242">
        <f t="shared" si="90"/>
        <v>5</v>
      </c>
      <c r="DZ49" s="242">
        <f t="shared" si="90"/>
        <v>5</v>
      </c>
      <c r="EA49" s="242">
        <f t="shared" si="90"/>
        <v>5</v>
      </c>
      <c r="EB49" s="242">
        <f t="shared" si="90"/>
        <v>5</v>
      </c>
      <c r="EC49" s="242">
        <f t="shared" si="90"/>
        <v>5</v>
      </c>
      <c r="ED49" s="242">
        <f t="shared" si="90"/>
        <v>6</v>
      </c>
      <c r="EE49" s="242">
        <f t="shared" si="90"/>
        <v>6</v>
      </c>
      <c r="EF49" s="242">
        <f t="shared" si="90"/>
        <v>6</v>
      </c>
      <c r="EG49" s="242">
        <f t="shared" si="90"/>
        <v>6</v>
      </c>
      <c r="EH49" s="242">
        <f t="shared" si="90"/>
        <v>6</v>
      </c>
      <c r="EI49" s="242">
        <f t="shared" si="90"/>
        <v>6</v>
      </c>
      <c r="EJ49" s="242">
        <f t="shared" si="90"/>
        <v>7</v>
      </c>
      <c r="EK49" s="242">
        <f t="shared" si="90"/>
        <v>7</v>
      </c>
      <c r="EL49" s="242">
        <f t="shared" si="90"/>
        <v>7</v>
      </c>
      <c r="EM49" s="242">
        <f t="shared" si="90"/>
        <v>7</v>
      </c>
      <c r="EN49" s="242">
        <f t="shared" si="90"/>
        <v>7</v>
      </c>
      <c r="EO49" s="242">
        <f t="shared" si="90"/>
        <v>7</v>
      </c>
      <c r="EP49" s="242">
        <f t="shared" si="90"/>
        <v>8</v>
      </c>
      <c r="EQ49" s="242">
        <f t="shared" si="90"/>
        <v>8</v>
      </c>
      <c r="ER49" s="242">
        <f t="shared" si="90"/>
        <v>8</v>
      </c>
      <c r="ES49" s="242">
        <f t="shared" si="90"/>
        <v>8</v>
      </c>
      <c r="ET49" s="242">
        <f t="shared" si="90"/>
        <v>8</v>
      </c>
      <c r="EU49" s="242">
        <f t="shared" si="90"/>
        <v>8</v>
      </c>
      <c r="EV49" s="242">
        <f t="shared" si="90"/>
        <v>9</v>
      </c>
      <c r="EW49" s="242">
        <f t="shared" si="90"/>
        <v>9</v>
      </c>
      <c r="EX49" s="242">
        <f t="shared" si="90"/>
        <v>9</v>
      </c>
      <c r="EY49" s="242">
        <f t="shared" si="90"/>
        <v>9</v>
      </c>
      <c r="EZ49" s="242">
        <f t="shared" si="90"/>
        <v>9</v>
      </c>
      <c r="FA49" s="242">
        <f t="shared" si="90"/>
        <v>9</v>
      </c>
      <c r="FB49" s="242">
        <f>+EV49+1</f>
        <v>10</v>
      </c>
      <c r="FC49" s="242">
        <f t="shared" ref="FC49:FP54" si="91">+EW49+1</f>
        <v>10</v>
      </c>
      <c r="FD49" s="242">
        <f t="shared" si="91"/>
        <v>10</v>
      </c>
      <c r="FE49" s="242">
        <f t="shared" si="91"/>
        <v>10</v>
      </c>
      <c r="FF49" s="242">
        <f t="shared" si="91"/>
        <v>10</v>
      </c>
      <c r="FG49" s="242">
        <f t="shared" si="91"/>
        <v>10</v>
      </c>
      <c r="FH49" s="242">
        <f t="shared" si="91"/>
        <v>11</v>
      </c>
      <c r="FI49" s="242">
        <f t="shared" si="91"/>
        <v>11</v>
      </c>
      <c r="FJ49" s="242">
        <f t="shared" si="91"/>
        <v>11</v>
      </c>
      <c r="FK49" s="242">
        <f t="shared" si="91"/>
        <v>11</v>
      </c>
      <c r="FL49" s="242">
        <f t="shared" si="91"/>
        <v>11</v>
      </c>
      <c r="FM49" s="242">
        <f t="shared" si="91"/>
        <v>11</v>
      </c>
      <c r="FN49" s="242">
        <f t="shared" si="91"/>
        <v>12</v>
      </c>
      <c r="FO49" s="242">
        <f t="shared" si="91"/>
        <v>12</v>
      </c>
      <c r="FP49" s="242">
        <f t="shared" si="91"/>
        <v>12</v>
      </c>
      <c r="FQ49" s="243"/>
      <c r="FR49" s="243"/>
      <c r="FS49" s="242">
        <f t="shared" ref="FS49:FX54" si="92">+FK49+1</f>
        <v>12</v>
      </c>
      <c r="FT49" s="242">
        <f t="shared" si="92"/>
        <v>12</v>
      </c>
      <c r="FU49" s="242">
        <f t="shared" si="92"/>
        <v>12</v>
      </c>
      <c r="FV49" s="242">
        <f t="shared" si="92"/>
        <v>13</v>
      </c>
      <c r="FW49" s="242">
        <f t="shared" si="92"/>
        <v>13</v>
      </c>
      <c r="FX49" s="242">
        <f t="shared" si="92"/>
        <v>13</v>
      </c>
      <c r="FY49" s="242">
        <f t="shared" ref="FY49:GE54" si="93">+FS49+1</f>
        <v>13</v>
      </c>
      <c r="FZ49" s="242">
        <f t="shared" si="93"/>
        <v>13</v>
      </c>
      <c r="GA49" s="242">
        <f t="shared" si="93"/>
        <v>13</v>
      </c>
      <c r="GB49" s="242">
        <f t="shared" si="93"/>
        <v>14</v>
      </c>
      <c r="GC49" s="242">
        <f t="shared" si="93"/>
        <v>14</v>
      </c>
      <c r="GD49" s="242">
        <f t="shared" si="93"/>
        <v>14</v>
      </c>
      <c r="GE49" s="242">
        <f>+FY49+1</f>
        <v>14</v>
      </c>
      <c r="GF49" s="242">
        <f t="shared" ref="GF49:GU54" si="94">+FZ49+1</f>
        <v>14</v>
      </c>
      <c r="GG49" s="242">
        <f t="shared" si="94"/>
        <v>14</v>
      </c>
      <c r="GH49" s="242">
        <f t="shared" si="94"/>
        <v>15</v>
      </c>
      <c r="GI49" s="242">
        <f t="shared" si="94"/>
        <v>15</v>
      </c>
      <c r="GJ49" s="242">
        <f t="shared" si="94"/>
        <v>15</v>
      </c>
      <c r="GK49" s="242">
        <f t="shared" si="94"/>
        <v>15</v>
      </c>
      <c r="GL49" s="242">
        <f t="shared" si="94"/>
        <v>15</v>
      </c>
      <c r="GM49" s="242">
        <f t="shared" si="94"/>
        <v>15</v>
      </c>
      <c r="GN49" s="242">
        <f t="shared" si="94"/>
        <v>16</v>
      </c>
      <c r="GO49" s="242">
        <f t="shared" si="94"/>
        <v>16</v>
      </c>
      <c r="GP49" s="242">
        <f t="shared" si="94"/>
        <v>16</v>
      </c>
      <c r="GQ49" s="242">
        <f t="shared" si="94"/>
        <v>16</v>
      </c>
      <c r="GR49" s="242">
        <f t="shared" si="94"/>
        <v>16</v>
      </c>
      <c r="GS49" s="242">
        <f t="shared" si="94"/>
        <v>16</v>
      </c>
      <c r="GT49" s="242">
        <f t="shared" si="94"/>
        <v>17</v>
      </c>
      <c r="GU49" s="242">
        <f t="shared" si="94"/>
        <v>17</v>
      </c>
      <c r="GV49" s="242">
        <f t="shared" ref="GV49:GV54" si="95">+GP49+1</f>
        <v>17</v>
      </c>
      <c r="GW49" s="243"/>
      <c r="GX49" s="242">
        <f t="shared" ref="GX49:HC54" si="96">+GQ49+1</f>
        <v>17</v>
      </c>
      <c r="GY49" s="242">
        <f t="shared" si="96"/>
        <v>17</v>
      </c>
      <c r="GZ49" s="242">
        <f t="shared" si="96"/>
        <v>17</v>
      </c>
      <c r="HA49" s="242">
        <f t="shared" si="96"/>
        <v>18</v>
      </c>
      <c r="HB49" s="242">
        <f t="shared" si="96"/>
        <v>18</v>
      </c>
      <c r="HC49" s="242">
        <f t="shared" si="96"/>
        <v>18</v>
      </c>
      <c r="HD49" s="242"/>
      <c r="HE49" s="242"/>
      <c r="HF49" s="242"/>
      <c r="HG49" s="242"/>
      <c r="HH49" s="242"/>
      <c r="HI49" s="242"/>
      <c r="HJ49" s="242"/>
      <c r="HK49" s="242"/>
      <c r="HL49" s="242"/>
      <c r="HM49" s="242"/>
      <c r="HN49" s="242"/>
      <c r="HO49" s="242"/>
      <c r="HP49" s="242"/>
      <c r="HQ49" s="242"/>
      <c r="HR49" s="242"/>
      <c r="HS49" s="242"/>
      <c r="HT49" s="242"/>
      <c r="HU49" s="242"/>
      <c r="HV49" s="242"/>
      <c r="HW49" s="242"/>
      <c r="HX49" s="242"/>
      <c r="HY49" s="242"/>
      <c r="HZ49" s="242"/>
      <c r="IA49" s="242"/>
      <c r="IB49" s="242"/>
      <c r="IC49" s="242"/>
      <c r="ID49" s="242"/>
      <c r="IE49" s="242"/>
      <c r="IF49" s="242"/>
      <c r="IG49" s="242"/>
      <c r="IH49" s="242"/>
      <c r="II49" s="242"/>
      <c r="IJ49" s="242"/>
      <c r="IK49" s="242"/>
      <c r="IL49" s="242"/>
      <c r="IM49" s="242"/>
      <c r="IN49" s="242"/>
      <c r="IO49" s="242"/>
      <c r="IP49" s="242"/>
      <c r="IQ49" s="242"/>
      <c r="IR49" s="242"/>
      <c r="IS49" s="242"/>
      <c r="IT49" s="242"/>
      <c r="IU49" s="242"/>
      <c r="IV49" s="243"/>
      <c r="IW49" s="242"/>
      <c r="IX49" s="242"/>
      <c r="IY49" s="242"/>
      <c r="IZ49" s="242"/>
      <c r="JA49" s="242"/>
      <c r="JB49" s="242"/>
      <c r="JC49" s="242"/>
      <c r="JD49" s="242"/>
      <c r="JE49" s="242"/>
      <c r="JF49" s="242"/>
      <c r="JG49" s="242"/>
      <c r="JH49" s="242"/>
      <c r="JI49" s="242"/>
      <c r="JJ49" s="242"/>
      <c r="JK49" s="242"/>
      <c r="JL49" s="242"/>
      <c r="JM49" s="242"/>
      <c r="JN49" s="242"/>
      <c r="JO49" s="242"/>
      <c r="JP49" s="243"/>
      <c r="JQ49" s="242"/>
      <c r="JR49" s="242"/>
      <c r="JS49" s="242"/>
      <c r="JT49" s="243"/>
      <c r="JU49" s="243"/>
      <c r="JV49" s="242"/>
      <c r="JW49" s="242"/>
      <c r="JX49" s="242"/>
      <c r="JY49" s="242"/>
      <c r="JZ49" s="242"/>
      <c r="KA49" s="242"/>
      <c r="KB49" s="243"/>
      <c r="KC49" s="242"/>
      <c r="KD49" s="242"/>
      <c r="KE49" s="242"/>
      <c r="KF49" s="242"/>
      <c r="KG49" s="242"/>
      <c r="KH49" s="242"/>
      <c r="KI49" s="242"/>
      <c r="KJ49" s="242"/>
      <c r="KK49" s="242"/>
      <c r="KL49" s="242"/>
      <c r="KM49" s="242"/>
      <c r="KN49" s="242"/>
      <c r="KO49" s="242"/>
      <c r="KP49" s="242"/>
      <c r="KQ49" s="242"/>
      <c r="KR49" s="242"/>
      <c r="KS49" s="242"/>
      <c r="KT49" s="242"/>
      <c r="KU49" s="242"/>
      <c r="KV49" s="243"/>
      <c r="KW49" s="242"/>
      <c r="KX49" s="242"/>
      <c r="KY49" s="242"/>
      <c r="KZ49" s="242"/>
      <c r="LA49" s="242"/>
      <c r="LB49" s="242"/>
      <c r="LC49" s="242"/>
      <c r="LD49" s="242"/>
      <c r="LE49" s="242"/>
      <c r="LF49" s="242"/>
      <c r="LG49" s="242"/>
      <c r="LH49" s="242"/>
      <c r="LI49" s="242"/>
      <c r="LJ49" s="242"/>
      <c r="LK49" s="242"/>
      <c r="LL49" s="242"/>
      <c r="LM49" s="242"/>
      <c r="LN49" s="242"/>
      <c r="LO49" s="242"/>
      <c r="LP49" s="242"/>
      <c r="LQ49" s="242"/>
      <c r="LR49" s="242"/>
      <c r="LS49" s="242"/>
      <c r="LT49" s="242"/>
      <c r="LU49" s="242"/>
      <c r="LV49" s="242"/>
      <c r="LW49" s="242"/>
      <c r="LX49" s="242"/>
      <c r="LY49" s="242"/>
      <c r="LZ49" s="242"/>
      <c r="MA49" s="242"/>
      <c r="MB49" s="242"/>
      <c r="MC49" s="242"/>
      <c r="MD49" s="243"/>
      <c r="ME49" s="242"/>
      <c r="MF49" s="242"/>
      <c r="MG49" s="242"/>
      <c r="MH49" s="242"/>
      <c r="MI49" s="242"/>
      <c r="MJ49" s="242"/>
      <c r="MK49" s="242"/>
      <c r="ML49" s="242"/>
      <c r="MM49" s="242"/>
      <c r="MN49" s="242"/>
      <c r="MO49" s="242"/>
      <c r="MP49" s="242"/>
      <c r="MQ49" s="242"/>
      <c r="MR49" s="242"/>
      <c r="MS49" s="242"/>
      <c r="MT49" s="242"/>
      <c r="MU49" s="242"/>
      <c r="MV49" s="242"/>
      <c r="MW49" s="242"/>
      <c r="MX49" s="243"/>
      <c r="MY49" s="242"/>
      <c r="MZ49" s="242"/>
      <c r="NA49" s="242"/>
      <c r="NB49" s="242"/>
      <c r="NC49" s="242"/>
      <c r="ND49" s="242"/>
      <c r="NE49" s="242"/>
      <c r="NF49" s="242"/>
      <c r="NG49" s="242"/>
      <c r="NH49" s="242"/>
      <c r="NI49" s="242"/>
      <c r="NJ49" s="242"/>
      <c r="NK49" s="242"/>
      <c r="NL49" s="242"/>
      <c r="NM49" s="242"/>
      <c r="NN49" s="242"/>
      <c r="NO49" s="242"/>
      <c r="NP49" s="242"/>
      <c r="NQ49" s="242"/>
      <c r="NR49" s="242"/>
      <c r="NS49" s="242"/>
      <c r="NT49" s="242"/>
      <c r="NU49" s="242"/>
      <c r="NV49" s="242"/>
      <c r="NW49" s="242"/>
      <c r="NX49" s="242"/>
      <c r="NY49" s="242"/>
      <c r="NZ49" s="242"/>
      <c r="OA49" s="242"/>
      <c r="OB49" s="242"/>
      <c r="OC49" s="242"/>
      <c r="OD49" s="243"/>
      <c r="OE49" s="243"/>
      <c r="OF49" s="242"/>
      <c r="OG49" s="242"/>
      <c r="OH49" s="242"/>
      <c r="OI49" s="242"/>
      <c r="OJ49" s="242"/>
      <c r="OK49" s="242"/>
      <c r="OL49" s="242"/>
      <c r="OM49" s="242"/>
      <c r="ON49" s="242"/>
      <c r="OO49" s="242"/>
      <c r="OP49" s="242"/>
      <c r="OQ49" s="242"/>
      <c r="OR49" s="242"/>
      <c r="OS49" s="243"/>
      <c r="OT49" s="242"/>
      <c r="OU49" s="242"/>
      <c r="OV49" s="242"/>
      <c r="OW49" s="242"/>
      <c r="OX49" s="242"/>
      <c r="OY49" s="243"/>
      <c r="OZ49" s="242"/>
      <c r="PA49" s="242"/>
      <c r="PB49" s="242"/>
      <c r="PC49" s="242"/>
      <c r="PD49" s="242"/>
      <c r="PE49" s="242"/>
      <c r="PF49" s="242"/>
      <c r="PG49" s="242"/>
      <c r="PH49" s="242"/>
      <c r="PI49" s="242"/>
      <c r="PJ49" s="242"/>
      <c r="PK49" s="242"/>
      <c r="PL49" s="242"/>
      <c r="PM49" s="242"/>
      <c r="PN49" s="242"/>
      <c r="PO49" s="242"/>
      <c r="PP49" s="242"/>
      <c r="PQ49" s="242"/>
      <c r="PR49" s="242"/>
      <c r="PS49" s="242"/>
      <c r="PT49" s="242"/>
      <c r="PU49" s="242"/>
      <c r="PV49" s="242"/>
      <c r="PW49" s="242"/>
      <c r="PX49" s="242"/>
      <c r="PY49" s="242"/>
      <c r="PZ49" s="242"/>
      <c r="QA49" s="242"/>
      <c r="QB49" s="242"/>
      <c r="QC49" s="242"/>
      <c r="QD49" s="242"/>
      <c r="QE49" s="242"/>
      <c r="QF49" s="242"/>
      <c r="QG49" s="242"/>
      <c r="QH49" s="242"/>
      <c r="QI49" s="244"/>
    </row>
    <row r="50" spans="1:451" ht="18" customHeight="1" x14ac:dyDescent="0.2">
      <c r="A50" s="251" t="s">
        <v>442</v>
      </c>
      <c r="B50" s="245"/>
      <c r="C50" s="242"/>
      <c r="D50" s="242"/>
      <c r="E50" s="242"/>
      <c r="F50" s="242"/>
      <c r="G50" s="242"/>
      <c r="H50" s="242"/>
      <c r="I50" s="242"/>
      <c r="J50" s="242"/>
      <c r="K50" s="242"/>
      <c r="L50" s="242"/>
      <c r="M50" s="242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242"/>
      <c r="Y50" s="242"/>
      <c r="Z50" s="242"/>
      <c r="AA50" s="242"/>
      <c r="AB50" s="242"/>
      <c r="AC50" s="243"/>
      <c r="AD50" s="242"/>
      <c r="AE50" s="242"/>
      <c r="AF50" s="242"/>
      <c r="AG50" s="242"/>
      <c r="AH50" s="242"/>
      <c r="AI50" s="242"/>
      <c r="AJ50" s="242"/>
      <c r="AK50" s="242"/>
      <c r="AL50" s="242"/>
      <c r="AM50" s="242"/>
      <c r="AN50" s="242"/>
      <c r="AO50" s="242"/>
      <c r="AP50" s="242"/>
      <c r="AQ50" s="242"/>
      <c r="AR50" s="243"/>
      <c r="AS50" s="242"/>
      <c r="AT50" s="242"/>
      <c r="AU50" s="242"/>
      <c r="AV50" s="242"/>
      <c r="AW50" s="242"/>
      <c r="AX50" s="242"/>
      <c r="AY50" s="242"/>
      <c r="AZ50" s="242"/>
      <c r="BA50" s="242"/>
      <c r="BB50" s="242"/>
      <c r="BC50" s="242"/>
      <c r="BD50" s="242"/>
      <c r="BE50" s="242"/>
      <c r="BF50" s="242"/>
      <c r="BG50" s="242"/>
      <c r="BH50" s="242"/>
      <c r="BI50" s="242"/>
      <c r="BJ50" s="242"/>
      <c r="BK50" s="242"/>
      <c r="BL50" s="242"/>
      <c r="BM50" s="242"/>
      <c r="BN50" s="242"/>
      <c r="BO50" s="242"/>
      <c r="BP50" s="242"/>
      <c r="BQ50" s="242"/>
      <c r="BR50" s="242"/>
      <c r="BS50" s="242"/>
      <c r="BT50" s="242"/>
      <c r="BU50" s="242"/>
      <c r="BV50" s="242"/>
      <c r="BW50" s="242"/>
      <c r="BX50" s="242"/>
      <c r="BY50" s="242"/>
      <c r="BZ50" s="242"/>
      <c r="CA50" s="242"/>
      <c r="CB50" s="242"/>
      <c r="CC50" s="243"/>
      <c r="CD50" s="243"/>
      <c r="CE50" s="242"/>
      <c r="CF50" s="242"/>
      <c r="CG50" s="242"/>
      <c r="CH50" s="242"/>
      <c r="CI50" s="242"/>
      <c r="CJ50" s="242"/>
      <c r="CK50" s="242"/>
      <c r="CL50" s="242"/>
      <c r="CM50" s="242"/>
      <c r="CN50" s="242"/>
      <c r="CO50" s="242"/>
      <c r="CP50" s="242"/>
      <c r="CQ50" s="242"/>
      <c r="CR50" s="243"/>
      <c r="CS50" s="242"/>
      <c r="CT50" s="242"/>
      <c r="CU50" s="242"/>
      <c r="CV50" s="242"/>
      <c r="CW50" s="242"/>
      <c r="CX50" s="243"/>
      <c r="CY50" s="242"/>
      <c r="CZ50" s="242"/>
      <c r="DA50" s="242"/>
      <c r="DB50" s="242"/>
      <c r="DC50" s="242"/>
      <c r="DD50" s="242">
        <v>1</v>
      </c>
      <c r="DE50" s="242">
        <v>1</v>
      </c>
      <c r="DF50" s="242">
        <v>1</v>
      </c>
      <c r="DG50" s="242">
        <v>1</v>
      </c>
      <c r="DH50" s="242">
        <v>1</v>
      </c>
      <c r="DI50" s="242">
        <v>1</v>
      </c>
      <c r="DJ50" s="242">
        <v>2</v>
      </c>
      <c r="DK50" s="242">
        <v>2</v>
      </c>
      <c r="DL50" s="242">
        <v>2</v>
      </c>
      <c r="DM50" s="242">
        <v>2</v>
      </c>
      <c r="DN50" s="242">
        <v>2</v>
      </c>
      <c r="DO50" s="242">
        <v>2</v>
      </c>
      <c r="DP50" s="242">
        <f>+DJ50+1</f>
        <v>3</v>
      </c>
      <c r="DQ50" s="242">
        <f t="shared" si="90"/>
        <v>3</v>
      </c>
      <c r="DR50" s="242">
        <f t="shared" si="90"/>
        <v>3</v>
      </c>
      <c r="DS50" s="242">
        <f t="shared" si="90"/>
        <v>3</v>
      </c>
      <c r="DT50" s="242">
        <f t="shared" si="90"/>
        <v>3</v>
      </c>
      <c r="DU50" s="242">
        <f t="shared" si="90"/>
        <v>3</v>
      </c>
      <c r="DV50" s="242">
        <f t="shared" si="90"/>
        <v>4</v>
      </c>
      <c r="DW50" s="242">
        <f t="shared" si="90"/>
        <v>4</v>
      </c>
      <c r="DX50" s="242">
        <f t="shared" si="90"/>
        <v>4</v>
      </c>
      <c r="DY50" s="242">
        <f t="shared" si="90"/>
        <v>4</v>
      </c>
      <c r="DZ50" s="242">
        <f t="shared" si="90"/>
        <v>4</v>
      </c>
      <c r="EA50" s="242">
        <f t="shared" si="90"/>
        <v>4</v>
      </c>
      <c r="EB50" s="242">
        <f t="shared" si="90"/>
        <v>5</v>
      </c>
      <c r="EC50" s="242">
        <f t="shared" si="90"/>
        <v>5</v>
      </c>
      <c r="ED50" s="242">
        <f t="shared" si="90"/>
        <v>5</v>
      </c>
      <c r="EE50" s="242">
        <f t="shared" si="90"/>
        <v>5</v>
      </c>
      <c r="EF50" s="242">
        <f t="shared" si="90"/>
        <v>5</v>
      </c>
      <c r="EG50" s="242">
        <f t="shared" si="90"/>
        <v>5</v>
      </c>
      <c r="EH50" s="242">
        <f t="shared" si="90"/>
        <v>6</v>
      </c>
      <c r="EI50" s="242">
        <f t="shared" si="90"/>
        <v>6</v>
      </c>
      <c r="EJ50" s="242">
        <f t="shared" si="90"/>
        <v>6</v>
      </c>
      <c r="EK50" s="242">
        <f t="shared" si="90"/>
        <v>6</v>
      </c>
      <c r="EL50" s="242">
        <f t="shared" si="90"/>
        <v>6</v>
      </c>
      <c r="EM50" s="242">
        <f t="shared" si="90"/>
        <v>6</v>
      </c>
      <c r="EN50" s="242">
        <f t="shared" si="90"/>
        <v>7</v>
      </c>
      <c r="EO50" s="242">
        <f t="shared" si="90"/>
        <v>7</v>
      </c>
      <c r="EP50" s="242">
        <f t="shared" si="90"/>
        <v>7</v>
      </c>
      <c r="EQ50" s="242">
        <f t="shared" si="90"/>
        <v>7</v>
      </c>
      <c r="ER50" s="242">
        <f t="shared" si="90"/>
        <v>7</v>
      </c>
      <c r="ES50" s="242">
        <f t="shared" si="90"/>
        <v>7</v>
      </c>
      <c r="ET50" s="242">
        <f t="shared" si="90"/>
        <v>8</v>
      </c>
      <c r="EU50" s="242">
        <f t="shared" si="90"/>
        <v>8</v>
      </c>
      <c r="EV50" s="242">
        <f t="shared" si="90"/>
        <v>8</v>
      </c>
      <c r="EW50" s="242">
        <f t="shared" si="90"/>
        <v>8</v>
      </c>
      <c r="EX50" s="242">
        <f t="shared" si="90"/>
        <v>8</v>
      </c>
      <c r="EY50" s="242">
        <f t="shared" si="90"/>
        <v>8</v>
      </c>
      <c r="EZ50" s="242">
        <f t="shared" si="90"/>
        <v>9</v>
      </c>
      <c r="FA50" s="242">
        <f t="shared" si="90"/>
        <v>9</v>
      </c>
      <c r="FB50" s="242">
        <f t="shared" ref="FB50:FB54" si="97">+EV50+1</f>
        <v>9</v>
      </c>
      <c r="FC50" s="242">
        <f t="shared" si="91"/>
        <v>9</v>
      </c>
      <c r="FD50" s="242">
        <f t="shared" si="91"/>
        <v>9</v>
      </c>
      <c r="FE50" s="242">
        <f t="shared" si="91"/>
        <v>9</v>
      </c>
      <c r="FF50" s="242">
        <f>+EZ50+1</f>
        <v>10</v>
      </c>
      <c r="FG50" s="242">
        <f t="shared" si="91"/>
        <v>10</v>
      </c>
      <c r="FH50" s="242">
        <f t="shared" si="91"/>
        <v>10</v>
      </c>
      <c r="FI50" s="242">
        <f t="shared" si="91"/>
        <v>10</v>
      </c>
      <c r="FJ50" s="242">
        <f t="shared" si="91"/>
        <v>10</v>
      </c>
      <c r="FK50" s="242">
        <f t="shared" si="91"/>
        <v>10</v>
      </c>
      <c r="FL50" s="242">
        <f t="shared" si="91"/>
        <v>11</v>
      </c>
      <c r="FM50" s="242">
        <f t="shared" si="91"/>
        <v>11</v>
      </c>
      <c r="FN50" s="242">
        <f t="shared" si="91"/>
        <v>11</v>
      </c>
      <c r="FO50" s="242">
        <f t="shared" si="91"/>
        <v>11</v>
      </c>
      <c r="FP50" s="242">
        <f t="shared" si="91"/>
        <v>11</v>
      </c>
      <c r="FQ50" s="243"/>
      <c r="FR50" s="243"/>
      <c r="FS50" s="242">
        <f t="shared" si="92"/>
        <v>11</v>
      </c>
      <c r="FT50" s="242">
        <f t="shared" si="92"/>
        <v>12</v>
      </c>
      <c r="FU50" s="242">
        <f t="shared" si="92"/>
        <v>12</v>
      </c>
      <c r="FV50" s="242">
        <f t="shared" si="92"/>
        <v>12</v>
      </c>
      <c r="FW50" s="242">
        <f t="shared" si="92"/>
        <v>12</v>
      </c>
      <c r="FX50" s="242">
        <f t="shared" si="92"/>
        <v>12</v>
      </c>
      <c r="FY50" s="242">
        <f t="shared" si="93"/>
        <v>12</v>
      </c>
      <c r="FZ50" s="242">
        <f t="shared" si="93"/>
        <v>13</v>
      </c>
      <c r="GA50" s="242">
        <f t="shared" si="93"/>
        <v>13</v>
      </c>
      <c r="GB50" s="242">
        <f t="shared" si="93"/>
        <v>13</v>
      </c>
      <c r="GC50" s="242">
        <f t="shared" si="93"/>
        <v>13</v>
      </c>
      <c r="GD50" s="242">
        <f t="shared" si="93"/>
        <v>13</v>
      </c>
      <c r="GE50" s="242">
        <f t="shared" si="93"/>
        <v>13</v>
      </c>
      <c r="GF50" s="242">
        <f t="shared" si="94"/>
        <v>14</v>
      </c>
      <c r="GG50" s="242">
        <f t="shared" si="94"/>
        <v>14</v>
      </c>
      <c r="GH50" s="242">
        <f t="shared" si="94"/>
        <v>14</v>
      </c>
      <c r="GI50" s="242">
        <f>+GC50+1</f>
        <v>14</v>
      </c>
      <c r="GJ50" s="242">
        <f t="shared" si="94"/>
        <v>14</v>
      </c>
      <c r="GK50" s="242">
        <f t="shared" si="94"/>
        <v>14</v>
      </c>
      <c r="GL50" s="242">
        <f t="shared" si="94"/>
        <v>15</v>
      </c>
      <c r="GM50" s="242">
        <f t="shared" si="94"/>
        <v>15</v>
      </c>
      <c r="GN50" s="242">
        <f t="shared" si="94"/>
        <v>15</v>
      </c>
      <c r="GO50" s="242">
        <f t="shared" si="94"/>
        <v>15</v>
      </c>
      <c r="GP50" s="242">
        <f t="shared" si="94"/>
        <v>15</v>
      </c>
      <c r="GQ50" s="242">
        <f t="shared" si="94"/>
        <v>15</v>
      </c>
      <c r="GR50" s="242">
        <f t="shared" si="94"/>
        <v>16</v>
      </c>
      <c r="GS50" s="242">
        <f t="shared" si="94"/>
        <v>16</v>
      </c>
      <c r="GT50" s="242">
        <f t="shared" si="94"/>
        <v>16</v>
      </c>
      <c r="GU50" s="242">
        <f t="shared" si="94"/>
        <v>16</v>
      </c>
      <c r="GV50" s="242">
        <f t="shared" si="95"/>
        <v>16</v>
      </c>
      <c r="GW50" s="243"/>
      <c r="GX50" s="242">
        <f t="shared" si="96"/>
        <v>16</v>
      </c>
      <c r="GY50" s="242">
        <f t="shared" si="96"/>
        <v>17</v>
      </c>
      <c r="GZ50" s="242">
        <f t="shared" si="96"/>
        <v>17</v>
      </c>
      <c r="HA50" s="242">
        <f t="shared" si="96"/>
        <v>17</v>
      </c>
      <c r="HB50" s="242">
        <f t="shared" si="96"/>
        <v>17</v>
      </c>
      <c r="HC50" s="242">
        <f t="shared" si="96"/>
        <v>17</v>
      </c>
      <c r="HD50" s="242">
        <f t="shared" ref="HD50:HF54" si="98">+GX50+1</f>
        <v>17</v>
      </c>
      <c r="HE50" s="242">
        <f t="shared" si="98"/>
        <v>18</v>
      </c>
      <c r="HF50" s="242">
        <f>+GZ50+1</f>
        <v>18</v>
      </c>
      <c r="HG50" s="242">
        <f t="shared" ref="HG50:HH54" si="99">+HA50+1</f>
        <v>18</v>
      </c>
      <c r="HH50" s="242"/>
      <c r="HI50" s="242"/>
      <c r="HJ50" s="242"/>
      <c r="HK50" s="242"/>
      <c r="HL50" s="242"/>
      <c r="HM50" s="242"/>
      <c r="HN50" s="242"/>
      <c r="HO50" s="242"/>
      <c r="HP50" s="242"/>
      <c r="HQ50" s="242"/>
      <c r="HR50" s="242"/>
      <c r="HS50" s="242"/>
      <c r="HT50" s="242"/>
      <c r="HU50" s="242"/>
      <c r="HV50" s="242"/>
      <c r="HW50" s="242"/>
      <c r="HX50" s="242"/>
      <c r="HY50" s="242"/>
      <c r="HZ50" s="242"/>
      <c r="IA50" s="242"/>
      <c r="IB50" s="242"/>
      <c r="IC50" s="242"/>
      <c r="ID50" s="242"/>
      <c r="IE50" s="242"/>
      <c r="IF50" s="242"/>
      <c r="IG50" s="242"/>
      <c r="IH50" s="242"/>
      <c r="II50" s="242"/>
      <c r="IJ50" s="242"/>
      <c r="IK50" s="242"/>
      <c r="IL50" s="242"/>
      <c r="IM50" s="242"/>
      <c r="IN50" s="242"/>
      <c r="IO50" s="242"/>
      <c r="IP50" s="242"/>
      <c r="IQ50" s="242"/>
      <c r="IR50" s="242"/>
      <c r="IS50" s="242"/>
      <c r="IT50" s="242"/>
      <c r="IU50" s="242"/>
      <c r="IV50" s="243"/>
      <c r="IW50" s="242"/>
      <c r="IX50" s="242"/>
      <c r="IY50" s="242"/>
      <c r="IZ50" s="242"/>
      <c r="JA50" s="242"/>
      <c r="JB50" s="242"/>
      <c r="JC50" s="242"/>
      <c r="JD50" s="242"/>
      <c r="JE50" s="242"/>
      <c r="JF50" s="242"/>
      <c r="JG50" s="242"/>
      <c r="JH50" s="242"/>
      <c r="JI50" s="242"/>
      <c r="JJ50" s="242"/>
      <c r="JK50" s="242"/>
      <c r="JL50" s="242"/>
      <c r="JM50" s="242"/>
      <c r="JN50" s="242"/>
      <c r="JO50" s="242"/>
      <c r="JP50" s="243"/>
      <c r="JQ50" s="242"/>
      <c r="JR50" s="242"/>
      <c r="JS50" s="242"/>
      <c r="JT50" s="243"/>
      <c r="JU50" s="243"/>
      <c r="JV50" s="242"/>
      <c r="JW50" s="242"/>
      <c r="JX50" s="242"/>
      <c r="JY50" s="242"/>
      <c r="JZ50" s="242"/>
      <c r="KA50" s="242"/>
      <c r="KB50" s="243"/>
      <c r="KC50" s="242"/>
      <c r="KD50" s="242"/>
      <c r="KE50" s="242"/>
      <c r="KF50" s="242"/>
      <c r="KG50" s="242"/>
      <c r="KH50" s="242"/>
      <c r="KI50" s="242"/>
      <c r="KJ50" s="242"/>
      <c r="KK50" s="242"/>
      <c r="KL50" s="242"/>
      <c r="KM50" s="242"/>
      <c r="KN50" s="242"/>
      <c r="KO50" s="242"/>
      <c r="KP50" s="242"/>
      <c r="KQ50" s="242"/>
      <c r="KR50" s="242"/>
      <c r="KS50" s="242"/>
      <c r="KT50" s="242"/>
      <c r="KU50" s="242"/>
      <c r="KV50" s="243"/>
      <c r="KW50" s="242"/>
      <c r="KX50" s="242"/>
      <c r="KY50" s="242"/>
      <c r="KZ50" s="242"/>
      <c r="LA50" s="242"/>
      <c r="LB50" s="242"/>
      <c r="LC50" s="242"/>
      <c r="LD50" s="242"/>
      <c r="LE50" s="242"/>
      <c r="LF50" s="242"/>
      <c r="LG50" s="242"/>
      <c r="LH50" s="242"/>
      <c r="LI50" s="242"/>
      <c r="LJ50" s="242"/>
      <c r="LK50" s="242"/>
      <c r="LL50" s="242"/>
      <c r="LM50" s="242"/>
      <c r="LN50" s="242"/>
      <c r="LO50" s="242"/>
      <c r="LP50" s="242"/>
      <c r="LQ50" s="242"/>
      <c r="LR50" s="242"/>
      <c r="LS50" s="242"/>
      <c r="LT50" s="242"/>
      <c r="LU50" s="242"/>
      <c r="LV50" s="242"/>
      <c r="LW50" s="242"/>
      <c r="LX50" s="242"/>
      <c r="LY50" s="242"/>
      <c r="LZ50" s="242"/>
      <c r="MA50" s="242"/>
      <c r="MB50" s="242"/>
      <c r="MC50" s="242"/>
      <c r="MD50" s="243"/>
      <c r="ME50" s="242"/>
      <c r="MF50" s="242"/>
      <c r="MG50" s="242"/>
      <c r="MH50" s="242"/>
      <c r="MI50" s="242"/>
      <c r="MJ50" s="242"/>
      <c r="MK50" s="242"/>
      <c r="ML50" s="242"/>
      <c r="MM50" s="242"/>
      <c r="MN50" s="242"/>
      <c r="MO50" s="242"/>
      <c r="MP50" s="242"/>
      <c r="MQ50" s="242"/>
      <c r="MR50" s="242"/>
      <c r="MS50" s="242"/>
      <c r="MT50" s="242"/>
      <c r="MU50" s="242"/>
      <c r="MV50" s="242"/>
      <c r="MW50" s="242"/>
      <c r="MX50" s="243"/>
      <c r="MY50" s="242"/>
      <c r="MZ50" s="242"/>
      <c r="NA50" s="242"/>
      <c r="NB50" s="242"/>
      <c r="NC50" s="242"/>
      <c r="ND50" s="242"/>
      <c r="NE50" s="242"/>
      <c r="NF50" s="242"/>
      <c r="NG50" s="242"/>
      <c r="NH50" s="242"/>
      <c r="NI50" s="242"/>
      <c r="NJ50" s="242"/>
      <c r="NK50" s="242"/>
      <c r="NL50" s="242"/>
      <c r="NM50" s="242"/>
      <c r="NN50" s="242"/>
      <c r="NO50" s="242"/>
      <c r="NP50" s="242"/>
      <c r="NQ50" s="242"/>
      <c r="NR50" s="242"/>
      <c r="NS50" s="242"/>
      <c r="NT50" s="242"/>
      <c r="NU50" s="242"/>
      <c r="NV50" s="242"/>
      <c r="NW50" s="242"/>
      <c r="NX50" s="242"/>
      <c r="NY50" s="242"/>
      <c r="NZ50" s="242"/>
      <c r="OA50" s="242"/>
      <c r="OB50" s="242"/>
      <c r="OC50" s="242"/>
      <c r="OD50" s="243"/>
      <c r="OE50" s="243"/>
      <c r="OF50" s="242"/>
      <c r="OG50" s="242"/>
      <c r="OH50" s="242"/>
      <c r="OI50" s="242"/>
      <c r="OJ50" s="242"/>
      <c r="OK50" s="242"/>
      <c r="OL50" s="242"/>
      <c r="OM50" s="242"/>
      <c r="ON50" s="242"/>
      <c r="OO50" s="242"/>
      <c r="OP50" s="242"/>
      <c r="OQ50" s="242"/>
      <c r="OR50" s="242"/>
      <c r="OS50" s="243"/>
      <c r="OT50" s="242"/>
      <c r="OU50" s="242"/>
      <c r="OV50" s="242"/>
      <c r="OW50" s="242"/>
      <c r="OX50" s="242"/>
      <c r="OY50" s="243"/>
      <c r="OZ50" s="242"/>
      <c r="PA50" s="242"/>
      <c r="PB50" s="242"/>
      <c r="PC50" s="242"/>
      <c r="PD50" s="242"/>
      <c r="PE50" s="242"/>
      <c r="PF50" s="242"/>
      <c r="PG50" s="242"/>
      <c r="PH50" s="242"/>
      <c r="PI50" s="242"/>
      <c r="PJ50" s="242"/>
      <c r="PK50" s="242"/>
      <c r="PL50" s="242"/>
      <c r="PM50" s="242"/>
      <c r="PN50" s="242"/>
      <c r="PO50" s="242"/>
      <c r="PP50" s="242"/>
      <c r="PQ50" s="242"/>
      <c r="PR50" s="242"/>
      <c r="PS50" s="242"/>
      <c r="PT50" s="242"/>
      <c r="PU50" s="242"/>
      <c r="PV50" s="242"/>
      <c r="PW50" s="242"/>
      <c r="PX50" s="242"/>
      <c r="PY50" s="242"/>
      <c r="PZ50" s="242"/>
      <c r="QA50" s="242"/>
      <c r="QB50" s="242"/>
      <c r="QC50" s="242"/>
      <c r="QD50" s="242"/>
      <c r="QE50" s="242"/>
      <c r="QF50" s="242"/>
      <c r="QG50" s="242"/>
      <c r="QH50" s="242"/>
      <c r="QI50" s="244"/>
    </row>
    <row r="51" spans="1:451" ht="18" customHeight="1" x14ac:dyDescent="0.2">
      <c r="A51" s="251" t="s">
        <v>443</v>
      </c>
      <c r="B51" s="245"/>
      <c r="C51" s="242"/>
      <c r="D51" s="242"/>
      <c r="E51" s="242"/>
      <c r="F51" s="242"/>
      <c r="G51" s="242"/>
      <c r="H51" s="242"/>
      <c r="I51" s="242"/>
      <c r="J51" s="242"/>
      <c r="K51" s="242"/>
      <c r="L51" s="242"/>
      <c r="M51" s="242"/>
      <c r="N51" s="242"/>
      <c r="O51" s="242"/>
      <c r="P51" s="242"/>
      <c r="Q51" s="242"/>
      <c r="R51" s="242"/>
      <c r="S51" s="242"/>
      <c r="T51" s="242"/>
      <c r="U51" s="242"/>
      <c r="V51" s="242"/>
      <c r="W51" s="242"/>
      <c r="X51" s="242"/>
      <c r="Y51" s="242"/>
      <c r="Z51" s="242"/>
      <c r="AA51" s="242"/>
      <c r="AB51" s="242"/>
      <c r="AC51" s="243"/>
      <c r="AD51" s="242"/>
      <c r="AE51" s="242"/>
      <c r="AF51" s="242"/>
      <c r="AG51" s="242"/>
      <c r="AH51" s="242"/>
      <c r="AI51" s="242"/>
      <c r="AJ51" s="242"/>
      <c r="AK51" s="242"/>
      <c r="AL51" s="242"/>
      <c r="AM51" s="242"/>
      <c r="AN51" s="242"/>
      <c r="AO51" s="242"/>
      <c r="AP51" s="242"/>
      <c r="AQ51" s="242"/>
      <c r="AR51" s="243"/>
      <c r="AS51" s="242"/>
      <c r="AT51" s="242"/>
      <c r="AU51" s="242"/>
      <c r="AV51" s="242"/>
      <c r="AW51" s="242"/>
      <c r="AX51" s="242"/>
      <c r="AY51" s="242"/>
      <c r="AZ51" s="242"/>
      <c r="BA51" s="242"/>
      <c r="BB51" s="242"/>
      <c r="BC51" s="242"/>
      <c r="BD51" s="242"/>
      <c r="BE51" s="242"/>
      <c r="BF51" s="242"/>
      <c r="BG51" s="242"/>
      <c r="BH51" s="242"/>
      <c r="BI51" s="242"/>
      <c r="BJ51" s="242"/>
      <c r="BK51" s="242"/>
      <c r="BL51" s="242"/>
      <c r="BM51" s="242"/>
      <c r="BN51" s="242"/>
      <c r="BO51" s="242"/>
      <c r="BP51" s="242"/>
      <c r="BQ51" s="242"/>
      <c r="BR51" s="242"/>
      <c r="BS51" s="242"/>
      <c r="BT51" s="242"/>
      <c r="BU51" s="242"/>
      <c r="BV51" s="242"/>
      <c r="BW51" s="242"/>
      <c r="BX51" s="242"/>
      <c r="BY51" s="242"/>
      <c r="BZ51" s="242"/>
      <c r="CA51" s="242"/>
      <c r="CB51" s="242"/>
      <c r="CC51" s="243"/>
      <c r="CD51" s="243"/>
      <c r="CE51" s="242"/>
      <c r="CF51" s="242"/>
      <c r="CG51" s="242"/>
      <c r="CH51" s="242"/>
      <c r="CI51" s="242"/>
      <c r="CJ51" s="242"/>
      <c r="CK51" s="242"/>
      <c r="CL51" s="242"/>
      <c r="CM51" s="242"/>
      <c r="CN51" s="242"/>
      <c r="CO51" s="242"/>
      <c r="CP51" s="242"/>
      <c r="CQ51" s="242"/>
      <c r="CR51" s="243"/>
      <c r="CS51" s="242"/>
      <c r="CT51" s="242"/>
      <c r="CU51" s="242"/>
      <c r="CV51" s="242"/>
      <c r="CW51" s="242"/>
      <c r="CX51" s="243"/>
      <c r="CY51" s="242"/>
      <c r="CZ51" s="242"/>
      <c r="DA51" s="242"/>
      <c r="DB51" s="242"/>
      <c r="DC51" s="242"/>
      <c r="DD51" s="242"/>
      <c r="DE51" s="242"/>
      <c r="DF51" s="242">
        <v>1</v>
      </c>
      <c r="DG51" s="242">
        <v>1</v>
      </c>
      <c r="DH51" s="242">
        <v>1</v>
      </c>
      <c r="DI51" s="242">
        <v>1</v>
      </c>
      <c r="DJ51" s="242">
        <v>1</v>
      </c>
      <c r="DK51" s="242">
        <v>1</v>
      </c>
      <c r="DL51" s="242">
        <v>2</v>
      </c>
      <c r="DM51" s="242">
        <v>2</v>
      </c>
      <c r="DN51" s="242">
        <v>2</v>
      </c>
      <c r="DO51" s="242">
        <v>2</v>
      </c>
      <c r="DP51" s="242">
        <v>2</v>
      </c>
      <c r="DQ51" s="242">
        <v>2</v>
      </c>
      <c r="DR51" s="242">
        <f>+DL51+1</f>
        <v>3</v>
      </c>
      <c r="DS51" s="242">
        <f t="shared" si="90"/>
        <v>3</v>
      </c>
      <c r="DT51" s="242">
        <f t="shared" si="90"/>
        <v>3</v>
      </c>
      <c r="DU51" s="242">
        <f t="shared" si="90"/>
        <v>3</v>
      </c>
      <c r="DV51" s="242">
        <f t="shared" si="90"/>
        <v>3</v>
      </c>
      <c r="DW51" s="242">
        <f t="shared" si="90"/>
        <v>3</v>
      </c>
      <c r="DX51" s="242">
        <f t="shared" si="90"/>
        <v>4</v>
      </c>
      <c r="DY51" s="242">
        <f t="shared" si="90"/>
        <v>4</v>
      </c>
      <c r="DZ51" s="242">
        <f t="shared" si="90"/>
        <v>4</v>
      </c>
      <c r="EA51" s="242">
        <f t="shared" si="90"/>
        <v>4</v>
      </c>
      <c r="EB51" s="242">
        <f t="shared" si="90"/>
        <v>4</v>
      </c>
      <c r="EC51" s="242">
        <f t="shared" si="90"/>
        <v>4</v>
      </c>
      <c r="ED51" s="242">
        <f t="shared" si="90"/>
        <v>5</v>
      </c>
      <c r="EE51" s="242">
        <f t="shared" si="90"/>
        <v>5</v>
      </c>
      <c r="EF51" s="242">
        <f t="shared" si="90"/>
        <v>5</v>
      </c>
      <c r="EG51" s="242">
        <f t="shared" si="90"/>
        <v>5</v>
      </c>
      <c r="EH51" s="242">
        <f t="shared" si="90"/>
        <v>5</v>
      </c>
      <c r="EI51" s="242">
        <f t="shared" si="90"/>
        <v>5</v>
      </c>
      <c r="EJ51" s="242">
        <f t="shared" si="90"/>
        <v>6</v>
      </c>
      <c r="EK51" s="242">
        <f t="shared" si="90"/>
        <v>6</v>
      </c>
      <c r="EL51" s="242">
        <f t="shared" si="90"/>
        <v>6</v>
      </c>
      <c r="EM51" s="242">
        <f t="shared" si="90"/>
        <v>6</v>
      </c>
      <c r="EN51" s="242">
        <f t="shared" si="90"/>
        <v>6</v>
      </c>
      <c r="EO51" s="242">
        <f t="shared" si="90"/>
        <v>6</v>
      </c>
      <c r="EP51" s="242">
        <f t="shared" si="90"/>
        <v>7</v>
      </c>
      <c r="EQ51" s="242">
        <f t="shared" si="90"/>
        <v>7</v>
      </c>
      <c r="ER51" s="242">
        <f t="shared" si="90"/>
        <v>7</v>
      </c>
      <c r="ES51" s="242">
        <f t="shared" si="90"/>
        <v>7</v>
      </c>
      <c r="ET51" s="242">
        <f t="shared" si="90"/>
        <v>7</v>
      </c>
      <c r="EU51" s="242">
        <f t="shared" si="90"/>
        <v>7</v>
      </c>
      <c r="EV51" s="242">
        <f t="shared" si="90"/>
        <v>8</v>
      </c>
      <c r="EW51" s="242">
        <f t="shared" si="90"/>
        <v>8</v>
      </c>
      <c r="EX51" s="242">
        <f t="shared" si="90"/>
        <v>8</v>
      </c>
      <c r="EY51" s="242">
        <f t="shared" si="90"/>
        <v>8</v>
      </c>
      <c r="EZ51" s="242">
        <f t="shared" si="90"/>
        <v>8</v>
      </c>
      <c r="FA51" s="242">
        <f t="shared" si="90"/>
        <v>8</v>
      </c>
      <c r="FB51" s="242">
        <f t="shared" si="97"/>
        <v>9</v>
      </c>
      <c r="FC51" s="242">
        <f t="shared" si="91"/>
        <v>9</v>
      </c>
      <c r="FD51" s="242">
        <f t="shared" si="91"/>
        <v>9</v>
      </c>
      <c r="FE51" s="242">
        <f t="shared" si="91"/>
        <v>9</v>
      </c>
      <c r="FF51" s="242">
        <f t="shared" si="91"/>
        <v>9</v>
      </c>
      <c r="FG51" s="242">
        <f t="shared" si="91"/>
        <v>9</v>
      </c>
      <c r="FH51" s="242">
        <f>+FB51+1</f>
        <v>10</v>
      </c>
      <c r="FI51" s="242">
        <f t="shared" si="91"/>
        <v>10</v>
      </c>
      <c r="FJ51" s="242">
        <f t="shared" si="91"/>
        <v>10</v>
      </c>
      <c r="FK51" s="242">
        <f t="shared" si="91"/>
        <v>10</v>
      </c>
      <c r="FL51" s="242">
        <f t="shared" si="91"/>
        <v>10</v>
      </c>
      <c r="FM51" s="242">
        <f t="shared" si="91"/>
        <v>10</v>
      </c>
      <c r="FN51" s="242">
        <f t="shared" si="91"/>
        <v>11</v>
      </c>
      <c r="FO51" s="242">
        <f t="shared" si="91"/>
        <v>11</v>
      </c>
      <c r="FP51" s="242">
        <f t="shared" si="91"/>
        <v>11</v>
      </c>
      <c r="FQ51" s="243"/>
      <c r="FR51" s="243"/>
      <c r="FS51" s="242">
        <f t="shared" si="92"/>
        <v>11</v>
      </c>
      <c r="FT51" s="242">
        <f t="shared" si="92"/>
        <v>11</v>
      </c>
      <c r="FU51" s="242">
        <f t="shared" si="92"/>
        <v>11</v>
      </c>
      <c r="FV51" s="242">
        <f t="shared" si="92"/>
        <v>12</v>
      </c>
      <c r="FW51" s="242">
        <f t="shared" si="92"/>
        <v>12</v>
      </c>
      <c r="FX51" s="242">
        <f t="shared" si="92"/>
        <v>12</v>
      </c>
      <c r="FY51" s="242">
        <f t="shared" si="93"/>
        <v>12</v>
      </c>
      <c r="FZ51" s="242">
        <f t="shared" si="93"/>
        <v>12</v>
      </c>
      <c r="GA51" s="242">
        <f t="shared" si="93"/>
        <v>12</v>
      </c>
      <c r="GB51" s="242">
        <f t="shared" si="93"/>
        <v>13</v>
      </c>
      <c r="GC51" s="242">
        <f t="shared" si="93"/>
        <v>13</v>
      </c>
      <c r="GD51" s="242">
        <f t="shared" si="93"/>
        <v>13</v>
      </c>
      <c r="GE51" s="242">
        <f t="shared" si="93"/>
        <v>13</v>
      </c>
      <c r="GF51" s="242">
        <f t="shared" si="94"/>
        <v>13</v>
      </c>
      <c r="GG51" s="242">
        <f t="shared" si="94"/>
        <v>13</v>
      </c>
      <c r="GH51" s="242">
        <f t="shared" si="94"/>
        <v>14</v>
      </c>
      <c r="GI51" s="242">
        <f t="shared" si="94"/>
        <v>14</v>
      </c>
      <c r="GJ51" s="242">
        <f t="shared" si="94"/>
        <v>14</v>
      </c>
      <c r="GK51" s="242">
        <f>+GE51+1</f>
        <v>14</v>
      </c>
      <c r="GL51" s="242">
        <f t="shared" si="94"/>
        <v>14</v>
      </c>
      <c r="GM51" s="242">
        <f t="shared" si="94"/>
        <v>14</v>
      </c>
      <c r="GN51" s="242">
        <f t="shared" si="94"/>
        <v>15</v>
      </c>
      <c r="GO51" s="242">
        <f t="shared" si="94"/>
        <v>15</v>
      </c>
      <c r="GP51" s="242">
        <f t="shared" si="94"/>
        <v>15</v>
      </c>
      <c r="GQ51" s="242">
        <f t="shared" si="94"/>
        <v>15</v>
      </c>
      <c r="GR51" s="242">
        <f t="shared" si="94"/>
        <v>15</v>
      </c>
      <c r="GS51" s="242">
        <f t="shared" si="94"/>
        <v>15</v>
      </c>
      <c r="GT51" s="242">
        <f t="shared" si="94"/>
        <v>16</v>
      </c>
      <c r="GU51" s="242">
        <f t="shared" si="94"/>
        <v>16</v>
      </c>
      <c r="GV51" s="242">
        <f t="shared" si="95"/>
        <v>16</v>
      </c>
      <c r="GW51" s="243"/>
      <c r="GX51" s="242">
        <f t="shared" si="96"/>
        <v>16</v>
      </c>
      <c r="GY51" s="242">
        <f t="shared" si="96"/>
        <v>16</v>
      </c>
      <c r="GZ51" s="242">
        <f t="shared" si="96"/>
        <v>16</v>
      </c>
      <c r="HA51" s="242">
        <f t="shared" si="96"/>
        <v>17</v>
      </c>
      <c r="HB51" s="242">
        <f t="shared" si="96"/>
        <v>17</v>
      </c>
      <c r="HC51" s="242">
        <f t="shared" si="96"/>
        <v>17</v>
      </c>
      <c r="HD51" s="242">
        <f t="shared" si="98"/>
        <v>17</v>
      </c>
      <c r="HE51" s="242">
        <f t="shared" si="98"/>
        <v>17</v>
      </c>
      <c r="HF51" s="242">
        <f t="shared" si="98"/>
        <v>17</v>
      </c>
      <c r="HG51" s="242">
        <f t="shared" si="99"/>
        <v>18</v>
      </c>
      <c r="HH51" s="242">
        <f>+HB51+1</f>
        <v>18</v>
      </c>
      <c r="HI51" s="242">
        <f t="shared" ref="HI51:HJ54" si="100">+HC51+1</f>
        <v>18</v>
      </c>
      <c r="HJ51" s="242"/>
      <c r="HK51" s="242"/>
      <c r="HL51" s="242"/>
      <c r="HM51" s="242"/>
      <c r="HN51" s="242"/>
      <c r="HO51" s="242"/>
      <c r="HP51" s="242"/>
      <c r="HQ51" s="242"/>
      <c r="HR51" s="242"/>
      <c r="HS51" s="242"/>
      <c r="HT51" s="242"/>
      <c r="HU51" s="242"/>
      <c r="HV51" s="242"/>
      <c r="HW51" s="242"/>
      <c r="HX51" s="242"/>
      <c r="HY51" s="242"/>
      <c r="HZ51" s="242"/>
      <c r="IA51" s="242"/>
      <c r="IB51" s="242"/>
      <c r="IC51" s="242"/>
      <c r="ID51" s="242"/>
      <c r="IE51" s="242"/>
      <c r="IF51" s="242"/>
      <c r="IG51" s="242"/>
      <c r="IH51" s="242"/>
      <c r="II51" s="242"/>
      <c r="IJ51" s="242"/>
      <c r="IK51" s="242"/>
      <c r="IL51" s="242"/>
      <c r="IM51" s="242"/>
      <c r="IN51" s="242"/>
      <c r="IO51" s="242"/>
      <c r="IP51" s="242"/>
      <c r="IQ51" s="242"/>
      <c r="IR51" s="242"/>
      <c r="IS51" s="242"/>
      <c r="IT51" s="242"/>
      <c r="IU51" s="242"/>
      <c r="IV51" s="243"/>
      <c r="IW51" s="242"/>
      <c r="IX51" s="242"/>
      <c r="IY51" s="242"/>
      <c r="IZ51" s="242"/>
      <c r="JA51" s="242"/>
      <c r="JB51" s="242"/>
      <c r="JC51" s="242"/>
      <c r="JD51" s="242"/>
      <c r="JE51" s="242"/>
      <c r="JF51" s="242"/>
      <c r="JG51" s="242"/>
      <c r="JH51" s="242"/>
      <c r="JI51" s="242"/>
      <c r="JJ51" s="242"/>
      <c r="JK51" s="242"/>
      <c r="JL51" s="242"/>
      <c r="JM51" s="242"/>
      <c r="JN51" s="242"/>
      <c r="JO51" s="242"/>
      <c r="JP51" s="243"/>
      <c r="JQ51" s="242"/>
      <c r="JR51" s="242"/>
      <c r="JS51" s="242"/>
      <c r="JT51" s="243"/>
      <c r="JU51" s="243"/>
      <c r="JV51" s="242"/>
      <c r="JW51" s="242"/>
      <c r="JX51" s="242"/>
      <c r="JY51" s="242"/>
      <c r="JZ51" s="242"/>
      <c r="KA51" s="242"/>
      <c r="KB51" s="243"/>
      <c r="KC51" s="242"/>
      <c r="KD51" s="242"/>
      <c r="KE51" s="242"/>
      <c r="KF51" s="242"/>
      <c r="KG51" s="242"/>
      <c r="KH51" s="242"/>
      <c r="KI51" s="242"/>
      <c r="KJ51" s="242"/>
      <c r="KK51" s="242"/>
      <c r="KL51" s="242"/>
      <c r="KM51" s="242"/>
      <c r="KN51" s="242"/>
      <c r="KO51" s="242"/>
      <c r="KP51" s="242"/>
      <c r="KQ51" s="242"/>
      <c r="KR51" s="242"/>
      <c r="KS51" s="242"/>
      <c r="KT51" s="242"/>
      <c r="KU51" s="242"/>
      <c r="KV51" s="243"/>
      <c r="KW51" s="242"/>
      <c r="KX51" s="242"/>
      <c r="KY51" s="242"/>
      <c r="KZ51" s="242"/>
      <c r="LA51" s="242"/>
      <c r="LB51" s="242"/>
      <c r="LC51" s="242"/>
      <c r="LD51" s="242"/>
      <c r="LE51" s="242"/>
      <c r="LF51" s="242"/>
      <c r="LG51" s="242"/>
      <c r="LH51" s="242"/>
      <c r="LI51" s="242"/>
      <c r="LJ51" s="242"/>
      <c r="LK51" s="242"/>
      <c r="LL51" s="242"/>
      <c r="LM51" s="242"/>
      <c r="LN51" s="242"/>
      <c r="LO51" s="242"/>
      <c r="LP51" s="242"/>
      <c r="LQ51" s="242"/>
      <c r="LR51" s="242"/>
      <c r="LS51" s="242"/>
      <c r="LT51" s="242"/>
      <c r="LU51" s="242"/>
      <c r="LV51" s="242"/>
      <c r="LW51" s="242"/>
      <c r="LX51" s="242"/>
      <c r="LY51" s="242"/>
      <c r="LZ51" s="242"/>
      <c r="MA51" s="242"/>
      <c r="MB51" s="242"/>
      <c r="MC51" s="242"/>
      <c r="MD51" s="243"/>
      <c r="ME51" s="242"/>
      <c r="MF51" s="242"/>
      <c r="MG51" s="242"/>
      <c r="MH51" s="242"/>
      <c r="MI51" s="242"/>
      <c r="MJ51" s="242"/>
      <c r="MK51" s="242"/>
      <c r="ML51" s="242"/>
      <c r="MM51" s="242"/>
      <c r="MN51" s="242"/>
      <c r="MO51" s="242"/>
      <c r="MP51" s="242"/>
      <c r="MQ51" s="242"/>
      <c r="MR51" s="242"/>
      <c r="MS51" s="242"/>
      <c r="MT51" s="242"/>
      <c r="MU51" s="242"/>
      <c r="MV51" s="242"/>
      <c r="MW51" s="242"/>
      <c r="MX51" s="243"/>
      <c r="MY51" s="242"/>
      <c r="MZ51" s="242"/>
      <c r="NA51" s="242"/>
      <c r="NB51" s="242"/>
      <c r="NC51" s="242"/>
      <c r="ND51" s="242"/>
      <c r="NE51" s="242"/>
      <c r="NF51" s="242"/>
      <c r="NG51" s="242"/>
      <c r="NH51" s="242"/>
      <c r="NI51" s="242"/>
      <c r="NJ51" s="242"/>
      <c r="NK51" s="242"/>
      <c r="NL51" s="242"/>
      <c r="NM51" s="242"/>
      <c r="NN51" s="242"/>
      <c r="NO51" s="242"/>
      <c r="NP51" s="242"/>
      <c r="NQ51" s="242"/>
      <c r="NR51" s="242"/>
      <c r="NS51" s="242"/>
      <c r="NT51" s="242"/>
      <c r="NU51" s="242"/>
      <c r="NV51" s="242"/>
      <c r="NW51" s="242"/>
      <c r="NX51" s="242"/>
      <c r="NY51" s="242"/>
      <c r="NZ51" s="242"/>
      <c r="OA51" s="242"/>
      <c r="OB51" s="242"/>
      <c r="OC51" s="242"/>
      <c r="OD51" s="243"/>
      <c r="OE51" s="243"/>
      <c r="OF51" s="242"/>
      <c r="OG51" s="242"/>
      <c r="OH51" s="242"/>
      <c r="OI51" s="242"/>
      <c r="OJ51" s="242"/>
      <c r="OK51" s="242"/>
      <c r="OL51" s="242"/>
      <c r="OM51" s="242"/>
      <c r="ON51" s="242"/>
      <c r="OO51" s="242"/>
      <c r="OP51" s="242"/>
      <c r="OQ51" s="242"/>
      <c r="OR51" s="242"/>
      <c r="OS51" s="243"/>
      <c r="OT51" s="242"/>
      <c r="OU51" s="242"/>
      <c r="OV51" s="242"/>
      <c r="OW51" s="242"/>
      <c r="OX51" s="242"/>
      <c r="OY51" s="243"/>
      <c r="OZ51" s="242"/>
      <c r="PA51" s="242"/>
      <c r="PB51" s="242"/>
      <c r="PC51" s="242"/>
      <c r="PD51" s="242"/>
      <c r="PE51" s="242"/>
      <c r="PF51" s="242"/>
      <c r="PG51" s="242"/>
      <c r="PH51" s="242"/>
      <c r="PI51" s="242"/>
      <c r="PJ51" s="242"/>
      <c r="PK51" s="242"/>
      <c r="PL51" s="242"/>
      <c r="PM51" s="242"/>
      <c r="PN51" s="242"/>
      <c r="PO51" s="242"/>
      <c r="PP51" s="242"/>
      <c r="PQ51" s="242"/>
      <c r="PR51" s="242"/>
      <c r="PS51" s="242"/>
      <c r="PT51" s="242"/>
      <c r="PU51" s="242"/>
      <c r="PV51" s="242"/>
      <c r="PW51" s="242"/>
      <c r="PX51" s="242"/>
      <c r="PY51" s="242"/>
      <c r="PZ51" s="242"/>
      <c r="QA51" s="242"/>
      <c r="QB51" s="242"/>
      <c r="QC51" s="242"/>
      <c r="QD51" s="242"/>
      <c r="QE51" s="242"/>
      <c r="QF51" s="242"/>
      <c r="QG51" s="242"/>
      <c r="QH51" s="242"/>
      <c r="QI51" s="244"/>
    </row>
    <row r="52" spans="1:451" ht="18" customHeight="1" x14ac:dyDescent="0.2">
      <c r="A52" s="251" t="s">
        <v>444</v>
      </c>
      <c r="B52" s="245"/>
      <c r="C52" s="242"/>
      <c r="D52" s="242"/>
      <c r="E52" s="242"/>
      <c r="F52" s="242"/>
      <c r="G52" s="242"/>
      <c r="H52" s="242"/>
      <c r="I52" s="242"/>
      <c r="J52" s="242"/>
      <c r="K52" s="242"/>
      <c r="L52" s="242"/>
      <c r="M52" s="242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  <c r="Z52" s="242"/>
      <c r="AA52" s="242"/>
      <c r="AB52" s="242"/>
      <c r="AC52" s="243"/>
      <c r="AD52" s="242"/>
      <c r="AE52" s="242"/>
      <c r="AF52" s="242"/>
      <c r="AG52" s="242"/>
      <c r="AH52" s="242"/>
      <c r="AI52" s="242"/>
      <c r="AJ52" s="242"/>
      <c r="AK52" s="242"/>
      <c r="AL52" s="242"/>
      <c r="AM52" s="242"/>
      <c r="AN52" s="242"/>
      <c r="AO52" s="242"/>
      <c r="AP52" s="242"/>
      <c r="AQ52" s="242"/>
      <c r="AR52" s="243"/>
      <c r="AS52" s="242"/>
      <c r="AT52" s="242"/>
      <c r="AU52" s="242"/>
      <c r="AV52" s="242"/>
      <c r="AW52" s="242"/>
      <c r="AX52" s="242"/>
      <c r="AY52" s="242"/>
      <c r="AZ52" s="242"/>
      <c r="BA52" s="242"/>
      <c r="BB52" s="242"/>
      <c r="BC52" s="242"/>
      <c r="BD52" s="242"/>
      <c r="BE52" s="242"/>
      <c r="BF52" s="242"/>
      <c r="BG52" s="242"/>
      <c r="BH52" s="242"/>
      <c r="BI52" s="242"/>
      <c r="BJ52" s="242"/>
      <c r="BK52" s="242"/>
      <c r="BL52" s="242"/>
      <c r="BM52" s="242"/>
      <c r="BN52" s="242"/>
      <c r="BO52" s="242"/>
      <c r="BP52" s="242"/>
      <c r="BQ52" s="242"/>
      <c r="BR52" s="242"/>
      <c r="BS52" s="242"/>
      <c r="BT52" s="242"/>
      <c r="BU52" s="242"/>
      <c r="BV52" s="242"/>
      <c r="BW52" s="242"/>
      <c r="BX52" s="242"/>
      <c r="BY52" s="242"/>
      <c r="BZ52" s="242"/>
      <c r="CA52" s="242"/>
      <c r="CB52" s="242"/>
      <c r="CC52" s="243"/>
      <c r="CD52" s="243"/>
      <c r="CE52" s="242"/>
      <c r="CF52" s="242"/>
      <c r="CG52" s="242"/>
      <c r="CH52" s="242"/>
      <c r="CI52" s="242"/>
      <c r="CJ52" s="242"/>
      <c r="CK52" s="242"/>
      <c r="CL52" s="242"/>
      <c r="CM52" s="242"/>
      <c r="CN52" s="242"/>
      <c r="CO52" s="242"/>
      <c r="CP52" s="242"/>
      <c r="CQ52" s="242"/>
      <c r="CR52" s="243"/>
      <c r="CS52" s="242"/>
      <c r="CT52" s="242"/>
      <c r="CU52" s="242"/>
      <c r="CV52" s="242"/>
      <c r="CW52" s="242"/>
      <c r="CX52" s="243"/>
      <c r="CY52" s="242"/>
      <c r="CZ52" s="242"/>
      <c r="DA52" s="242"/>
      <c r="DB52" s="242"/>
      <c r="DC52" s="242"/>
      <c r="DD52" s="242"/>
      <c r="DE52" s="242"/>
      <c r="DF52" s="242"/>
      <c r="DG52" s="242"/>
      <c r="DH52" s="242">
        <v>1</v>
      </c>
      <c r="DI52" s="242">
        <v>1</v>
      </c>
      <c r="DJ52" s="242">
        <v>1</v>
      </c>
      <c r="DK52" s="242">
        <v>1</v>
      </c>
      <c r="DL52" s="242">
        <v>1</v>
      </c>
      <c r="DM52" s="242">
        <v>1</v>
      </c>
      <c r="DN52" s="242">
        <v>2</v>
      </c>
      <c r="DO52" s="242">
        <v>2</v>
      </c>
      <c r="DP52" s="242">
        <v>2</v>
      </c>
      <c r="DQ52" s="242">
        <v>2</v>
      </c>
      <c r="DR52" s="242">
        <v>2</v>
      </c>
      <c r="DS52" s="242">
        <v>2</v>
      </c>
      <c r="DT52" s="242">
        <f>+DN52+1</f>
        <v>3</v>
      </c>
      <c r="DU52" s="242">
        <f t="shared" si="90"/>
        <v>3</v>
      </c>
      <c r="DV52" s="242">
        <f t="shared" si="90"/>
        <v>3</v>
      </c>
      <c r="DW52" s="242">
        <f t="shared" si="90"/>
        <v>3</v>
      </c>
      <c r="DX52" s="242">
        <f t="shared" si="90"/>
        <v>3</v>
      </c>
      <c r="DY52" s="242">
        <f t="shared" si="90"/>
        <v>3</v>
      </c>
      <c r="DZ52" s="242">
        <f t="shared" si="90"/>
        <v>4</v>
      </c>
      <c r="EA52" s="242">
        <f t="shared" si="90"/>
        <v>4</v>
      </c>
      <c r="EB52" s="242">
        <f t="shared" si="90"/>
        <v>4</v>
      </c>
      <c r="EC52" s="242">
        <f t="shared" si="90"/>
        <v>4</v>
      </c>
      <c r="ED52" s="242">
        <f t="shared" si="90"/>
        <v>4</v>
      </c>
      <c r="EE52" s="242">
        <f t="shared" si="90"/>
        <v>4</v>
      </c>
      <c r="EF52" s="242">
        <f t="shared" si="90"/>
        <v>5</v>
      </c>
      <c r="EG52" s="242">
        <f t="shared" si="90"/>
        <v>5</v>
      </c>
      <c r="EH52" s="242">
        <f t="shared" si="90"/>
        <v>5</v>
      </c>
      <c r="EI52" s="242">
        <f t="shared" si="90"/>
        <v>5</v>
      </c>
      <c r="EJ52" s="242">
        <f t="shared" si="90"/>
        <v>5</v>
      </c>
      <c r="EK52" s="242">
        <f t="shared" si="90"/>
        <v>5</v>
      </c>
      <c r="EL52" s="242">
        <f t="shared" si="90"/>
        <v>6</v>
      </c>
      <c r="EM52" s="242">
        <f t="shared" si="90"/>
        <v>6</v>
      </c>
      <c r="EN52" s="242">
        <f t="shared" si="90"/>
        <v>6</v>
      </c>
      <c r="EO52" s="242">
        <f t="shared" si="90"/>
        <v>6</v>
      </c>
      <c r="EP52" s="242">
        <f t="shared" si="90"/>
        <v>6</v>
      </c>
      <c r="EQ52" s="242">
        <f t="shared" si="90"/>
        <v>6</v>
      </c>
      <c r="ER52" s="242">
        <f t="shared" si="90"/>
        <v>7</v>
      </c>
      <c r="ES52" s="242">
        <f t="shared" si="90"/>
        <v>7</v>
      </c>
      <c r="ET52" s="242">
        <f t="shared" si="90"/>
        <v>7</v>
      </c>
      <c r="EU52" s="242">
        <f t="shared" si="90"/>
        <v>7</v>
      </c>
      <c r="EV52" s="242">
        <f t="shared" si="90"/>
        <v>7</v>
      </c>
      <c r="EW52" s="242">
        <f t="shared" si="90"/>
        <v>7</v>
      </c>
      <c r="EX52" s="242">
        <f t="shared" si="90"/>
        <v>8</v>
      </c>
      <c r="EY52" s="242">
        <f t="shared" si="90"/>
        <v>8</v>
      </c>
      <c r="EZ52" s="242">
        <f t="shared" si="90"/>
        <v>8</v>
      </c>
      <c r="FA52" s="242">
        <f t="shared" si="90"/>
        <v>8</v>
      </c>
      <c r="FB52" s="242">
        <f t="shared" si="97"/>
        <v>8</v>
      </c>
      <c r="FC52" s="242">
        <f t="shared" si="91"/>
        <v>8</v>
      </c>
      <c r="FD52" s="242">
        <f t="shared" si="91"/>
        <v>9</v>
      </c>
      <c r="FE52" s="242">
        <f t="shared" si="91"/>
        <v>9</v>
      </c>
      <c r="FF52" s="242">
        <f t="shared" si="91"/>
        <v>9</v>
      </c>
      <c r="FG52" s="242">
        <f t="shared" si="91"/>
        <v>9</v>
      </c>
      <c r="FH52" s="242">
        <f t="shared" si="91"/>
        <v>9</v>
      </c>
      <c r="FI52" s="242">
        <f t="shared" si="91"/>
        <v>9</v>
      </c>
      <c r="FJ52" s="242">
        <f>+FD52+1</f>
        <v>10</v>
      </c>
      <c r="FK52" s="242">
        <f t="shared" si="91"/>
        <v>10</v>
      </c>
      <c r="FL52" s="242">
        <f t="shared" si="91"/>
        <v>10</v>
      </c>
      <c r="FM52" s="242">
        <f t="shared" si="91"/>
        <v>10</v>
      </c>
      <c r="FN52" s="242">
        <f t="shared" si="91"/>
        <v>10</v>
      </c>
      <c r="FO52" s="242">
        <f t="shared" si="91"/>
        <v>10</v>
      </c>
      <c r="FP52" s="242">
        <f t="shared" si="91"/>
        <v>11</v>
      </c>
      <c r="FQ52" s="243"/>
      <c r="FR52" s="243"/>
      <c r="FS52" s="242">
        <f t="shared" si="92"/>
        <v>11</v>
      </c>
      <c r="FT52" s="242">
        <f t="shared" si="92"/>
        <v>11</v>
      </c>
      <c r="FU52" s="242">
        <f t="shared" si="92"/>
        <v>11</v>
      </c>
      <c r="FV52" s="242">
        <f t="shared" si="92"/>
        <v>11</v>
      </c>
      <c r="FW52" s="242">
        <f t="shared" si="92"/>
        <v>11</v>
      </c>
      <c r="FX52" s="242">
        <f t="shared" si="92"/>
        <v>12</v>
      </c>
      <c r="FY52" s="242">
        <f t="shared" si="93"/>
        <v>12</v>
      </c>
      <c r="FZ52" s="242">
        <f t="shared" si="93"/>
        <v>12</v>
      </c>
      <c r="GA52" s="242">
        <f t="shared" si="93"/>
        <v>12</v>
      </c>
      <c r="GB52" s="242">
        <f t="shared" si="93"/>
        <v>12</v>
      </c>
      <c r="GC52" s="242">
        <f t="shared" si="93"/>
        <v>12</v>
      </c>
      <c r="GD52" s="242">
        <f t="shared" si="93"/>
        <v>13</v>
      </c>
      <c r="GE52" s="242">
        <f t="shared" si="93"/>
        <v>13</v>
      </c>
      <c r="GF52" s="242">
        <f t="shared" si="94"/>
        <v>13</v>
      </c>
      <c r="GG52" s="242">
        <f t="shared" si="94"/>
        <v>13</v>
      </c>
      <c r="GH52" s="242">
        <f t="shared" si="94"/>
        <v>13</v>
      </c>
      <c r="GI52" s="242">
        <f t="shared" si="94"/>
        <v>13</v>
      </c>
      <c r="GJ52" s="242">
        <f t="shared" si="94"/>
        <v>14</v>
      </c>
      <c r="GK52" s="242">
        <f t="shared" si="94"/>
        <v>14</v>
      </c>
      <c r="GL52" s="242">
        <f t="shared" si="94"/>
        <v>14</v>
      </c>
      <c r="GM52" s="242">
        <f>+GG52+1</f>
        <v>14</v>
      </c>
      <c r="GN52" s="242">
        <f t="shared" si="94"/>
        <v>14</v>
      </c>
      <c r="GO52" s="242">
        <f t="shared" si="94"/>
        <v>14</v>
      </c>
      <c r="GP52" s="242">
        <f t="shared" si="94"/>
        <v>15</v>
      </c>
      <c r="GQ52" s="242">
        <f t="shared" si="94"/>
        <v>15</v>
      </c>
      <c r="GR52" s="242">
        <f t="shared" si="94"/>
        <v>15</v>
      </c>
      <c r="GS52" s="242">
        <f t="shared" si="94"/>
        <v>15</v>
      </c>
      <c r="GT52" s="242">
        <f t="shared" si="94"/>
        <v>15</v>
      </c>
      <c r="GU52" s="242">
        <f t="shared" si="94"/>
        <v>15</v>
      </c>
      <c r="GV52" s="242">
        <f t="shared" si="95"/>
        <v>16</v>
      </c>
      <c r="GW52" s="243"/>
      <c r="GX52" s="242">
        <f t="shared" si="96"/>
        <v>16</v>
      </c>
      <c r="GY52" s="242">
        <f t="shared" si="96"/>
        <v>16</v>
      </c>
      <c r="GZ52" s="242">
        <f t="shared" si="96"/>
        <v>16</v>
      </c>
      <c r="HA52" s="242">
        <f t="shared" si="96"/>
        <v>16</v>
      </c>
      <c r="HB52" s="242">
        <f t="shared" si="96"/>
        <v>16</v>
      </c>
      <c r="HC52" s="242">
        <f t="shared" si="96"/>
        <v>17</v>
      </c>
      <c r="HD52" s="242">
        <f t="shared" si="98"/>
        <v>17</v>
      </c>
      <c r="HE52" s="242">
        <f t="shared" si="98"/>
        <v>17</v>
      </c>
      <c r="HF52" s="242">
        <f t="shared" si="98"/>
        <v>17</v>
      </c>
      <c r="HG52" s="242">
        <f t="shared" si="99"/>
        <v>17</v>
      </c>
      <c r="HH52" s="242">
        <f t="shared" si="99"/>
        <v>17</v>
      </c>
      <c r="HI52" s="242">
        <f t="shared" si="100"/>
        <v>18</v>
      </c>
      <c r="HJ52" s="242">
        <f>+HD52+1</f>
        <v>18</v>
      </c>
      <c r="HK52" s="242">
        <f t="shared" ref="HK52:HM54" si="101">+HE52+1</f>
        <v>18</v>
      </c>
      <c r="HL52" s="242"/>
      <c r="HM52" s="242"/>
      <c r="HN52" s="242"/>
      <c r="HO52" s="242"/>
      <c r="HP52" s="242"/>
      <c r="HQ52" s="242"/>
      <c r="HR52" s="242"/>
      <c r="HS52" s="242"/>
      <c r="HT52" s="242"/>
      <c r="HU52" s="242"/>
      <c r="HV52" s="242"/>
      <c r="HW52" s="242"/>
      <c r="HX52" s="242"/>
      <c r="HY52" s="242"/>
      <c r="HZ52" s="242"/>
      <c r="IA52" s="242"/>
      <c r="IB52" s="242"/>
      <c r="IC52" s="242"/>
      <c r="ID52" s="242"/>
      <c r="IE52" s="242"/>
      <c r="IF52" s="242"/>
      <c r="IG52" s="242"/>
      <c r="IH52" s="242"/>
      <c r="II52" s="242"/>
      <c r="IJ52" s="242"/>
      <c r="IK52" s="242"/>
      <c r="IL52" s="242"/>
      <c r="IM52" s="242"/>
      <c r="IN52" s="242"/>
      <c r="IO52" s="242"/>
      <c r="IP52" s="242"/>
      <c r="IQ52" s="242"/>
      <c r="IR52" s="242"/>
      <c r="IS52" s="242"/>
      <c r="IT52" s="242"/>
      <c r="IU52" s="242"/>
      <c r="IV52" s="243"/>
      <c r="IW52" s="242"/>
      <c r="IX52" s="242"/>
      <c r="IY52" s="242"/>
      <c r="IZ52" s="242"/>
      <c r="JA52" s="242"/>
      <c r="JB52" s="242"/>
      <c r="JC52" s="242"/>
      <c r="JD52" s="242"/>
      <c r="JE52" s="242"/>
      <c r="JF52" s="242"/>
      <c r="JG52" s="242"/>
      <c r="JH52" s="242"/>
      <c r="JI52" s="242"/>
      <c r="JJ52" s="242"/>
      <c r="JK52" s="242"/>
      <c r="JL52" s="242"/>
      <c r="JM52" s="242"/>
      <c r="JN52" s="242"/>
      <c r="JO52" s="242"/>
      <c r="JP52" s="243"/>
      <c r="JQ52" s="242"/>
      <c r="JR52" s="242"/>
      <c r="JS52" s="242"/>
      <c r="JT52" s="243"/>
      <c r="JU52" s="243"/>
      <c r="JV52" s="242"/>
      <c r="JW52" s="242"/>
      <c r="JX52" s="242"/>
      <c r="JY52" s="242"/>
      <c r="JZ52" s="242"/>
      <c r="KA52" s="242"/>
      <c r="KB52" s="243"/>
      <c r="KC52" s="242"/>
      <c r="KD52" s="242"/>
      <c r="KE52" s="242"/>
      <c r="KF52" s="242"/>
      <c r="KG52" s="242"/>
      <c r="KH52" s="242"/>
      <c r="KI52" s="242"/>
      <c r="KJ52" s="242"/>
      <c r="KK52" s="242"/>
      <c r="KL52" s="242"/>
      <c r="KM52" s="242"/>
      <c r="KN52" s="242"/>
      <c r="KO52" s="242"/>
      <c r="KP52" s="242"/>
      <c r="KQ52" s="242"/>
      <c r="KR52" s="242"/>
      <c r="KS52" s="242"/>
      <c r="KT52" s="242"/>
      <c r="KU52" s="242"/>
      <c r="KV52" s="243"/>
      <c r="KW52" s="242"/>
      <c r="KX52" s="242"/>
      <c r="KY52" s="242"/>
      <c r="KZ52" s="242"/>
      <c r="LA52" s="242"/>
      <c r="LB52" s="242"/>
      <c r="LC52" s="242"/>
      <c r="LD52" s="242"/>
      <c r="LE52" s="242"/>
      <c r="LF52" s="242"/>
      <c r="LG52" s="242"/>
      <c r="LH52" s="242"/>
      <c r="LI52" s="242"/>
      <c r="LJ52" s="242"/>
      <c r="LK52" s="242"/>
      <c r="LL52" s="242"/>
      <c r="LM52" s="242"/>
      <c r="LN52" s="242"/>
      <c r="LO52" s="242"/>
      <c r="LP52" s="242"/>
      <c r="LQ52" s="242"/>
      <c r="LR52" s="242"/>
      <c r="LS52" s="242"/>
      <c r="LT52" s="242"/>
      <c r="LU52" s="242"/>
      <c r="LV52" s="242"/>
      <c r="LW52" s="242"/>
      <c r="LX52" s="242"/>
      <c r="LY52" s="242"/>
      <c r="LZ52" s="242"/>
      <c r="MA52" s="242"/>
      <c r="MB52" s="242"/>
      <c r="MC52" s="242"/>
      <c r="MD52" s="243"/>
      <c r="ME52" s="242"/>
      <c r="MF52" s="242"/>
      <c r="MG52" s="242"/>
      <c r="MH52" s="242"/>
      <c r="MI52" s="242"/>
      <c r="MJ52" s="242"/>
      <c r="MK52" s="242"/>
      <c r="ML52" s="242"/>
      <c r="MM52" s="242"/>
      <c r="MN52" s="242"/>
      <c r="MO52" s="242"/>
      <c r="MP52" s="242"/>
      <c r="MQ52" s="242"/>
      <c r="MR52" s="242"/>
      <c r="MS52" s="242"/>
      <c r="MT52" s="242"/>
      <c r="MU52" s="242"/>
      <c r="MV52" s="242"/>
      <c r="MW52" s="242"/>
      <c r="MX52" s="243"/>
      <c r="MY52" s="242"/>
      <c r="MZ52" s="242"/>
      <c r="NA52" s="242"/>
      <c r="NB52" s="242"/>
      <c r="NC52" s="242"/>
      <c r="ND52" s="242"/>
      <c r="NE52" s="242"/>
      <c r="NF52" s="242"/>
      <c r="NG52" s="242"/>
      <c r="NH52" s="242"/>
      <c r="NI52" s="242"/>
      <c r="NJ52" s="242"/>
      <c r="NK52" s="242"/>
      <c r="NL52" s="242"/>
      <c r="NM52" s="242"/>
      <c r="NN52" s="242"/>
      <c r="NO52" s="242"/>
      <c r="NP52" s="242"/>
      <c r="NQ52" s="242"/>
      <c r="NR52" s="242"/>
      <c r="NS52" s="242"/>
      <c r="NT52" s="242"/>
      <c r="NU52" s="242"/>
      <c r="NV52" s="242"/>
      <c r="NW52" s="242"/>
      <c r="NX52" s="242"/>
      <c r="NY52" s="242"/>
      <c r="NZ52" s="242"/>
      <c r="OA52" s="242"/>
      <c r="OB52" s="242"/>
      <c r="OC52" s="242"/>
      <c r="OD52" s="243"/>
      <c r="OE52" s="243"/>
      <c r="OF52" s="242"/>
      <c r="OG52" s="242"/>
      <c r="OH52" s="242"/>
      <c r="OI52" s="242"/>
      <c r="OJ52" s="242"/>
      <c r="OK52" s="242"/>
      <c r="OL52" s="242"/>
      <c r="OM52" s="242"/>
      <c r="ON52" s="242"/>
      <c r="OO52" s="242"/>
      <c r="OP52" s="242"/>
      <c r="OQ52" s="242"/>
      <c r="OR52" s="242"/>
      <c r="OS52" s="243"/>
      <c r="OT52" s="242"/>
      <c r="OU52" s="242"/>
      <c r="OV52" s="242"/>
      <c r="OW52" s="242"/>
      <c r="OX52" s="242"/>
      <c r="OY52" s="243"/>
      <c r="OZ52" s="242"/>
      <c r="PA52" s="242"/>
      <c r="PB52" s="242"/>
      <c r="PC52" s="242"/>
      <c r="PD52" s="242"/>
      <c r="PE52" s="242"/>
      <c r="PF52" s="242"/>
      <c r="PG52" s="242"/>
      <c r="PH52" s="242"/>
      <c r="PI52" s="242"/>
      <c r="PJ52" s="242"/>
      <c r="PK52" s="242"/>
      <c r="PL52" s="242"/>
      <c r="PM52" s="242"/>
      <c r="PN52" s="242"/>
      <c r="PO52" s="242"/>
      <c r="PP52" s="242"/>
      <c r="PQ52" s="242"/>
      <c r="PR52" s="242"/>
      <c r="PS52" s="242"/>
      <c r="PT52" s="242"/>
      <c r="PU52" s="242"/>
      <c r="PV52" s="242"/>
      <c r="PW52" s="242"/>
      <c r="PX52" s="242"/>
      <c r="PY52" s="242"/>
      <c r="PZ52" s="242"/>
      <c r="QA52" s="242"/>
      <c r="QB52" s="242"/>
      <c r="QC52" s="242"/>
      <c r="QD52" s="242"/>
      <c r="QE52" s="242"/>
      <c r="QF52" s="242"/>
      <c r="QG52" s="242"/>
      <c r="QH52" s="242"/>
      <c r="QI52" s="244"/>
    </row>
    <row r="53" spans="1:451" ht="18" customHeight="1" x14ac:dyDescent="0.2">
      <c r="A53" s="273" t="s">
        <v>445</v>
      </c>
      <c r="B53" s="245"/>
      <c r="C53" s="242"/>
      <c r="D53" s="242"/>
      <c r="E53" s="242"/>
      <c r="F53" s="242"/>
      <c r="G53" s="242"/>
      <c r="H53" s="242"/>
      <c r="I53" s="242"/>
      <c r="J53" s="242"/>
      <c r="K53" s="242"/>
      <c r="L53" s="242"/>
      <c r="M53" s="242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242"/>
      <c r="Y53" s="242"/>
      <c r="Z53" s="242"/>
      <c r="AA53" s="242"/>
      <c r="AB53" s="242"/>
      <c r="AC53" s="243"/>
      <c r="AD53" s="242"/>
      <c r="AE53" s="242"/>
      <c r="AF53" s="242"/>
      <c r="AG53" s="242"/>
      <c r="AH53" s="242"/>
      <c r="AI53" s="242"/>
      <c r="AJ53" s="242"/>
      <c r="AK53" s="242"/>
      <c r="AL53" s="242"/>
      <c r="AM53" s="242"/>
      <c r="AN53" s="242"/>
      <c r="AO53" s="242"/>
      <c r="AP53" s="242"/>
      <c r="AQ53" s="242"/>
      <c r="AR53" s="243"/>
      <c r="AS53" s="242"/>
      <c r="AT53" s="242"/>
      <c r="AU53" s="242"/>
      <c r="AV53" s="242"/>
      <c r="AW53" s="242"/>
      <c r="AX53" s="242"/>
      <c r="AY53" s="242"/>
      <c r="AZ53" s="242"/>
      <c r="BA53" s="242"/>
      <c r="BB53" s="242"/>
      <c r="BC53" s="242"/>
      <c r="BD53" s="242"/>
      <c r="BE53" s="242"/>
      <c r="BF53" s="242"/>
      <c r="BG53" s="242"/>
      <c r="BH53" s="242"/>
      <c r="BI53" s="242"/>
      <c r="BJ53" s="242"/>
      <c r="BK53" s="242"/>
      <c r="BL53" s="242"/>
      <c r="BM53" s="242"/>
      <c r="BN53" s="242"/>
      <c r="BO53" s="242"/>
      <c r="BP53" s="242"/>
      <c r="BQ53" s="242"/>
      <c r="BR53" s="242"/>
      <c r="BS53" s="242"/>
      <c r="BT53" s="242"/>
      <c r="BU53" s="242"/>
      <c r="BV53" s="242"/>
      <c r="BW53" s="242"/>
      <c r="BX53" s="242"/>
      <c r="BY53" s="242"/>
      <c r="BZ53" s="242"/>
      <c r="CA53" s="242"/>
      <c r="CB53" s="242"/>
      <c r="CC53" s="243"/>
      <c r="CD53" s="243"/>
      <c r="CE53" s="242"/>
      <c r="CF53" s="242"/>
      <c r="CG53" s="242"/>
      <c r="CH53" s="242"/>
      <c r="CI53" s="242"/>
      <c r="CJ53" s="242"/>
      <c r="CK53" s="242"/>
      <c r="CL53" s="242"/>
      <c r="CM53" s="242"/>
      <c r="CN53" s="242"/>
      <c r="CO53" s="242"/>
      <c r="CP53" s="242"/>
      <c r="CQ53" s="242"/>
      <c r="CR53" s="243"/>
      <c r="CS53" s="242"/>
      <c r="CT53" s="242"/>
      <c r="CU53" s="242"/>
      <c r="CV53" s="242"/>
      <c r="CW53" s="242"/>
      <c r="CX53" s="243"/>
      <c r="CY53" s="242"/>
      <c r="CZ53" s="242"/>
      <c r="DA53" s="242"/>
      <c r="DB53" s="242"/>
      <c r="DC53" s="242"/>
      <c r="DD53" s="242"/>
      <c r="DE53" s="242"/>
      <c r="DF53" s="242"/>
      <c r="DG53" s="242"/>
      <c r="DH53" s="242"/>
      <c r="DI53" s="242"/>
      <c r="DJ53" s="242"/>
      <c r="DK53" s="242">
        <v>1</v>
      </c>
      <c r="DL53" s="242">
        <v>1</v>
      </c>
      <c r="DM53" s="242">
        <v>1</v>
      </c>
      <c r="DN53" s="242">
        <v>1</v>
      </c>
      <c r="DO53" s="242">
        <v>1</v>
      </c>
      <c r="DP53" s="242">
        <v>1</v>
      </c>
      <c r="DQ53" s="242">
        <v>2</v>
      </c>
      <c r="DR53" s="242">
        <v>2</v>
      </c>
      <c r="DS53" s="242">
        <v>2</v>
      </c>
      <c r="DT53" s="242">
        <v>2</v>
      </c>
      <c r="DU53" s="242">
        <v>2</v>
      </c>
      <c r="DV53" s="242">
        <v>2</v>
      </c>
      <c r="DW53" s="242">
        <f>+DQ53+1</f>
        <v>3</v>
      </c>
      <c r="DX53" s="242">
        <f t="shared" si="90"/>
        <v>3</v>
      </c>
      <c r="DY53" s="242">
        <f t="shared" si="90"/>
        <v>3</v>
      </c>
      <c r="DZ53" s="242">
        <f t="shared" si="90"/>
        <v>3</v>
      </c>
      <c r="EA53" s="242">
        <f t="shared" si="90"/>
        <v>3</v>
      </c>
      <c r="EB53" s="242">
        <f t="shared" si="90"/>
        <v>3</v>
      </c>
      <c r="EC53" s="242">
        <f t="shared" si="90"/>
        <v>4</v>
      </c>
      <c r="ED53" s="242">
        <f t="shared" si="90"/>
        <v>4</v>
      </c>
      <c r="EE53" s="242">
        <f t="shared" si="90"/>
        <v>4</v>
      </c>
      <c r="EF53" s="242">
        <f t="shared" si="90"/>
        <v>4</v>
      </c>
      <c r="EG53" s="242">
        <f t="shared" si="90"/>
        <v>4</v>
      </c>
      <c r="EH53" s="242">
        <f t="shared" si="90"/>
        <v>4</v>
      </c>
      <c r="EI53" s="242">
        <f t="shared" si="90"/>
        <v>5</v>
      </c>
      <c r="EJ53" s="242">
        <f t="shared" si="90"/>
        <v>5</v>
      </c>
      <c r="EK53" s="242">
        <f t="shared" si="90"/>
        <v>5</v>
      </c>
      <c r="EL53" s="242">
        <f t="shared" si="90"/>
        <v>5</v>
      </c>
      <c r="EM53" s="242">
        <f t="shared" si="90"/>
        <v>5</v>
      </c>
      <c r="EN53" s="242">
        <f t="shared" si="90"/>
        <v>5</v>
      </c>
      <c r="EO53" s="242">
        <f t="shared" si="90"/>
        <v>6</v>
      </c>
      <c r="EP53" s="242">
        <f t="shared" si="90"/>
        <v>6</v>
      </c>
      <c r="EQ53" s="242">
        <f t="shared" si="90"/>
        <v>6</v>
      </c>
      <c r="ER53" s="242">
        <f t="shared" si="90"/>
        <v>6</v>
      </c>
      <c r="ES53" s="242">
        <f t="shared" si="90"/>
        <v>6</v>
      </c>
      <c r="ET53" s="242">
        <f t="shared" si="90"/>
        <v>6</v>
      </c>
      <c r="EU53" s="242">
        <f t="shared" si="90"/>
        <v>7</v>
      </c>
      <c r="EV53" s="242">
        <f t="shared" si="90"/>
        <v>7</v>
      </c>
      <c r="EW53" s="242">
        <f t="shared" si="90"/>
        <v>7</v>
      </c>
      <c r="EX53" s="242">
        <f t="shared" si="90"/>
        <v>7</v>
      </c>
      <c r="EY53" s="242">
        <f t="shared" si="90"/>
        <v>7</v>
      </c>
      <c r="EZ53" s="242">
        <f t="shared" si="90"/>
        <v>7</v>
      </c>
      <c r="FA53" s="242">
        <f t="shared" si="90"/>
        <v>8</v>
      </c>
      <c r="FB53" s="242">
        <f t="shared" si="97"/>
        <v>8</v>
      </c>
      <c r="FC53" s="242">
        <f t="shared" si="91"/>
        <v>8</v>
      </c>
      <c r="FD53" s="242">
        <f t="shared" si="91"/>
        <v>8</v>
      </c>
      <c r="FE53" s="242">
        <f t="shared" si="91"/>
        <v>8</v>
      </c>
      <c r="FF53" s="242">
        <f t="shared" si="91"/>
        <v>8</v>
      </c>
      <c r="FG53" s="242">
        <f t="shared" si="91"/>
        <v>9</v>
      </c>
      <c r="FH53" s="242">
        <f t="shared" si="91"/>
        <v>9</v>
      </c>
      <c r="FI53" s="242">
        <f t="shared" si="91"/>
        <v>9</v>
      </c>
      <c r="FJ53" s="242">
        <f t="shared" si="91"/>
        <v>9</v>
      </c>
      <c r="FK53" s="242">
        <f t="shared" si="91"/>
        <v>9</v>
      </c>
      <c r="FL53" s="242">
        <f t="shared" si="91"/>
        <v>9</v>
      </c>
      <c r="FM53" s="242">
        <f>+FG53+1</f>
        <v>10</v>
      </c>
      <c r="FN53" s="242">
        <f t="shared" si="91"/>
        <v>10</v>
      </c>
      <c r="FO53" s="242">
        <f t="shared" si="91"/>
        <v>10</v>
      </c>
      <c r="FP53" s="242">
        <f t="shared" si="91"/>
        <v>10</v>
      </c>
      <c r="FQ53" s="243"/>
      <c r="FR53" s="243"/>
      <c r="FS53" s="242">
        <f t="shared" si="92"/>
        <v>10</v>
      </c>
      <c r="FT53" s="242">
        <f t="shared" si="92"/>
        <v>10</v>
      </c>
      <c r="FU53" s="242">
        <f t="shared" si="92"/>
        <v>11</v>
      </c>
      <c r="FV53" s="242">
        <f t="shared" si="92"/>
        <v>11</v>
      </c>
      <c r="FW53" s="242">
        <f t="shared" si="92"/>
        <v>11</v>
      </c>
      <c r="FX53" s="242">
        <f t="shared" si="92"/>
        <v>11</v>
      </c>
      <c r="FY53" s="242">
        <f t="shared" si="93"/>
        <v>11</v>
      </c>
      <c r="FZ53" s="242">
        <f t="shared" si="93"/>
        <v>11</v>
      </c>
      <c r="GA53" s="242">
        <f t="shared" si="93"/>
        <v>12</v>
      </c>
      <c r="GB53" s="242">
        <f t="shared" si="93"/>
        <v>12</v>
      </c>
      <c r="GC53" s="242">
        <f t="shared" si="93"/>
        <v>12</v>
      </c>
      <c r="GD53" s="242">
        <f t="shared" si="93"/>
        <v>12</v>
      </c>
      <c r="GE53" s="242">
        <f t="shared" si="93"/>
        <v>12</v>
      </c>
      <c r="GF53" s="242">
        <f t="shared" si="94"/>
        <v>12</v>
      </c>
      <c r="GG53" s="242">
        <f t="shared" si="94"/>
        <v>13</v>
      </c>
      <c r="GH53" s="242">
        <f t="shared" si="94"/>
        <v>13</v>
      </c>
      <c r="GI53" s="242">
        <f t="shared" si="94"/>
        <v>13</v>
      </c>
      <c r="GJ53" s="242">
        <f t="shared" si="94"/>
        <v>13</v>
      </c>
      <c r="GK53" s="242">
        <f t="shared" si="94"/>
        <v>13</v>
      </c>
      <c r="GL53" s="242">
        <f t="shared" si="94"/>
        <v>13</v>
      </c>
      <c r="GM53" s="242">
        <f t="shared" si="94"/>
        <v>14</v>
      </c>
      <c r="GN53" s="242">
        <f t="shared" si="94"/>
        <v>14</v>
      </c>
      <c r="GO53" s="242">
        <f t="shared" si="94"/>
        <v>14</v>
      </c>
      <c r="GP53" s="242">
        <f>+GJ53+1</f>
        <v>14</v>
      </c>
      <c r="GQ53" s="242">
        <f t="shared" si="94"/>
        <v>14</v>
      </c>
      <c r="GR53" s="242">
        <f t="shared" si="94"/>
        <v>14</v>
      </c>
      <c r="GS53" s="242">
        <f t="shared" si="94"/>
        <v>15</v>
      </c>
      <c r="GT53" s="242">
        <f t="shared" si="94"/>
        <v>15</v>
      </c>
      <c r="GU53" s="242">
        <f t="shared" si="94"/>
        <v>15</v>
      </c>
      <c r="GV53" s="242">
        <f t="shared" si="95"/>
        <v>15</v>
      </c>
      <c r="GW53" s="243"/>
      <c r="GX53" s="242">
        <f t="shared" si="96"/>
        <v>15</v>
      </c>
      <c r="GY53" s="242">
        <f t="shared" si="96"/>
        <v>15</v>
      </c>
      <c r="GZ53" s="242">
        <f t="shared" si="96"/>
        <v>16</v>
      </c>
      <c r="HA53" s="242">
        <f t="shared" si="96"/>
        <v>16</v>
      </c>
      <c r="HB53" s="242">
        <f t="shared" si="96"/>
        <v>16</v>
      </c>
      <c r="HC53" s="242">
        <f t="shared" si="96"/>
        <v>16</v>
      </c>
      <c r="HD53" s="242">
        <f t="shared" si="98"/>
        <v>16</v>
      </c>
      <c r="HE53" s="242">
        <f t="shared" si="98"/>
        <v>16</v>
      </c>
      <c r="HF53" s="242">
        <f t="shared" si="98"/>
        <v>17</v>
      </c>
      <c r="HG53" s="242">
        <f t="shared" si="99"/>
        <v>17</v>
      </c>
      <c r="HH53" s="242">
        <f t="shared" si="99"/>
        <v>17</v>
      </c>
      <c r="HI53" s="242">
        <f t="shared" si="100"/>
        <v>17</v>
      </c>
      <c r="HJ53" s="242">
        <f t="shared" si="100"/>
        <v>17</v>
      </c>
      <c r="HK53" s="242">
        <f t="shared" si="101"/>
        <v>17</v>
      </c>
      <c r="HL53" s="242">
        <f t="shared" si="101"/>
        <v>18</v>
      </c>
      <c r="HM53" s="242">
        <f>+HG53+1</f>
        <v>18</v>
      </c>
      <c r="HN53" s="242">
        <f t="shared" ref="HN53:HP54" si="102">+HH53+1</f>
        <v>18</v>
      </c>
      <c r="HO53" s="242"/>
      <c r="HP53" s="242"/>
      <c r="HQ53" s="242"/>
      <c r="HR53" s="242"/>
      <c r="HS53" s="242"/>
      <c r="HT53" s="242"/>
      <c r="HU53" s="242"/>
      <c r="HV53" s="242"/>
      <c r="HW53" s="242"/>
      <c r="HX53" s="242"/>
      <c r="HY53" s="242"/>
      <c r="HZ53" s="242"/>
      <c r="IA53" s="242"/>
      <c r="IB53" s="242"/>
      <c r="IC53" s="242"/>
      <c r="ID53" s="242"/>
      <c r="IE53" s="242"/>
      <c r="IF53" s="242"/>
      <c r="IG53" s="242"/>
      <c r="IH53" s="242"/>
      <c r="II53" s="242"/>
      <c r="IJ53" s="242"/>
      <c r="IK53" s="242"/>
      <c r="IL53" s="242"/>
      <c r="IM53" s="242"/>
      <c r="IN53" s="242"/>
      <c r="IO53" s="242"/>
      <c r="IP53" s="242"/>
      <c r="IQ53" s="242"/>
      <c r="IR53" s="242"/>
      <c r="IS53" s="242"/>
      <c r="IT53" s="242"/>
      <c r="IU53" s="242"/>
      <c r="IV53" s="243"/>
      <c r="IW53" s="242"/>
      <c r="IX53" s="242"/>
      <c r="IY53" s="242"/>
      <c r="IZ53" s="242"/>
      <c r="JA53" s="242"/>
      <c r="JB53" s="242"/>
      <c r="JC53" s="242"/>
      <c r="JD53" s="242"/>
      <c r="JE53" s="242"/>
      <c r="JF53" s="242"/>
      <c r="JG53" s="242"/>
      <c r="JH53" s="242"/>
      <c r="JI53" s="242"/>
      <c r="JJ53" s="242"/>
      <c r="JK53" s="242"/>
      <c r="JL53" s="242"/>
      <c r="JM53" s="242"/>
      <c r="JN53" s="242"/>
      <c r="JO53" s="242"/>
      <c r="JP53" s="243"/>
      <c r="JQ53" s="242"/>
      <c r="JR53" s="242"/>
      <c r="JS53" s="242"/>
      <c r="JT53" s="243"/>
      <c r="JU53" s="243"/>
      <c r="JV53" s="242"/>
      <c r="JW53" s="242"/>
      <c r="JX53" s="242"/>
      <c r="JY53" s="242"/>
      <c r="JZ53" s="242"/>
      <c r="KA53" s="242"/>
      <c r="KB53" s="243"/>
      <c r="KC53" s="242"/>
      <c r="KD53" s="242"/>
      <c r="KE53" s="242"/>
      <c r="KF53" s="242"/>
      <c r="KG53" s="242"/>
      <c r="KH53" s="242"/>
      <c r="KI53" s="242"/>
      <c r="KJ53" s="242"/>
      <c r="KK53" s="242"/>
      <c r="KL53" s="242"/>
      <c r="KM53" s="242"/>
      <c r="KN53" s="242"/>
      <c r="KO53" s="242"/>
      <c r="KP53" s="242"/>
      <c r="KQ53" s="242"/>
      <c r="KR53" s="242"/>
      <c r="KS53" s="242"/>
      <c r="KT53" s="242"/>
      <c r="KU53" s="242"/>
      <c r="KV53" s="243"/>
      <c r="KW53" s="242"/>
      <c r="KX53" s="242"/>
      <c r="KY53" s="242"/>
      <c r="KZ53" s="242"/>
      <c r="LA53" s="242"/>
      <c r="LB53" s="242"/>
      <c r="LC53" s="242"/>
      <c r="LD53" s="242"/>
      <c r="LE53" s="242"/>
      <c r="LF53" s="242"/>
      <c r="LG53" s="242"/>
      <c r="LH53" s="242"/>
      <c r="LI53" s="242"/>
      <c r="LJ53" s="242"/>
      <c r="LK53" s="242"/>
      <c r="LL53" s="242"/>
      <c r="LM53" s="242"/>
      <c r="LN53" s="242"/>
      <c r="LO53" s="242"/>
      <c r="LP53" s="242"/>
      <c r="LQ53" s="242"/>
      <c r="LR53" s="242"/>
      <c r="LS53" s="242"/>
      <c r="LT53" s="242"/>
      <c r="LU53" s="242"/>
      <c r="LV53" s="242"/>
      <c r="LW53" s="242"/>
      <c r="LX53" s="242"/>
      <c r="LY53" s="242"/>
      <c r="LZ53" s="242"/>
      <c r="MA53" s="242"/>
      <c r="MB53" s="242"/>
      <c r="MC53" s="242"/>
      <c r="MD53" s="243"/>
      <c r="ME53" s="242"/>
      <c r="MF53" s="242"/>
      <c r="MG53" s="242"/>
      <c r="MH53" s="242"/>
      <c r="MI53" s="242"/>
      <c r="MJ53" s="242"/>
      <c r="MK53" s="242"/>
      <c r="ML53" s="242"/>
      <c r="MM53" s="242"/>
      <c r="MN53" s="242"/>
      <c r="MO53" s="242"/>
      <c r="MP53" s="242"/>
      <c r="MQ53" s="242"/>
      <c r="MR53" s="242"/>
      <c r="MS53" s="242"/>
      <c r="MT53" s="242"/>
      <c r="MU53" s="242"/>
      <c r="MV53" s="242"/>
      <c r="MW53" s="242"/>
      <c r="MX53" s="243"/>
      <c r="MY53" s="242"/>
      <c r="MZ53" s="242"/>
      <c r="NA53" s="242"/>
      <c r="NB53" s="242"/>
      <c r="NC53" s="242"/>
      <c r="ND53" s="242"/>
      <c r="NE53" s="242"/>
      <c r="NF53" s="242"/>
      <c r="NG53" s="242"/>
      <c r="NH53" s="242"/>
      <c r="NI53" s="242"/>
      <c r="NJ53" s="242"/>
      <c r="NK53" s="242"/>
      <c r="NL53" s="242"/>
      <c r="NM53" s="242"/>
      <c r="NN53" s="242"/>
      <c r="NO53" s="242"/>
      <c r="NP53" s="242"/>
      <c r="NQ53" s="242"/>
      <c r="NR53" s="242"/>
      <c r="NS53" s="242"/>
      <c r="NT53" s="242"/>
      <c r="NU53" s="242"/>
      <c r="NV53" s="242"/>
      <c r="NW53" s="242"/>
      <c r="NX53" s="242"/>
      <c r="NY53" s="242"/>
      <c r="NZ53" s="242"/>
      <c r="OA53" s="242"/>
      <c r="OB53" s="242"/>
      <c r="OC53" s="242"/>
      <c r="OD53" s="243"/>
      <c r="OE53" s="243"/>
      <c r="OF53" s="242"/>
      <c r="OG53" s="242"/>
      <c r="OH53" s="242"/>
      <c r="OI53" s="242"/>
      <c r="OJ53" s="242"/>
      <c r="OK53" s="242"/>
      <c r="OL53" s="242"/>
      <c r="OM53" s="242"/>
      <c r="ON53" s="242"/>
      <c r="OO53" s="242"/>
      <c r="OP53" s="242"/>
      <c r="OQ53" s="242"/>
      <c r="OR53" s="242"/>
      <c r="OS53" s="243"/>
      <c r="OT53" s="242"/>
      <c r="OU53" s="242"/>
      <c r="OV53" s="242"/>
      <c r="OW53" s="242"/>
      <c r="OX53" s="242"/>
      <c r="OY53" s="243"/>
      <c r="OZ53" s="242"/>
      <c r="PA53" s="242"/>
      <c r="PB53" s="242"/>
      <c r="PC53" s="242"/>
      <c r="PD53" s="242"/>
      <c r="PE53" s="242"/>
      <c r="PF53" s="242"/>
      <c r="PG53" s="242"/>
      <c r="PH53" s="242"/>
      <c r="PI53" s="242"/>
      <c r="PJ53" s="242"/>
      <c r="PK53" s="242"/>
      <c r="PL53" s="242"/>
      <c r="PM53" s="242"/>
      <c r="PN53" s="242"/>
      <c r="PO53" s="242"/>
      <c r="PP53" s="242"/>
      <c r="PQ53" s="242"/>
      <c r="PR53" s="242"/>
      <c r="PS53" s="242"/>
      <c r="PT53" s="242"/>
      <c r="PU53" s="242"/>
      <c r="PV53" s="242"/>
      <c r="PW53" s="242"/>
      <c r="PX53" s="242"/>
      <c r="PY53" s="242"/>
      <c r="PZ53" s="242"/>
      <c r="QA53" s="242"/>
      <c r="QB53" s="242"/>
      <c r="QC53" s="242"/>
      <c r="QD53" s="242"/>
      <c r="QE53" s="242"/>
      <c r="QF53" s="242"/>
      <c r="QG53" s="242"/>
      <c r="QH53" s="242"/>
      <c r="QI53" s="244"/>
    </row>
    <row r="54" spans="1:451" ht="18" customHeight="1" x14ac:dyDescent="0.2">
      <c r="A54" s="251" t="s">
        <v>446</v>
      </c>
      <c r="B54" s="245"/>
      <c r="C54" s="242"/>
      <c r="D54" s="242"/>
      <c r="E54" s="242"/>
      <c r="F54" s="242"/>
      <c r="G54" s="242"/>
      <c r="H54" s="242"/>
      <c r="I54" s="242"/>
      <c r="J54" s="242"/>
      <c r="K54" s="242"/>
      <c r="L54" s="242"/>
      <c r="M54" s="242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242"/>
      <c r="Y54" s="242"/>
      <c r="Z54" s="242"/>
      <c r="AA54" s="242"/>
      <c r="AB54" s="242"/>
      <c r="AC54" s="243"/>
      <c r="AD54" s="242"/>
      <c r="AE54" s="242"/>
      <c r="AF54" s="242"/>
      <c r="AG54" s="242"/>
      <c r="AH54" s="242"/>
      <c r="AI54" s="242"/>
      <c r="AJ54" s="242"/>
      <c r="AK54" s="242"/>
      <c r="AL54" s="242"/>
      <c r="AM54" s="242"/>
      <c r="AN54" s="242"/>
      <c r="AO54" s="242"/>
      <c r="AP54" s="242"/>
      <c r="AQ54" s="242"/>
      <c r="AR54" s="243"/>
      <c r="AS54" s="242"/>
      <c r="AT54" s="242"/>
      <c r="AU54" s="242"/>
      <c r="AV54" s="242"/>
      <c r="AW54" s="242"/>
      <c r="AX54" s="242"/>
      <c r="AY54" s="242"/>
      <c r="AZ54" s="242"/>
      <c r="BA54" s="242"/>
      <c r="BB54" s="242"/>
      <c r="BC54" s="242"/>
      <c r="BD54" s="242"/>
      <c r="BE54" s="242"/>
      <c r="BF54" s="242"/>
      <c r="BG54" s="242"/>
      <c r="BH54" s="242"/>
      <c r="BI54" s="242"/>
      <c r="BJ54" s="242"/>
      <c r="BK54" s="242"/>
      <c r="BL54" s="242"/>
      <c r="BM54" s="242"/>
      <c r="BN54" s="242"/>
      <c r="BO54" s="242"/>
      <c r="BP54" s="242"/>
      <c r="BQ54" s="242"/>
      <c r="BR54" s="242"/>
      <c r="BS54" s="242"/>
      <c r="BT54" s="242"/>
      <c r="BU54" s="242"/>
      <c r="BV54" s="242"/>
      <c r="BW54" s="242"/>
      <c r="BX54" s="242"/>
      <c r="BY54" s="242"/>
      <c r="BZ54" s="242"/>
      <c r="CA54" s="242"/>
      <c r="CB54" s="242"/>
      <c r="CC54" s="243"/>
      <c r="CD54" s="243"/>
      <c r="CE54" s="242"/>
      <c r="CF54" s="242"/>
      <c r="CG54" s="242"/>
      <c r="CH54" s="242"/>
      <c r="CI54" s="242"/>
      <c r="CJ54" s="242"/>
      <c r="CK54" s="242"/>
      <c r="CL54" s="242"/>
      <c r="CM54" s="242"/>
      <c r="CN54" s="242"/>
      <c r="CO54" s="242"/>
      <c r="CP54" s="242"/>
      <c r="CQ54" s="242"/>
      <c r="CR54" s="243"/>
      <c r="CS54" s="242"/>
      <c r="CT54" s="242"/>
      <c r="CU54" s="242"/>
      <c r="CV54" s="242"/>
      <c r="CW54" s="242"/>
      <c r="CX54" s="243"/>
      <c r="CY54" s="242"/>
      <c r="CZ54" s="242"/>
      <c r="DA54" s="242"/>
      <c r="DB54" s="242"/>
      <c r="DC54" s="242"/>
      <c r="DD54" s="242"/>
      <c r="DE54" s="242"/>
      <c r="DF54" s="242"/>
      <c r="DG54" s="242"/>
      <c r="DH54" s="242"/>
      <c r="DI54" s="242"/>
      <c r="DJ54" s="242"/>
      <c r="DK54" s="242"/>
      <c r="DL54" s="242"/>
      <c r="DM54" s="242"/>
      <c r="DN54" s="242"/>
      <c r="DO54" s="242">
        <v>1</v>
      </c>
      <c r="DP54" s="242">
        <v>1</v>
      </c>
      <c r="DQ54" s="242">
        <v>1</v>
      </c>
      <c r="DR54" s="242">
        <v>1</v>
      </c>
      <c r="DS54" s="242">
        <v>1</v>
      </c>
      <c r="DT54" s="242">
        <v>1</v>
      </c>
      <c r="DU54" s="242">
        <v>2</v>
      </c>
      <c r="DV54" s="242">
        <v>2</v>
      </c>
      <c r="DW54" s="242">
        <v>2</v>
      </c>
      <c r="DX54" s="242">
        <v>2</v>
      </c>
      <c r="DY54" s="242">
        <v>2</v>
      </c>
      <c r="DZ54" s="242">
        <v>2</v>
      </c>
      <c r="EA54" s="242">
        <f>+DU54+1</f>
        <v>3</v>
      </c>
      <c r="EB54" s="242">
        <f t="shared" si="90"/>
        <v>3</v>
      </c>
      <c r="EC54" s="242">
        <f t="shared" si="90"/>
        <v>3</v>
      </c>
      <c r="ED54" s="242">
        <f t="shared" si="90"/>
        <v>3</v>
      </c>
      <c r="EE54" s="242">
        <f t="shared" si="90"/>
        <v>3</v>
      </c>
      <c r="EF54" s="242">
        <f t="shared" si="90"/>
        <v>3</v>
      </c>
      <c r="EG54" s="242">
        <f t="shared" si="90"/>
        <v>4</v>
      </c>
      <c r="EH54" s="242">
        <f t="shared" si="90"/>
        <v>4</v>
      </c>
      <c r="EI54" s="242">
        <f t="shared" si="90"/>
        <v>4</v>
      </c>
      <c r="EJ54" s="242">
        <f t="shared" si="90"/>
        <v>4</v>
      </c>
      <c r="EK54" s="242">
        <f t="shared" si="90"/>
        <v>4</v>
      </c>
      <c r="EL54" s="242">
        <f t="shared" si="90"/>
        <v>4</v>
      </c>
      <c r="EM54" s="242">
        <f t="shared" si="90"/>
        <v>5</v>
      </c>
      <c r="EN54" s="242">
        <f t="shared" si="90"/>
        <v>5</v>
      </c>
      <c r="EO54" s="242">
        <f t="shared" si="90"/>
        <v>5</v>
      </c>
      <c r="EP54" s="242">
        <f t="shared" si="90"/>
        <v>5</v>
      </c>
      <c r="EQ54" s="242">
        <f t="shared" si="90"/>
        <v>5</v>
      </c>
      <c r="ER54" s="242">
        <f t="shared" si="90"/>
        <v>5</v>
      </c>
      <c r="ES54" s="242">
        <f t="shared" si="90"/>
        <v>6</v>
      </c>
      <c r="ET54" s="242">
        <f t="shared" si="90"/>
        <v>6</v>
      </c>
      <c r="EU54" s="242">
        <f t="shared" si="90"/>
        <v>6</v>
      </c>
      <c r="EV54" s="242">
        <f t="shared" si="90"/>
        <v>6</v>
      </c>
      <c r="EW54" s="242">
        <f t="shared" si="90"/>
        <v>6</v>
      </c>
      <c r="EX54" s="242">
        <f t="shared" si="90"/>
        <v>6</v>
      </c>
      <c r="EY54" s="242">
        <f t="shared" si="90"/>
        <v>7</v>
      </c>
      <c r="EZ54" s="242">
        <f t="shared" si="90"/>
        <v>7</v>
      </c>
      <c r="FA54" s="242">
        <f t="shared" si="90"/>
        <v>7</v>
      </c>
      <c r="FB54" s="242">
        <f t="shared" si="97"/>
        <v>7</v>
      </c>
      <c r="FC54" s="242">
        <f t="shared" si="91"/>
        <v>7</v>
      </c>
      <c r="FD54" s="242">
        <f t="shared" si="91"/>
        <v>7</v>
      </c>
      <c r="FE54" s="242">
        <f t="shared" si="91"/>
        <v>8</v>
      </c>
      <c r="FF54" s="242">
        <f t="shared" si="91"/>
        <v>8</v>
      </c>
      <c r="FG54" s="242">
        <f t="shared" si="91"/>
        <v>8</v>
      </c>
      <c r="FH54" s="242">
        <f t="shared" si="91"/>
        <v>8</v>
      </c>
      <c r="FI54" s="242">
        <f t="shared" si="91"/>
        <v>8</v>
      </c>
      <c r="FJ54" s="242">
        <f t="shared" si="91"/>
        <v>8</v>
      </c>
      <c r="FK54" s="242">
        <f t="shared" si="91"/>
        <v>9</v>
      </c>
      <c r="FL54" s="242">
        <f t="shared" si="91"/>
        <v>9</v>
      </c>
      <c r="FM54" s="242">
        <f t="shared" si="91"/>
        <v>9</v>
      </c>
      <c r="FN54" s="242">
        <f t="shared" si="91"/>
        <v>9</v>
      </c>
      <c r="FO54" s="242">
        <f t="shared" si="91"/>
        <v>9</v>
      </c>
      <c r="FP54" s="242">
        <f t="shared" si="91"/>
        <v>9</v>
      </c>
      <c r="FQ54" s="243"/>
      <c r="FR54" s="243"/>
      <c r="FS54" s="242">
        <f t="shared" si="92"/>
        <v>10</v>
      </c>
      <c r="FT54" s="242">
        <f t="shared" si="92"/>
        <v>10</v>
      </c>
      <c r="FU54" s="242">
        <f t="shared" si="92"/>
        <v>10</v>
      </c>
      <c r="FV54" s="242">
        <f t="shared" si="92"/>
        <v>10</v>
      </c>
      <c r="FW54" s="242">
        <f t="shared" si="92"/>
        <v>10</v>
      </c>
      <c r="FX54" s="242">
        <f t="shared" si="92"/>
        <v>10</v>
      </c>
      <c r="FY54" s="242">
        <f t="shared" si="93"/>
        <v>11</v>
      </c>
      <c r="FZ54" s="242">
        <f t="shared" si="93"/>
        <v>11</v>
      </c>
      <c r="GA54" s="242">
        <f t="shared" si="93"/>
        <v>11</v>
      </c>
      <c r="GB54" s="242">
        <f t="shared" si="93"/>
        <v>11</v>
      </c>
      <c r="GC54" s="242">
        <f t="shared" si="93"/>
        <v>11</v>
      </c>
      <c r="GD54" s="242">
        <f t="shared" si="93"/>
        <v>11</v>
      </c>
      <c r="GE54" s="242">
        <f t="shared" si="93"/>
        <v>12</v>
      </c>
      <c r="GF54" s="242">
        <f t="shared" si="94"/>
        <v>12</v>
      </c>
      <c r="GG54" s="242">
        <f t="shared" si="94"/>
        <v>12</v>
      </c>
      <c r="GH54" s="242">
        <f t="shared" si="94"/>
        <v>12</v>
      </c>
      <c r="GI54" s="242">
        <f t="shared" si="94"/>
        <v>12</v>
      </c>
      <c r="GJ54" s="242">
        <f t="shared" si="94"/>
        <v>12</v>
      </c>
      <c r="GK54" s="242">
        <f t="shared" si="94"/>
        <v>13</v>
      </c>
      <c r="GL54" s="242">
        <f t="shared" si="94"/>
        <v>13</v>
      </c>
      <c r="GM54" s="242">
        <f t="shared" si="94"/>
        <v>13</v>
      </c>
      <c r="GN54" s="242">
        <f t="shared" si="94"/>
        <v>13</v>
      </c>
      <c r="GO54" s="242">
        <f t="shared" si="94"/>
        <v>13</v>
      </c>
      <c r="GP54" s="242">
        <f t="shared" si="94"/>
        <v>13</v>
      </c>
      <c r="GQ54" s="242">
        <f t="shared" si="94"/>
        <v>14</v>
      </c>
      <c r="GR54" s="242">
        <f t="shared" si="94"/>
        <v>14</v>
      </c>
      <c r="GS54" s="242">
        <f t="shared" si="94"/>
        <v>14</v>
      </c>
      <c r="GT54" s="242">
        <f>+GN54+1</f>
        <v>14</v>
      </c>
      <c r="GU54" s="242">
        <f t="shared" si="94"/>
        <v>14</v>
      </c>
      <c r="GV54" s="242">
        <f t="shared" si="95"/>
        <v>14</v>
      </c>
      <c r="GW54" s="243"/>
      <c r="GX54" s="242">
        <f t="shared" si="96"/>
        <v>15</v>
      </c>
      <c r="GY54" s="242">
        <f t="shared" si="96"/>
        <v>15</v>
      </c>
      <c r="GZ54" s="242">
        <f t="shared" si="96"/>
        <v>15</v>
      </c>
      <c r="HA54" s="242">
        <f t="shared" si="96"/>
        <v>15</v>
      </c>
      <c r="HB54" s="242">
        <f t="shared" si="96"/>
        <v>15</v>
      </c>
      <c r="HC54" s="242">
        <f t="shared" si="96"/>
        <v>15</v>
      </c>
      <c r="HD54" s="242">
        <f t="shared" si="98"/>
        <v>16</v>
      </c>
      <c r="HE54" s="242">
        <f t="shared" si="98"/>
        <v>16</v>
      </c>
      <c r="HF54" s="242">
        <f t="shared" si="98"/>
        <v>16</v>
      </c>
      <c r="HG54" s="242">
        <f t="shared" si="99"/>
        <v>16</v>
      </c>
      <c r="HH54" s="242">
        <f t="shared" si="99"/>
        <v>16</v>
      </c>
      <c r="HI54" s="242">
        <f t="shared" si="100"/>
        <v>16</v>
      </c>
      <c r="HJ54" s="242">
        <f t="shared" si="100"/>
        <v>17</v>
      </c>
      <c r="HK54" s="242">
        <f t="shared" si="101"/>
        <v>17</v>
      </c>
      <c r="HL54" s="242">
        <f t="shared" si="101"/>
        <v>17</v>
      </c>
      <c r="HM54" s="242">
        <f t="shared" si="101"/>
        <v>17</v>
      </c>
      <c r="HN54" s="242">
        <f t="shared" si="102"/>
        <v>17</v>
      </c>
      <c r="HO54" s="242">
        <f t="shared" si="102"/>
        <v>17</v>
      </c>
      <c r="HP54" s="242">
        <f t="shared" si="102"/>
        <v>18</v>
      </c>
      <c r="HQ54" s="242">
        <f>+HK54+1</f>
        <v>18</v>
      </c>
      <c r="HR54" s="242">
        <f t="shared" ref="HR54" si="103">+HL54+1</f>
        <v>18</v>
      </c>
      <c r="HS54" s="242"/>
      <c r="HT54" s="242"/>
      <c r="HU54" s="242"/>
      <c r="HV54" s="242"/>
      <c r="HW54" s="242"/>
      <c r="HX54" s="242"/>
      <c r="HY54" s="242"/>
      <c r="HZ54" s="242"/>
      <c r="IA54" s="242"/>
      <c r="IB54" s="242"/>
      <c r="IC54" s="242"/>
      <c r="ID54" s="242"/>
      <c r="IE54" s="242"/>
      <c r="IF54" s="242"/>
      <c r="IG54" s="242"/>
      <c r="IH54" s="242"/>
      <c r="II54" s="242"/>
      <c r="IJ54" s="242"/>
      <c r="IK54" s="242"/>
      <c r="IL54" s="242"/>
      <c r="IM54" s="242"/>
      <c r="IN54" s="242"/>
      <c r="IO54" s="242"/>
      <c r="IP54" s="242"/>
      <c r="IQ54" s="242"/>
      <c r="IR54" s="242"/>
      <c r="IS54" s="242"/>
      <c r="IT54" s="242"/>
      <c r="IU54" s="242"/>
      <c r="IV54" s="243"/>
      <c r="IW54" s="242"/>
      <c r="IX54" s="242"/>
      <c r="IY54" s="242"/>
      <c r="IZ54" s="242"/>
      <c r="JA54" s="242"/>
      <c r="JB54" s="242"/>
      <c r="JC54" s="242"/>
      <c r="JD54" s="242"/>
      <c r="JE54" s="242"/>
      <c r="JF54" s="242"/>
      <c r="JG54" s="242"/>
      <c r="JH54" s="242"/>
      <c r="JI54" s="242"/>
      <c r="JJ54" s="242"/>
      <c r="JK54" s="242"/>
      <c r="JL54" s="242"/>
      <c r="JM54" s="242"/>
      <c r="JN54" s="242"/>
      <c r="JO54" s="242"/>
      <c r="JP54" s="243"/>
      <c r="JQ54" s="242"/>
      <c r="JR54" s="242"/>
      <c r="JS54" s="242"/>
      <c r="JT54" s="243"/>
      <c r="JU54" s="243"/>
      <c r="JV54" s="242"/>
      <c r="JW54" s="242"/>
      <c r="JX54" s="242"/>
      <c r="JY54" s="242"/>
      <c r="JZ54" s="242"/>
      <c r="KA54" s="242"/>
      <c r="KB54" s="243"/>
      <c r="KC54" s="242"/>
      <c r="KD54" s="242"/>
      <c r="KE54" s="242"/>
      <c r="KF54" s="242"/>
      <c r="KG54" s="242"/>
      <c r="KH54" s="242"/>
      <c r="KI54" s="242"/>
      <c r="KJ54" s="242"/>
      <c r="KK54" s="242"/>
      <c r="KL54" s="242"/>
      <c r="KM54" s="242"/>
      <c r="KN54" s="242"/>
      <c r="KO54" s="242"/>
      <c r="KP54" s="242"/>
      <c r="KQ54" s="242"/>
      <c r="KR54" s="242"/>
      <c r="KS54" s="242"/>
      <c r="KT54" s="242"/>
      <c r="KU54" s="242"/>
      <c r="KV54" s="243"/>
      <c r="KW54" s="242"/>
      <c r="KX54" s="242"/>
      <c r="KY54" s="242"/>
      <c r="KZ54" s="242"/>
      <c r="LA54" s="242"/>
      <c r="LB54" s="242"/>
      <c r="LC54" s="242"/>
      <c r="LD54" s="242"/>
      <c r="LE54" s="242"/>
      <c r="LF54" s="242"/>
      <c r="LG54" s="242"/>
      <c r="LH54" s="242"/>
      <c r="LI54" s="242"/>
      <c r="LJ54" s="242"/>
      <c r="LK54" s="242"/>
      <c r="LL54" s="242"/>
      <c r="LM54" s="242"/>
      <c r="LN54" s="242"/>
      <c r="LO54" s="242"/>
      <c r="LP54" s="242"/>
      <c r="LQ54" s="242"/>
      <c r="LR54" s="242"/>
      <c r="LS54" s="242"/>
      <c r="LT54" s="242"/>
      <c r="LU54" s="242"/>
      <c r="LV54" s="242"/>
      <c r="LW54" s="242"/>
      <c r="LX54" s="242"/>
      <c r="LY54" s="242"/>
      <c r="LZ54" s="242"/>
      <c r="MA54" s="242"/>
      <c r="MB54" s="242"/>
      <c r="MC54" s="242"/>
      <c r="MD54" s="243"/>
      <c r="ME54" s="242"/>
      <c r="MF54" s="242"/>
      <c r="MG54" s="242"/>
      <c r="MH54" s="242"/>
      <c r="MI54" s="242"/>
      <c r="MJ54" s="242"/>
      <c r="MK54" s="242"/>
      <c r="ML54" s="242"/>
      <c r="MM54" s="242"/>
      <c r="MN54" s="242"/>
      <c r="MO54" s="242"/>
      <c r="MP54" s="242"/>
      <c r="MQ54" s="242"/>
      <c r="MR54" s="242"/>
      <c r="MS54" s="242"/>
      <c r="MT54" s="242"/>
      <c r="MU54" s="242"/>
      <c r="MV54" s="242"/>
      <c r="MW54" s="242"/>
      <c r="MX54" s="243"/>
      <c r="MY54" s="242"/>
      <c r="MZ54" s="242"/>
      <c r="NA54" s="242"/>
      <c r="NB54" s="242"/>
      <c r="NC54" s="242"/>
      <c r="ND54" s="242"/>
      <c r="NE54" s="242"/>
      <c r="NF54" s="242"/>
      <c r="NG54" s="242"/>
      <c r="NH54" s="242"/>
      <c r="NI54" s="242"/>
      <c r="NJ54" s="242"/>
      <c r="NK54" s="242"/>
      <c r="NL54" s="242"/>
      <c r="NM54" s="242"/>
      <c r="NN54" s="242"/>
      <c r="NO54" s="242"/>
      <c r="NP54" s="242"/>
      <c r="NQ54" s="242"/>
      <c r="NR54" s="242"/>
      <c r="NS54" s="242"/>
      <c r="NT54" s="242"/>
      <c r="NU54" s="242"/>
      <c r="NV54" s="242"/>
      <c r="NW54" s="242"/>
      <c r="NX54" s="242"/>
      <c r="NY54" s="242"/>
      <c r="NZ54" s="242"/>
      <c r="OA54" s="242"/>
      <c r="OB54" s="242"/>
      <c r="OC54" s="242"/>
      <c r="OD54" s="243"/>
      <c r="OE54" s="243"/>
      <c r="OF54" s="242"/>
      <c r="OG54" s="242"/>
      <c r="OH54" s="242"/>
      <c r="OI54" s="242"/>
      <c r="OJ54" s="242"/>
      <c r="OK54" s="242"/>
      <c r="OL54" s="242"/>
      <c r="OM54" s="242"/>
      <c r="ON54" s="242"/>
      <c r="OO54" s="242"/>
      <c r="OP54" s="242"/>
      <c r="OQ54" s="242"/>
      <c r="OR54" s="242"/>
      <c r="OS54" s="243"/>
      <c r="OT54" s="242"/>
      <c r="OU54" s="242"/>
      <c r="OV54" s="242"/>
      <c r="OW54" s="242"/>
      <c r="OX54" s="242"/>
      <c r="OY54" s="243"/>
      <c r="OZ54" s="242"/>
      <c r="PA54" s="242"/>
      <c r="PB54" s="242"/>
      <c r="PC54" s="242"/>
      <c r="PD54" s="242"/>
      <c r="PE54" s="242"/>
      <c r="PF54" s="242"/>
      <c r="PG54" s="242"/>
      <c r="PH54" s="242"/>
      <c r="PI54" s="242"/>
      <c r="PJ54" s="242"/>
      <c r="PK54" s="242"/>
      <c r="PL54" s="242"/>
      <c r="PM54" s="242"/>
      <c r="PN54" s="242"/>
      <c r="PO54" s="242"/>
      <c r="PP54" s="242"/>
      <c r="PQ54" s="242"/>
      <c r="PR54" s="242"/>
      <c r="PS54" s="242"/>
      <c r="PT54" s="242"/>
      <c r="PU54" s="242"/>
      <c r="PV54" s="242"/>
      <c r="PW54" s="242"/>
      <c r="PX54" s="242"/>
      <c r="PY54" s="242"/>
      <c r="PZ54" s="242"/>
      <c r="QA54" s="242"/>
      <c r="QB54" s="242"/>
      <c r="QC54" s="242"/>
      <c r="QD54" s="242"/>
      <c r="QE54" s="242"/>
      <c r="QF54" s="242"/>
      <c r="QG54" s="242"/>
      <c r="QH54" s="242"/>
      <c r="QI54" s="244"/>
    </row>
    <row r="55" spans="1:451" ht="18" customHeight="1" x14ac:dyDescent="0.2">
      <c r="A55" s="239"/>
      <c r="B55" s="245"/>
      <c r="C55" s="242"/>
      <c r="D55" s="242"/>
      <c r="E55" s="242"/>
      <c r="F55" s="242"/>
      <c r="G55" s="242"/>
      <c r="H55" s="242"/>
      <c r="I55" s="242"/>
      <c r="J55" s="242"/>
      <c r="K55" s="242"/>
      <c r="L55" s="242"/>
      <c r="M55" s="242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242"/>
      <c r="Y55" s="242"/>
      <c r="Z55" s="242"/>
      <c r="AA55" s="242"/>
      <c r="AB55" s="242"/>
      <c r="AC55" s="243"/>
      <c r="AD55" s="242"/>
      <c r="AE55" s="242"/>
      <c r="AF55" s="242"/>
      <c r="AG55" s="242"/>
      <c r="AH55" s="242"/>
      <c r="AI55" s="242"/>
      <c r="AJ55" s="242"/>
      <c r="AK55" s="242"/>
      <c r="AL55" s="242"/>
      <c r="AM55" s="242"/>
      <c r="AN55" s="242"/>
      <c r="AO55" s="242"/>
      <c r="AP55" s="242"/>
      <c r="AQ55" s="242"/>
      <c r="AR55" s="243"/>
      <c r="AS55" s="242"/>
      <c r="AT55" s="242"/>
      <c r="AU55" s="242"/>
      <c r="AV55" s="242"/>
      <c r="AW55" s="242"/>
      <c r="AX55" s="242"/>
      <c r="AY55" s="242"/>
      <c r="AZ55" s="242"/>
      <c r="BA55" s="242"/>
      <c r="BB55" s="242"/>
      <c r="BC55" s="242"/>
      <c r="BD55" s="242"/>
      <c r="BE55" s="242"/>
      <c r="BF55" s="242"/>
      <c r="BG55" s="242"/>
      <c r="BH55" s="242"/>
      <c r="BI55" s="242"/>
      <c r="BJ55" s="242"/>
      <c r="BK55" s="242"/>
      <c r="BL55" s="242"/>
      <c r="BM55" s="242"/>
      <c r="BN55" s="242"/>
      <c r="BO55" s="242"/>
      <c r="BP55" s="242"/>
      <c r="BQ55" s="242"/>
      <c r="BR55" s="242"/>
      <c r="BS55" s="242"/>
      <c r="BT55" s="242"/>
      <c r="BU55" s="242"/>
      <c r="BV55" s="242"/>
      <c r="BW55" s="242"/>
      <c r="BX55" s="242"/>
      <c r="BY55" s="242"/>
      <c r="BZ55" s="242"/>
      <c r="CA55" s="242"/>
      <c r="CB55" s="242"/>
      <c r="CC55" s="243"/>
      <c r="CD55" s="243"/>
      <c r="CE55" s="242"/>
      <c r="CF55" s="242"/>
      <c r="CG55" s="242"/>
      <c r="CH55" s="242"/>
      <c r="CI55" s="242"/>
      <c r="CJ55" s="242"/>
      <c r="CK55" s="242"/>
      <c r="CL55" s="242"/>
      <c r="CM55" s="242"/>
      <c r="CN55" s="242"/>
      <c r="CO55" s="242"/>
      <c r="CP55" s="242"/>
      <c r="CQ55" s="242"/>
      <c r="CR55" s="243"/>
      <c r="CS55" s="242"/>
      <c r="CT55" s="242"/>
      <c r="CU55" s="242"/>
      <c r="CV55" s="242"/>
      <c r="CW55" s="242"/>
      <c r="CX55" s="243"/>
      <c r="CY55" s="242"/>
      <c r="CZ55" s="242"/>
      <c r="DA55" s="242"/>
      <c r="DB55" s="242"/>
      <c r="DC55" s="242"/>
      <c r="DD55" s="242"/>
      <c r="DE55" s="242"/>
      <c r="DF55" s="242"/>
      <c r="DG55" s="242"/>
      <c r="DH55" s="242"/>
      <c r="DI55" s="242"/>
      <c r="DJ55" s="242"/>
      <c r="DK55" s="242"/>
      <c r="DL55" s="242"/>
      <c r="DM55" s="242"/>
      <c r="DN55" s="242"/>
      <c r="DO55" s="242"/>
      <c r="DP55" s="242"/>
      <c r="DQ55" s="242"/>
      <c r="DR55" s="242"/>
      <c r="DS55" s="242"/>
      <c r="DT55" s="242"/>
      <c r="DU55" s="242"/>
      <c r="DV55" s="242"/>
      <c r="DW55" s="242"/>
      <c r="DX55" s="242"/>
      <c r="DY55" s="242"/>
      <c r="DZ55" s="242"/>
      <c r="EA55" s="242"/>
      <c r="EB55" s="242"/>
      <c r="EC55" s="242"/>
      <c r="ED55" s="242"/>
      <c r="EE55" s="242"/>
      <c r="EF55" s="242"/>
      <c r="EG55" s="242"/>
      <c r="EH55" s="242"/>
      <c r="EI55" s="242"/>
      <c r="EJ55" s="242"/>
      <c r="EK55" s="242"/>
      <c r="EL55" s="242"/>
      <c r="EM55" s="242"/>
      <c r="EN55" s="242"/>
      <c r="EO55" s="242"/>
      <c r="EP55" s="242"/>
      <c r="EQ55" s="242"/>
      <c r="ER55" s="242"/>
      <c r="ES55" s="242"/>
      <c r="ET55" s="242"/>
      <c r="EU55" s="242"/>
      <c r="EV55" s="242"/>
      <c r="EW55" s="242"/>
      <c r="EX55" s="242"/>
      <c r="EY55" s="242"/>
      <c r="EZ55" s="242"/>
      <c r="FA55" s="242"/>
      <c r="FB55" s="242"/>
      <c r="FC55" s="242"/>
      <c r="FD55" s="242"/>
      <c r="FE55" s="242"/>
      <c r="FF55" s="242"/>
      <c r="FG55" s="242"/>
      <c r="FH55" s="242"/>
      <c r="FI55" s="242"/>
      <c r="FJ55" s="242"/>
      <c r="FK55" s="242"/>
      <c r="FL55" s="242"/>
      <c r="FM55" s="242"/>
      <c r="FN55" s="242"/>
      <c r="FO55" s="242"/>
      <c r="FP55" s="242"/>
      <c r="FQ55" s="243"/>
      <c r="FR55" s="243"/>
      <c r="FS55" s="242"/>
      <c r="FT55" s="242"/>
      <c r="FU55" s="242"/>
      <c r="FV55" s="242"/>
      <c r="FW55" s="242"/>
      <c r="FX55" s="242"/>
      <c r="FY55" s="242"/>
      <c r="FZ55" s="242"/>
      <c r="GA55" s="242"/>
      <c r="GB55" s="242"/>
      <c r="GC55" s="242"/>
      <c r="GD55" s="242"/>
      <c r="GE55" s="242"/>
      <c r="GF55" s="242"/>
      <c r="GG55" s="242"/>
      <c r="GH55" s="242"/>
      <c r="GI55" s="242"/>
      <c r="GJ55" s="242"/>
      <c r="GK55" s="242"/>
      <c r="GL55" s="242"/>
      <c r="GM55" s="242"/>
      <c r="GN55" s="242"/>
      <c r="GO55" s="242"/>
      <c r="GP55" s="242"/>
      <c r="GQ55" s="242"/>
      <c r="GR55" s="242"/>
      <c r="GS55" s="242"/>
      <c r="GT55" s="242"/>
      <c r="GU55" s="242"/>
      <c r="GV55" s="242"/>
      <c r="GW55" s="243"/>
      <c r="GX55" s="242"/>
      <c r="GY55" s="242"/>
      <c r="GZ55" s="242"/>
      <c r="HA55" s="242"/>
      <c r="HB55" s="242"/>
      <c r="HC55" s="242"/>
      <c r="HD55" s="242"/>
      <c r="HE55" s="242"/>
      <c r="HF55" s="242"/>
      <c r="HG55" s="242"/>
      <c r="HH55" s="242"/>
      <c r="HI55" s="242"/>
      <c r="HJ55" s="242"/>
      <c r="HK55" s="242"/>
      <c r="HL55" s="242"/>
      <c r="HM55" s="242"/>
      <c r="HN55" s="242"/>
      <c r="HO55" s="242"/>
      <c r="HP55" s="242"/>
      <c r="HQ55" s="242"/>
      <c r="HR55" s="242"/>
      <c r="HS55" s="242"/>
      <c r="HT55" s="242"/>
      <c r="HU55" s="242"/>
      <c r="HV55" s="242"/>
      <c r="HW55" s="242"/>
      <c r="HX55" s="242"/>
      <c r="HY55" s="242"/>
      <c r="HZ55" s="242"/>
      <c r="IA55" s="242"/>
      <c r="IB55" s="242"/>
      <c r="IC55" s="242"/>
      <c r="ID55" s="242"/>
      <c r="IE55" s="242"/>
      <c r="IF55" s="242"/>
      <c r="IG55" s="242"/>
      <c r="IH55" s="242"/>
      <c r="II55" s="242"/>
      <c r="IJ55" s="242"/>
      <c r="IK55" s="242"/>
      <c r="IL55" s="242"/>
      <c r="IM55" s="242"/>
      <c r="IN55" s="242"/>
      <c r="IO55" s="242"/>
      <c r="IP55" s="242"/>
      <c r="IQ55" s="242"/>
      <c r="IR55" s="242"/>
      <c r="IS55" s="242"/>
      <c r="IT55" s="242"/>
      <c r="IU55" s="242"/>
      <c r="IV55" s="243"/>
      <c r="IW55" s="242"/>
      <c r="IX55" s="242"/>
      <c r="IY55" s="242"/>
      <c r="IZ55" s="242"/>
      <c r="JA55" s="242"/>
      <c r="JB55" s="242"/>
      <c r="JC55" s="242"/>
      <c r="JD55" s="242"/>
      <c r="JE55" s="242"/>
      <c r="JF55" s="242"/>
      <c r="JG55" s="242"/>
      <c r="JH55" s="242"/>
      <c r="JI55" s="242"/>
      <c r="JJ55" s="242"/>
      <c r="JK55" s="242"/>
      <c r="JL55" s="242"/>
      <c r="JM55" s="242"/>
      <c r="JN55" s="242"/>
      <c r="JO55" s="242"/>
      <c r="JP55" s="243"/>
      <c r="JQ55" s="242"/>
      <c r="JR55" s="242"/>
      <c r="JS55" s="242"/>
      <c r="JT55" s="243"/>
      <c r="JU55" s="243"/>
      <c r="JV55" s="242"/>
      <c r="JW55" s="242"/>
      <c r="JX55" s="242"/>
      <c r="JY55" s="242"/>
      <c r="JZ55" s="242"/>
      <c r="KA55" s="242"/>
      <c r="KB55" s="243"/>
      <c r="KC55" s="242"/>
      <c r="KD55" s="242"/>
      <c r="KE55" s="242"/>
      <c r="KF55" s="242"/>
      <c r="KG55" s="242"/>
      <c r="KH55" s="242"/>
      <c r="KI55" s="242"/>
      <c r="KJ55" s="242"/>
      <c r="KK55" s="242"/>
      <c r="KL55" s="242"/>
      <c r="KM55" s="242"/>
      <c r="KN55" s="242"/>
      <c r="KO55" s="242"/>
      <c r="KP55" s="242"/>
      <c r="KQ55" s="242"/>
      <c r="KR55" s="242"/>
      <c r="KS55" s="242"/>
      <c r="KT55" s="242"/>
      <c r="KU55" s="242"/>
      <c r="KV55" s="243"/>
      <c r="KW55" s="242"/>
      <c r="KX55" s="242"/>
      <c r="KY55" s="242"/>
      <c r="KZ55" s="242"/>
      <c r="LA55" s="242"/>
      <c r="LB55" s="242"/>
      <c r="LC55" s="242"/>
      <c r="LD55" s="242"/>
      <c r="LE55" s="242"/>
      <c r="LF55" s="242"/>
      <c r="LG55" s="242"/>
      <c r="LH55" s="242"/>
      <c r="LI55" s="242"/>
      <c r="LJ55" s="242"/>
      <c r="LK55" s="242"/>
      <c r="LL55" s="242"/>
      <c r="LM55" s="242"/>
      <c r="LN55" s="242"/>
      <c r="LO55" s="242"/>
      <c r="LP55" s="242"/>
      <c r="LQ55" s="242"/>
      <c r="LR55" s="242"/>
      <c r="LS55" s="242"/>
      <c r="LT55" s="242"/>
      <c r="LU55" s="242"/>
      <c r="LV55" s="242"/>
      <c r="LW55" s="242"/>
      <c r="LX55" s="242"/>
      <c r="LY55" s="242"/>
      <c r="LZ55" s="242"/>
      <c r="MA55" s="242"/>
      <c r="MB55" s="242"/>
      <c r="MC55" s="242"/>
      <c r="MD55" s="243"/>
      <c r="ME55" s="242"/>
      <c r="MF55" s="242"/>
      <c r="MG55" s="242"/>
      <c r="MH55" s="242"/>
      <c r="MI55" s="242"/>
      <c r="MJ55" s="242"/>
      <c r="MK55" s="242"/>
      <c r="ML55" s="242"/>
      <c r="MM55" s="242"/>
      <c r="MN55" s="242"/>
      <c r="MO55" s="242"/>
      <c r="MP55" s="242"/>
      <c r="MQ55" s="242"/>
      <c r="MR55" s="242"/>
      <c r="MS55" s="242"/>
      <c r="MT55" s="242"/>
      <c r="MU55" s="242"/>
      <c r="MV55" s="242"/>
      <c r="MW55" s="242"/>
      <c r="MX55" s="243"/>
      <c r="MY55" s="242"/>
      <c r="MZ55" s="242"/>
      <c r="NA55" s="242"/>
      <c r="NB55" s="242"/>
      <c r="NC55" s="242"/>
      <c r="ND55" s="242"/>
      <c r="NE55" s="242"/>
      <c r="NF55" s="242"/>
      <c r="NG55" s="242"/>
      <c r="NH55" s="242"/>
      <c r="NI55" s="242"/>
      <c r="NJ55" s="242"/>
      <c r="NK55" s="242"/>
      <c r="NL55" s="242"/>
      <c r="NM55" s="242"/>
      <c r="NN55" s="242"/>
      <c r="NO55" s="242"/>
      <c r="NP55" s="242"/>
      <c r="NQ55" s="242"/>
      <c r="NR55" s="242"/>
      <c r="NS55" s="242"/>
      <c r="NT55" s="242"/>
      <c r="NU55" s="242"/>
      <c r="NV55" s="242"/>
      <c r="NW55" s="242"/>
      <c r="NX55" s="242"/>
      <c r="NY55" s="242"/>
      <c r="NZ55" s="242"/>
      <c r="OA55" s="242"/>
      <c r="OB55" s="242"/>
      <c r="OC55" s="242"/>
      <c r="OD55" s="243"/>
      <c r="OE55" s="243"/>
      <c r="OF55" s="242"/>
      <c r="OG55" s="242"/>
      <c r="OH55" s="242"/>
      <c r="OI55" s="242"/>
      <c r="OJ55" s="242"/>
      <c r="OK55" s="242"/>
      <c r="OL55" s="242"/>
      <c r="OM55" s="242"/>
      <c r="ON55" s="242"/>
      <c r="OO55" s="242"/>
      <c r="OP55" s="242"/>
      <c r="OQ55" s="242"/>
      <c r="OR55" s="242"/>
      <c r="OS55" s="243"/>
      <c r="OT55" s="242"/>
      <c r="OU55" s="242"/>
      <c r="OV55" s="242"/>
      <c r="OW55" s="242"/>
      <c r="OX55" s="242"/>
      <c r="OY55" s="243"/>
      <c r="OZ55" s="242"/>
      <c r="PA55" s="242"/>
      <c r="PB55" s="242"/>
      <c r="PC55" s="242"/>
      <c r="PD55" s="242"/>
      <c r="PE55" s="242"/>
      <c r="PF55" s="242"/>
      <c r="PG55" s="242"/>
      <c r="PH55" s="242"/>
      <c r="PI55" s="242"/>
      <c r="PJ55" s="242"/>
      <c r="PK55" s="242"/>
      <c r="PL55" s="242"/>
      <c r="PM55" s="242"/>
      <c r="PN55" s="242"/>
      <c r="PO55" s="242"/>
      <c r="PP55" s="242"/>
      <c r="PQ55" s="242"/>
      <c r="PR55" s="242"/>
      <c r="PS55" s="242"/>
      <c r="PT55" s="242"/>
      <c r="PU55" s="242"/>
      <c r="PV55" s="242"/>
      <c r="PW55" s="242"/>
      <c r="PX55" s="242"/>
      <c r="PY55" s="242"/>
      <c r="PZ55" s="242"/>
      <c r="QA55" s="242"/>
      <c r="QB55" s="242"/>
      <c r="QC55" s="242"/>
      <c r="QD55" s="242"/>
      <c r="QE55" s="242"/>
      <c r="QF55" s="242"/>
      <c r="QG55" s="242"/>
      <c r="QH55" s="242"/>
      <c r="QI55" s="244"/>
    </row>
    <row r="56" spans="1:451" ht="18" customHeight="1" x14ac:dyDescent="0.2">
      <c r="A56" s="250" t="s">
        <v>447</v>
      </c>
      <c r="B56" s="245"/>
      <c r="C56" s="242"/>
      <c r="D56" s="242"/>
      <c r="E56" s="242"/>
      <c r="F56" s="242"/>
      <c r="G56" s="242"/>
      <c r="H56" s="242"/>
      <c r="I56" s="242"/>
      <c r="J56" s="242"/>
      <c r="K56" s="242"/>
      <c r="L56" s="242"/>
      <c r="M56" s="242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242"/>
      <c r="Y56" s="242"/>
      <c r="Z56" s="242"/>
      <c r="AA56" s="242"/>
      <c r="AB56" s="242"/>
      <c r="AC56" s="243"/>
      <c r="AD56" s="242"/>
      <c r="AE56" s="242"/>
      <c r="AF56" s="242"/>
      <c r="AG56" s="242"/>
      <c r="AH56" s="242"/>
      <c r="AI56" s="242"/>
      <c r="AJ56" s="242"/>
      <c r="AK56" s="242"/>
      <c r="AL56" s="242"/>
      <c r="AM56" s="242"/>
      <c r="AN56" s="242"/>
      <c r="AO56" s="242"/>
      <c r="AP56" s="242"/>
      <c r="AQ56" s="242"/>
      <c r="AR56" s="243"/>
      <c r="AS56" s="242"/>
      <c r="AT56" s="242"/>
      <c r="AU56" s="242"/>
      <c r="AV56" s="242"/>
      <c r="AW56" s="242"/>
      <c r="AX56" s="242"/>
      <c r="AY56" s="242"/>
      <c r="AZ56" s="242"/>
      <c r="BA56" s="242"/>
      <c r="BB56" s="242"/>
      <c r="BC56" s="242"/>
      <c r="BD56" s="242"/>
      <c r="BE56" s="242"/>
      <c r="BF56" s="242"/>
      <c r="BG56" s="242"/>
      <c r="BH56" s="242"/>
      <c r="BI56" s="242"/>
      <c r="BJ56" s="242"/>
      <c r="BK56" s="242"/>
      <c r="BL56" s="242"/>
      <c r="BM56" s="242"/>
      <c r="BN56" s="242"/>
      <c r="BO56" s="242"/>
      <c r="BP56" s="242"/>
      <c r="BQ56" s="242"/>
      <c r="BR56" s="242"/>
      <c r="BS56" s="242"/>
      <c r="BT56" s="242"/>
      <c r="BU56" s="242"/>
      <c r="BV56" s="242"/>
      <c r="BW56" s="242"/>
      <c r="BX56" s="242"/>
      <c r="BY56" s="242"/>
      <c r="BZ56" s="242"/>
      <c r="CA56" s="242"/>
      <c r="CB56" s="242"/>
      <c r="CC56" s="243"/>
      <c r="CD56" s="243"/>
      <c r="CE56" s="242"/>
      <c r="CF56" s="242"/>
      <c r="CG56" s="242"/>
      <c r="CH56" s="242"/>
      <c r="CI56" s="242"/>
      <c r="CJ56" s="242"/>
      <c r="CK56" s="242"/>
      <c r="CL56" s="242"/>
      <c r="CM56" s="242"/>
      <c r="CN56" s="242"/>
      <c r="CO56" s="242"/>
      <c r="CP56" s="242"/>
      <c r="CQ56" s="242"/>
      <c r="CR56" s="243"/>
      <c r="CS56" s="242"/>
      <c r="CT56" s="242"/>
      <c r="CU56" s="242"/>
      <c r="CV56" s="242"/>
      <c r="CW56" s="242"/>
      <c r="CX56" s="243"/>
      <c r="CY56" s="242"/>
      <c r="CZ56" s="242"/>
      <c r="DA56" s="242"/>
      <c r="DB56" s="242"/>
      <c r="DC56" s="242"/>
      <c r="DD56" s="242"/>
      <c r="DE56" s="242"/>
      <c r="DF56" s="242"/>
      <c r="DG56" s="242"/>
      <c r="DH56" s="242"/>
      <c r="DI56" s="242"/>
      <c r="DJ56" s="242"/>
      <c r="DK56" s="242"/>
      <c r="DL56" s="242"/>
      <c r="DM56" s="242"/>
      <c r="DN56" s="242"/>
      <c r="DO56" s="242"/>
      <c r="DP56" s="242"/>
      <c r="DQ56" s="242"/>
      <c r="DR56" s="242"/>
      <c r="DS56" s="242"/>
      <c r="DT56" s="242"/>
      <c r="DU56" s="242"/>
      <c r="DV56" s="242"/>
      <c r="DW56" s="242"/>
      <c r="DX56" s="242"/>
      <c r="DY56" s="242"/>
      <c r="DZ56" s="242"/>
      <c r="EA56" s="242"/>
      <c r="EB56" s="242"/>
      <c r="EC56" s="242"/>
      <c r="ED56" s="242"/>
      <c r="EE56" s="242"/>
      <c r="EF56" s="242"/>
      <c r="EG56" s="242"/>
      <c r="EH56" s="242"/>
      <c r="EI56" s="242"/>
      <c r="EJ56" s="242"/>
      <c r="EK56" s="242"/>
      <c r="EL56" s="242"/>
      <c r="EM56" s="242"/>
      <c r="EN56" s="242"/>
      <c r="EO56" s="242"/>
      <c r="EP56" s="242"/>
      <c r="EQ56" s="242"/>
      <c r="ER56" s="242"/>
      <c r="ES56" s="242"/>
      <c r="ET56" s="242"/>
      <c r="EU56" s="242"/>
      <c r="EV56" s="242"/>
      <c r="EW56" s="242"/>
      <c r="EX56" s="242"/>
      <c r="EY56" s="242"/>
      <c r="EZ56" s="242"/>
      <c r="FA56" s="242"/>
      <c r="FB56" s="242"/>
      <c r="FC56" s="242"/>
      <c r="FD56" s="242"/>
      <c r="FE56" s="242"/>
      <c r="FF56" s="242"/>
      <c r="FG56" s="242"/>
      <c r="FH56" s="242"/>
      <c r="FI56" s="242"/>
      <c r="FJ56" s="242"/>
      <c r="FK56" s="242"/>
      <c r="FL56" s="242"/>
      <c r="FM56" s="242"/>
      <c r="FN56" s="242"/>
      <c r="FO56" s="242"/>
      <c r="FP56" s="242"/>
      <c r="FQ56" s="243"/>
      <c r="FR56" s="243"/>
      <c r="FS56" s="242"/>
      <c r="FT56" s="242"/>
      <c r="FU56" s="242"/>
      <c r="FV56" s="242"/>
      <c r="FW56" s="242"/>
      <c r="FX56" s="242"/>
      <c r="FY56" s="242"/>
      <c r="FZ56" s="242"/>
      <c r="GA56" s="242"/>
      <c r="GB56" s="242"/>
      <c r="GC56" s="242"/>
      <c r="GD56" s="242"/>
      <c r="GE56" s="242"/>
      <c r="GF56" s="242"/>
      <c r="GG56" s="242"/>
      <c r="GH56" s="242"/>
      <c r="GI56" s="242"/>
      <c r="GJ56" s="242"/>
      <c r="GK56" s="242"/>
      <c r="GL56" s="242"/>
      <c r="GM56" s="242"/>
      <c r="GN56" s="242"/>
      <c r="GO56" s="242"/>
      <c r="GP56" s="242"/>
      <c r="GQ56" s="242"/>
      <c r="GR56" s="242"/>
      <c r="GS56" s="242"/>
      <c r="GT56" s="242"/>
      <c r="GU56" s="242"/>
      <c r="GV56" s="242"/>
      <c r="GW56" s="243"/>
      <c r="GX56" s="242"/>
      <c r="GY56" s="242"/>
      <c r="GZ56" s="242"/>
      <c r="HA56" s="242"/>
      <c r="HB56" s="242"/>
      <c r="HC56" s="242"/>
      <c r="HD56" s="242"/>
      <c r="HE56" s="242"/>
      <c r="HF56" s="242"/>
      <c r="HG56" s="242"/>
      <c r="HH56" s="242"/>
      <c r="HI56" s="242"/>
      <c r="HJ56" s="242"/>
      <c r="HK56" s="242"/>
      <c r="HL56" s="242"/>
      <c r="HM56" s="242"/>
      <c r="HN56" s="242"/>
      <c r="HO56" s="242"/>
      <c r="HP56" s="242"/>
      <c r="HQ56" s="242"/>
      <c r="HR56" s="242"/>
      <c r="HS56" s="242"/>
      <c r="HT56" s="242"/>
      <c r="HU56" s="242"/>
      <c r="HV56" s="242"/>
      <c r="HW56" s="242"/>
      <c r="HX56" s="242"/>
      <c r="HY56" s="242"/>
      <c r="HZ56" s="242"/>
      <c r="IA56" s="242"/>
      <c r="IB56" s="242"/>
      <c r="IC56" s="242"/>
      <c r="ID56" s="242"/>
      <c r="IE56" s="242"/>
      <c r="IF56" s="242"/>
      <c r="IG56" s="242"/>
      <c r="IH56" s="242"/>
      <c r="II56" s="242"/>
      <c r="IJ56" s="242"/>
      <c r="IK56" s="242"/>
      <c r="IL56" s="242"/>
      <c r="IM56" s="242"/>
      <c r="IN56" s="242"/>
      <c r="IO56" s="242"/>
      <c r="IP56" s="242"/>
      <c r="IQ56" s="242"/>
      <c r="IR56" s="242"/>
      <c r="IS56" s="242"/>
      <c r="IT56" s="242"/>
      <c r="IU56" s="242"/>
      <c r="IV56" s="243"/>
      <c r="IW56" s="242"/>
      <c r="IX56" s="242"/>
      <c r="IY56" s="242"/>
      <c r="IZ56" s="242"/>
      <c r="JA56" s="242"/>
      <c r="JB56" s="242"/>
      <c r="JC56" s="242"/>
      <c r="JD56" s="242"/>
      <c r="JE56" s="242"/>
      <c r="JF56" s="242"/>
      <c r="JG56" s="242"/>
      <c r="JH56" s="242"/>
      <c r="JI56" s="242"/>
      <c r="JJ56" s="242"/>
      <c r="JK56" s="242"/>
      <c r="JL56" s="242"/>
      <c r="JM56" s="242"/>
      <c r="JN56" s="242"/>
      <c r="JO56" s="242"/>
      <c r="JP56" s="243"/>
      <c r="JQ56" s="242"/>
      <c r="JR56" s="242"/>
      <c r="JS56" s="242"/>
      <c r="JT56" s="243"/>
      <c r="JU56" s="243"/>
      <c r="JV56" s="242"/>
      <c r="JW56" s="242"/>
      <c r="JX56" s="242"/>
      <c r="JY56" s="242"/>
      <c r="JZ56" s="242"/>
      <c r="KA56" s="242"/>
      <c r="KB56" s="243"/>
      <c r="KC56" s="242"/>
      <c r="KD56" s="242"/>
      <c r="KE56" s="242"/>
      <c r="KF56" s="242"/>
      <c r="KG56" s="242"/>
      <c r="KH56" s="242"/>
      <c r="KI56" s="242"/>
      <c r="KJ56" s="242"/>
      <c r="KK56" s="242"/>
      <c r="KL56" s="242"/>
      <c r="KM56" s="242"/>
      <c r="KN56" s="242"/>
      <c r="KO56" s="242"/>
      <c r="KP56" s="242"/>
      <c r="KQ56" s="242"/>
      <c r="KR56" s="242"/>
      <c r="KS56" s="242"/>
      <c r="KT56" s="242"/>
      <c r="KU56" s="242"/>
      <c r="KV56" s="243"/>
      <c r="KW56" s="242"/>
      <c r="KX56" s="242"/>
      <c r="KY56" s="242"/>
      <c r="KZ56" s="242"/>
      <c r="LA56" s="242"/>
      <c r="LB56" s="242"/>
      <c r="LC56" s="242"/>
      <c r="LD56" s="242"/>
      <c r="LE56" s="242"/>
      <c r="LF56" s="242"/>
      <c r="LG56" s="242"/>
      <c r="LH56" s="242"/>
      <c r="LI56" s="242"/>
      <c r="LJ56" s="242"/>
      <c r="LK56" s="242"/>
      <c r="LL56" s="242"/>
      <c r="LM56" s="242"/>
      <c r="LN56" s="242"/>
      <c r="LO56" s="242"/>
      <c r="LP56" s="242"/>
      <c r="LQ56" s="242"/>
      <c r="LR56" s="242"/>
      <c r="LS56" s="242"/>
      <c r="LT56" s="242"/>
      <c r="LU56" s="242"/>
      <c r="LV56" s="242"/>
      <c r="LW56" s="242"/>
      <c r="LX56" s="242"/>
      <c r="LY56" s="242"/>
      <c r="LZ56" s="242"/>
      <c r="MA56" s="242"/>
      <c r="MB56" s="242"/>
      <c r="MC56" s="242"/>
      <c r="MD56" s="243"/>
      <c r="ME56" s="242"/>
      <c r="MF56" s="242"/>
      <c r="MG56" s="242"/>
      <c r="MH56" s="242"/>
      <c r="MI56" s="242"/>
      <c r="MJ56" s="242"/>
      <c r="MK56" s="242"/>
      <c r="ML56" s="242"/>
      <c r="MM56" s="242"/>
      <c r="MN56" s="242"/>
      <c r="MO56" s="242"/>
      <c r="MP56" s="242"/>
      <c r="MQ56" s="242"/>
      <c r="MR56" s="242"/>
      <c r="MS56" s="242"/>
      <c r="MT56" s="242"/>
      <c r="MU56" s="242"/>
      <c r="MV56" s="242"/>
      <c r="MW56" s="242"/>
      <c r="MX56" s="243"/>
      <c r="MY56" s="242"/>
      <c r="MZ56" s="242"/>
      <c r="NA56" s="242"/>
      <c r="NB56" s="242"/>
      <c r="NC56" s="242"/>
      <c r="ND56" s="242"/>
      <c r="NE56" s="242"/>
      <c r="NF56" s="242"/>
      <c r="NG56" s="242"/>
      <c r="NH56" s="242"/>
      <c r="NI56" s="242"/>
      <c r="NJ56" s="242"/>
      <c r="NK56" s="242"/>
      <c r="NL56" s="242"/>
      <c r="NM56" s="242"/>
      <c r="NN56" s="242"/>
      <c r="NO56" s="242"/>
      <c r="NP56" s="242"/>
      <c r="NQ56" s="242"/>
      <c r="NR56" s="242"/>
      <c r="NS56" s="242"/>
      <c r="NT56" s="242"/>
      <c r="NU56" s="242"/>
      <c r="NV56" s="242"/>
      <c r="NW56" s="242"/>
      <c r="NX56" s="242"/>
      <c r="NY56" s="242"/>
      <c r="NZ56" s="242"/>
      <c r="OA56" s="242"/>
      <c r="OB56" s="242"/>
      <c r="OC56" s="242"/>
      <c r="OD56" s="243"/>
      <c r="OE56" s="243"/>
      <c r="OF56" s="242"/>
      <c r="OG56" s="242"/>
      <c r="OH56" s="242"/>
      <c r="OI56" s="242"/>
      <c r="OJ56" s="242"/>
      <c r="OK56" s="242"/>
      <c r="OL56" s="242"/>
      <c r="OM56" s="242"/>
      <c r="ON56" s="242"/>
      <c r="OO56" s="242"/>
      <c r="OP56" s="242"/>
      <c r="OQ56" s="242"/>
      <c r="OR56" s="242"/>
      <c r="OS56" s="243"/>
      <c r="OT56" s="242"/>
      <c r="OU56" s="242"/>
      <c r="OV56" s="242"/>
      <c r="OW56" s="242"/>
      <c r="OX56" s="242"/>
      <c r="OY56" s="243"/>
      <c r="OZ56" s="242"/>
      <c r="PA56" s="242"/>
      <c r="PB56" s="242"/>
      <c r="PC56" s="242"/>
      <c r="PD56" s="242"/>
      <c r="PE56" s="242"/>
      <c r="PF56" s="242"/>
      <c r="PG56" s="242"/>
      <c r="PH56" s="242"/>
      <c r="PI56" s="242"/>
      <c r="PJ56" s="242"/>
      <c r="PK56" s="242"/>
      <c r="PL56" s="242"/>
      <c r="PM56" s="242"/>
      <c r="PN56" s="242"/>
      <c r="PO56" s="242"/>
      <c r="PP56" s="242"/>
      <c r="PQ56" s="242"/>
      <c r="PR56" s="242"/>
      <c r="PS56" s="242"/>
      <c r="PT56" s="242"/>
      <c r="PU56" s="242"/>
      <c r="PV56" s="242"/>
      <c r="PW56" s="242"/>
      <c r="PX56" s="242"/>
      <c r="PY56" s="242"/>
      <c r="PZ56" s="242"/>
      <c r="QA56" s="242"/>
      <c r="QB56" s="242"/>
      <c r="QC56" s="242"/>
      <c r="QD56" s="242"/>
      <c r="QE56" s="242"/>
      <c r="QF56" s="242"/>
      <c r="QG56" s="242"/>
      <c r="QH56" s="242"/>
      <c r="QI56" s="244"/>
    </row>
    <row r="57" spans="1:451" ht="18" customHeight="1" x14ac:dyDescent="0.2">
      <c r="A57" s="239" t="s">
        <v>448</v>
      </c>
      <c r="B57" s="245"/>
      <c r="C57" s="242"/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2"/>
      <c r="P57" s="242"/>
      <c r="Q57" s="242"/>
      <c r="R57" s="242"/>
      <c r="S57" s="242"/>
      <c r="T57" s="242"/>
      <c r="U57" s="242"/>
      <c r="V57" s="242"/>
      <c r="W57" s="242"/>
      <c r="X57" s="242"/>
      <c r="Y57" s="242"/>
      <c r="Z57" s="242"/>
      <c r="AA57" s="242"/>
      <c r="AB57" s="242"/>
      <c r="AC57" s="243"/>
      <c r="AD57" s="242"/>
      <c r="AE57" s="242"/>
      <c r="AF57" s="242"/>
      <c r="AG57" s="242"/>
      <c r="AH57" s="242"/>
      <c r="AI57" s="242"/>
      <c r="AJ57" s="242"/>
      <c r="AK57" s="242"/>
      <c r="AL57" s="242"/>
      <c r="AM57" s="242"/>
      <c r="AN57" s="242"/>
      <c r="AO57" s="242"/>
      <c r="AP57" s="242"/>
      <c r="AQ57" s="242"/>
      <c r="AR57" s="243"/>
      <c r="AS57" s="242"/>
      <c r="AT57" s="242"/>
      <c r="AU57" s="242"/>
      <c r="AV57" s="242"/>
      <c r="AW57" s="242"/>
      <c r="AX57" s="242"/>
      <c r="AY57" s="242"/>
      <c r="AZ57" s="242"/>
      <c r="BA57" s="242"/>
      <c r="BB57" s="242"/>
      <c r="BC57" s="242"/>
      <c r="BD57" s="242"/>
      <c r="BE57" s="242"/>
      <c r="BF57" s="242"/>
      <c r="BG57" s="242"/>
      <c r="BH57" s="242"/>
      <c r="BI57" s="242"/>
      <c r="BJ57" s="242"/>
      <c r="BK57" s="242"/>
      <c r="BL57" s="242"/>
      <c r="BM57" s="242"/>
      <c r="BN57" s="242"/>
      <c r="BO57" s="242"/>
      <c r="BP57" s="242"/>
      <c r="BQ57" s="242"/>
      <c r="BR57" s="242"/>
      <c r="BS57" s="242"/>
      <c r="BT57" s="242"/>
      <c r="BU57" s="242"/>
      <c r="BV57" s="242"/>
      <c r="BW57" s="242"/>
      <c r="BX57" s="242"/>
      <c r="BY57" s="242"/>
      <c r="BZ57" s="242"/>
      <c r="CA57" s="242"/>
      <c r="CB57" s="242"/>
      <c r="CC57" s="243"/>
      <c r="CD57" s="243"/>
      <c r="CE57" s="242"/>
      <c r="CF57" s="242"/>
      <c r="CG57" s="242"/>
      <c r="CH57" s="242"/>
      <c r="CI57" s="242"/>
      <c r="CJ57" s="242"/>
      <c r="CK57" s="242"/>
      <c r="CL57" s="242"/>
      <c r="CM57" s="242"/>
      <c r="CN57" s="242"/>
      <c r="CO57" s="242"/>
      <c r="CP57" s="242"/>
      <c r="CQ57" s="242"/>
      <c r="CR57" s="243"/>
      <c r="CS57" s="242"/>
      <c r="CT57" s="242"/>
      <c r="CU57" s="242"/>
      <c r="CV57" s="242"/>
      <c r="CW57" s="242"/>
      <c r="CX57" s="243"/>
      <c r="CY57" s="242"/>
      <c r="CZ57" s="242"/>
      <c r="DA57" s="242"/>
      <c r="DB57" s="242"/>
      <c r="DC57" s="242"/>
      <c r="DD57" s="242"/>
      <c r="DE57" s="242"/>
      <c r="DF57" s="242"/>
      <c r="DG57" s="242"/>
      <c r="DH57" s="242"/>
      <c r="DI57" s="242"/>
      <c r="DJ57" s="242"/>
      <c r="DK57" s="242"/>
      <c r="DL57" s="242"/>
      <c r="DM57" s="242"/>
      <c r="DN57" s="242"/>
      <c r="DO57" s="242"/>
      <c r="DP57" s="242"/>
      <c r="DQ57" s="242"/>
      <c r="DR57" s="242"/>
      <c r="DS57" s="242"/>
      <c r="DT57" s="242"/>
      <c r="DU57" s="242"/>
      <c r="DV57" s="242"/>
      <c r="DW57" s="242"/>
      <c r="DX57" s="242"/>
      <c r="DY57" s="242"/>
      <c r="DZ57" s="242"/>
      <c r="EA57" s="242"/>
      <c r="EB57" s="242"/>
      <c r="EC57" s="242"/>
      <c r="ED57" s="242"/>
      <c r="EE57" s="242"/>
      <c r="EF57" s="242"/>
      <c r="EG57" s="242"/>
      <c r="EH57" s="242"/>
      <c r="EI57" s="242"/>
      <c r="EJ57" s="242"/>
      <c r="EK57" s="242"/>
      <c r="EL57" s="242"/>
      <c r="EM57" s="242"/>
      <c r="EN57" s="242"/>
      <c r="EO57" s="242"/>
      <c r="EP57" s="242"/>
      <c r="EQ57" s="242"/>
      <c r="ER57" s="242"/>
      <c r="ES57" s="242"/>
      <c r="ET57" s="242"/>
      <c r="EU57" s="242"/>
      <c r="EV57" s="242"/>
      <c r="EW57" s="242"/>
      <c r="EX57" s="242"/>
      <c r="EY57" s="242"/>
      <c r="EZ57" s="242"/>
      <c r="FA57" s="242"/>
      <c r="FB57" s="242"/>
      <c r="FC57" s="242"/>
      <c r="FD57" s="242"/>
      <c r="FE57" s="242"/>
      <c r="FF57" s="242"/>
      <c r="FG57" s="242"/>
      <c r="FH57" s="242">
        <v>1</v>
      </c>
      <c r="FI57" s="242">
        <v>1</v>
      </c>
      <c r="FJ57" s="242">
        <v>1</v>
      </c>
      <c r="FK57" s="242">
        <v>1</v>
      </c>
      <c r="FL57" s="242">
        <v>1</v>
      </c>
      <c r="FM57" s="242">
        <v>1</v>
      </c>
      <c r="FN57" s="242">
        <v>2</v>
      </c>
      <c r="FO57" s="242">
        <v>2</v>
      </c>
      <c r="FP57" s="242">
        <v>2</v>
      </c>
      <c r="FQ57" s="243"/>
      <c r="FR57" s="243"/>
      <c r="FS57" s="242">
        <v>2</v>
      </c>
      <c r="FT57" s="242">
        <v>2</v>
      </c>
      <c r="FU57" s="242">
        <v>2</v>
      </c>
      <c r="FV57" s="242">
        <f>+FN57+1</f>
        <v>3</v>
      </c>
      <c r="FW57" s="242">
        <f>+FO57+1</f>
        <v>3</v>
      </c>
      <c r="FX57" s="242">
        <f>+FP57+1</f>
        <v>3</v>
      </c>
      <c r="FY57" s="242">
        <f t="shared" ref="FY57:GV59" si="104">+FS57+1</f>
        <v>3</v>
      </c>
      <c r="FZ57" s="242">
        <f t="shared" si="104"/>
        <v>3</v>
      </c>
      <c r="GA57" s="242">
        <f t="shared" si="104"/>
        <v>3</v>
      </c>
      <c r="GB57" s="242">
        <f t="shared" si="104"/>
        <v>4</v>
      </c>
      <c r="GC57" s="242">
        <f t="shared" si="104"/>
        <v>4</v>
      </c>
      <c r="GD57" s="242">
        <f t="shared" si="104"/>
        <v>4</v>
      </c>
      <c r="GE57" s="242">
        <f t="shared" si="104"/>
        <v>4</v>
      </c>
      <c r="GF57" s="242">
        <f t="shared" si="104"/>
        <v>4</v>
      </c>
      <c r="GG57" s="242">
        <f t="shared" si="104"/>
        <v>4</v>
      </c>
      <c r="GH57" s="242">
        <f t="shared" si="104"/>
        <v>5</v>
      </c>
      <c r="GI57" s="242">
        <f t="shared" si="104"/>
        <v>5</v>
      </c>
      <c r="GJ57" s="242">
        <f t="shared" si="104"/>
        <v>5</v>
      </c>
      <c r="GK57" s="242">
        <f t="shared" si="104"/>
        <v>5</v>
      </c>
      <c r="GL57" s="242">
        <f t="shared" si="104"/>
        <v>5</v>
      </c>
      <c r="GM57" s="242">
        <f t="shared" si="104"/>
        <v>5</v>
      </c>
      <c r="GN57" s="242">
        <f t="shared" si="104"/>
        <v>6</v>
      </c>
      <c r="GO57" s="242">
        <f t="shared" si="104"/>
        <v>6</v>
      </c>
      <c r="GP57" s="242">
        <f t="shared" si="104"/>
        <v>6</v>
      </c>
      <c r="GQ57" s="242">
        <f t="shared" si="104"/>
        <v>6</v>
      </c>
      <c r="GR57" s="242">
        <f t="shared" si="104"/>
        <v>6</v>
      </c>
      <c r="GS57" s="242">
        <f t="shared" si="104"/>
        <v>6</v>
      </c>
      <c r="GT57" s="242">
        <f t="shared" si="104"/>
        <v>7</v>
      </c>
      <c r="GU57" s="242">
        <f t="shared" si="104"/>
        <v>7</v>
      </c>
      <c r="GV57" s="242">
        <f t="shared" si="104"/>
        <v>7</v>
      </c>
      <c r="GW57" s="243"/>
      <c r="GX57" s="242">
        <f t="shared" ref="GX57:HC58" si="105">+GQ57+1</f>
        <v>7</v>
      </c>
      <c r="GY57" s="242">
        <f t="shared" si="105"/>
        <v>7</v>
      </c>
      <c r="GZ57" s="242">
        <f t="shared" si="105"/>
        <v>7</v>
      </c>
      <c r="HA57" s="242">
        <f t="shared" si="105"/>
        <v>8</v>
      </c>
      <c r="HB57" s="242">
        <f t="shared" si="105"/>
        <v>8</v>
      </c>
      <c r="HC57" s="242">
        <f t="shared" si="105"/>
        <v>8</v>
      </c>
      <c r="HD57" s="242">
        <f t="shared" ref="HD57:HM58" si="106">+GX57+1</f>
        <v>8</v>
      </c>
      <c r="HE57" s="242">
        <f t="shared" si="106"/>
        <v>8</v>
      </c>
      <c r="HF57" s="242">
        <f t="shared" si="106"/>
        <v>8</v>
      </c>
      <c r="HG57" s="242">
        <f t="shared" si="106"/>
        <v>9</v>
      </c>
      <c r="HH57" s="242">
        <f t="shared" si="106"/>
        <v>9</v>
      </c>
      <c r="HI57" s="242">
        <f t="shared" si="106"/>
        <v>9</v>
      </c>
      <c r="HJ57" s="242">
        <f t="shared" si="106"/>
        <v>9</v>
      </c>
      <c r="HK57" s="242">
        <f t="shared" si="106"/>
        <v>9</v>
      </c>
      <c r="HL57" s="242">
        <f t="shared" si="106"/>
        <v>9</v>
      </c>
      <c r="HM57" s="242">
        <f>+HG57+1</f>
        <v>10</v>
      </c>
      <c r="HN57" s="242">
        <f t="shared" ref="HN57:IC58" si="107">+HH57+1</f>
        <v>10</v>
      </c>
      <c r="HO57" s="242">
        <f t="shared" si="107"/>
        <v>10</v>
      </c>
      <c r="HP57" s="242">
        <f t="shared" si="107"/>
        <v>10</v>
      </c>
      <c r="HQ57" s="242">
        <f t="shared" si="107"/>
        <v>10</v>
      </c>
      <c r="HR57" s="242">
        <f t="shared" si="107"/>
        <v>10</v>
      </c>
      <c r="HS57" s="242">
        <f t="shared" si="107"/>
        <v>11</v>
      </c>
      <c r="HT57" s="242">
        <f t="shared" si="107"/>
        <v>11</v>
      </c>
      <c r="HU57" s="242">
        <f t="shared" si="107"/>
        <v>11</v>
      </c>
      <c r="HV57" s="242">
        <f t="shared" si="107"/>
        <v>11</v>
      </c>
      <c r="HW57" s="242">
        <f t="shared" si="107"/>
        <v>11</v>
      </c>
      <c r="HX57" s="242">
        <f t="shared" si="107"/>
        <v>11</v>
      </c>
      <c r="HY57" s="242">
        <f t="shared" si="107"/>
        <v>12</v>
      </c>
      <c r="HZ57" s="242">
        <f t="shared" si="107"/>
        <v>12</v>
      </c>
      <c r="IA57" s="242">
        <f t="shared" si="107"/>
        <v>12</v>
      </c>
      <c r="IB57" s="242">
        <f t="shared" si="107"/>
        <v>12</v>
      </c>
      <c r="IC57" s="242">
        <f t="shared" si="107"/>
        <v>12</v>
      </c>
      <c r="ID57" s="242">
        <f t="shared" ref="ID57:IN58" si="108">+HX57+1</f>
        <v>12</v>
      </c>
      <c r="IE57" s="242">
        <f t="shared" si="108"/>
        <v>13</v>
      </c>
      <c r="IF57" s="242">
        <f t="shared" si="108"/>
        <v>13</v>
      </c>
      <c r="IG57" s="242">
        <f t="shared" si="108"/>
        <v>13</v>
      </c>
      <c r="IH57" s="242">
        <f t="shared" si="108"/>
        <v>13</v>
      </c>
      <c r="II57" s="242">
        <f t="shared" si="108"/>
        <v>13</v>
      </c>
      <c r="IJ57" s="242">
        <f t="shared" si="108"/>
        <v>13</v>
      </c>
      <c r="IK57" s="242">
        <f t="shared" si="108"/>
        <v>14</v>
      </c>
      <c r="IL57" s="242">
        <f t="shared" si="108"/>
        <v>14</v>
      </c>
      <c r="IM57" s="242">
        <f t="shared" si="108"/>
        <v>14</v>
      </c>
      <c r="IN57" s="242">
        <f>+IH57+1</f>
        <v>14</v>
      </c>
      <c r="IO57" s="242">
        <f t="shared" ref="IO57:IU58" si="109">+II57+1</f>
        <v>14</v>
      </c>
      <c r="IP57" s="242">
        <f t="shared" si="109"/>
        <v>14</v>
      </c>
      <c r="IQ57" s="242">
        <f t="shared" si="109"/>
        <v>15</v>
      </c>
      <c r="IR57" s="242">
        <f t="shared" si="109"/>
        <v>15</v>
      </c>
      <c r="IS57" s="242">
        <f t="shared" si="109"/>
        <v>15</v>
      </c>
      <c r="IT57" s="242">
        <f t="shared" si="109"/>
        <v>15</v>
      </c>
      <c r="IU57" s="242">
        <f t="shared" si="109"/>
        <v>15</v>
      </c>
      <c r="IV57" s="243"/>
      <c r="IW57" s="242">
        <f t="shared" ref="IW57:JB58" si="110">+IP57+1</f>
        <v>15</v>
      </c>
      <c r="IX57" s="242">
        <f t="shared" si="110"/>
        <v>16</v>
      </c>
      <c r="IY57" s="242">
        <f t="shared" si="110"/>
        <v>16</v>
      </c>
      <c r="IZ57" s="242">
        <f t="shared" si="110"/>
        <v>16</v>
      </c>
      <c r="JA57" s="242">
        <f t="shared" si="110"/>
        <v>16</v>
      </c>
      <c r="JB57" s="242">
        <f t="shared" si="110"/>
        <v>16</v>
      </c>
      <c r="JC57" s="242">
        <f t="shared" ref="JC57:JK58" si="111">+IW57+1</f>
        <v>16</v>
      </c>
      <c r="JD57" s="242">
        <f t="shared" si="111"/>
        <v>17</v>
      </c>
      <c r="JE57" s="242">
        <f t="shared" si="111"/>
        <v>17</v>
      </c>
      <c r="JF57" s="242">
        <f t="shared" si="111"/>
        <v>17</v>
      </c>
      <c r="JG57" s="242">
        <f t="shared" si="111"/>
        <v>17</v>
      </c>
      <c r="JH57" s="242">
        <f t="shared" si="111"/>
        <v>17</v>
      </c>
      <c r="JI57" s="242">
        <f t="shared" si="111"/>
        <v>17</v>
      </c>
      <c r="JJ57" s="242">
        <f t="shared" si="111"/>
        <v>18</v>
      </c>
      <c r="JK57" s="242">
        <f>+JE57+1</f>
        <v>18</v>
      </c>
      <c r="JL57" s="242">
        <f t="shared" ref="JL57:JO58" si="112">+JF57+1</f>
        <v>18</v>
      </c>
      <c r="JM57" s="242">
        <f t="shared" ref="JM57" si="113">+JD57+1</f>
        <v>18</v>
      </c>
      <c r="JN57" s="242"/>
      <c r="JO57" s="242"/>
      <c r="JP57" s="243"/>
      <c r="JQ57" s="242"/>
      <c r="JR57" s="242"/>
      <c r="JS57" s="242"/>
      <c r="JT57" s="243"/>
      <c r="JU57" s="243"/>
      <c r="JV57" s="242"/>
      <c r="JW57" s="242"/>
      <c r="JX57" s="242"/>
      <c r="JY57" s="242"/>
      <c r="JZ57" s="242"/>
      <c r="KA57" s="242"/>
      <c r="KB57" s="243"/>
      <c r="KC57" s="242"/>
      <c r="KD57" s="242"/>
      <c r="KE57" s="242"/>
      <c r="KF57" s="242"/>
      <c r="KG57" s="242"/>
      <c r="KH57" s="242"/>
      <c r="KI57" s="242"/>
      <c r="KJ57" s="242"/>
      <c r="KK57" s="242"/>
      <c r="KL57" s="242"/>
      <c r="KM57" s="242"/>
      <c r="KN57" s="242"/>
      <c r="KO57" s="242"/>
      <c r="KP57" s="242"/>
      <c r="KQ57" s="242"/>
      <c r="KR57" s="242"/>
      <c r="KS57" s="242"/>
      <c r="KT57" s="242"/>
      <c r="KU57" s="242"/>
      <c r="KV57" s="243"/>
      <c r="KW57" s="242"/>
      <c r="KX57" s="242"/>
      <c r="KY57" s="242"/>
      <c r="KZ57" s="242"/>
      <c r="LA57" s="242"/>
      <c r="LB57" s="242"/>
      <c r="LC57" s="242"/>
      <c r="LD57" s="242"/>
      <c r="LE57" s="242"/>
      <c r="LF57" s="242"/>
      <c r="LG57" s="242"/>
      <c r="LH57" s="242"/>
      <c r="LI57" s="242"/>
      <c r="LJ57" s="242"/>
      <c r="LK57" s="242"/>
      <c r="LL57" s="242"/>
      <c r="LM57" s="242"/>
      <c r="LN57" s="242"/>
      <c r="LO57" s="242"/>
      <c r="LP57" s="242"/>
      <c r="LQ57" s="242"/>
      <c r="LR57" s="242"/>
      <c r="LS57" s="242"/>
      <c r="LT57" s="242"/>
      <c r="LU57" s="242"/>
      <c r="LV57" s="242"/>
      <c r="LW57" s="242"/>
      <c r="LX57" s="242"/>
      <c r="LY57" s="242"/>
      <c r="LZ57" s="242"/>
      <c r="MA57" s="242"/>
      <c r="MB57" s="242"/>
      <c r="MC57" s="242"/>
      <c r="MD57" s="243"/>
      <c r="ME57" s="242"/>
      <c r="MF57" s="242"/>
      <c r="MG57" s="242"/>
      <c r="MH57" s="242"/>
      <c r="MI57" s="242"/>
      <c r="MJ57" s="242"/>
      <c r="MK57" s="242"/>
      <c r="ML57" s="242"/>
      <c r="MM57" s="242"/>
      <c r="MN57" s="242"/>
      <c r="MO57" s="242"/>
      <c r="MP57" s="242"/>
      <c r="MQ57" s="242"/>
      <c r="MR57" s="242"/>
      <c r="MS57" s="242"/>
      <c r="MT57" s="242"/>
      <c r="MU57" s="242"/>
      <c r="MV57" s="242"/>
      <c r="MW57" s="242"/>
      <c r="MX57" s="243"/>
      <c r="MY57" s="242"/>
      <c r="MZ57" s="242"/>
      <c r="NA57" s="242"/>
      <c r="NB57" s="242"/>
      <c r="NC57" s="242"/>
      <c r="ND57" s="242"/>
      <c r="NE57" s="242"/>
      <c r="NF57" s="242"/>
      <c r="NG57" s="242"/>
      <c r="NH57" s="242"/>
      <c r="NI57" s="242"/>
      <c r="NJ57" s="242"/>
      <c r="NK57" s="242"/>
      <c r="NL57" s="242"/>
      <c r="NM57" s="242"/>
      <c r="NN57" s="242"/>
      <c r="NO57" s="242"/>
      <c r="NP57" s="242"/>
      <c r="NQ57" s="242"/>
      <c r="NR57" s="242"/>
      <c r="NS57" s="242"/>
      <c r="NT57" s="242"/>
      <c r="NU57" s="242"/>
      <c r="NV57" s="242"/>
      <c r="NW57" s="242"/>
      <c r="NX57" s="242"/>
      <c r="NY57" s="242"/>
      <c r="NZ57" s="242"/>
      <c r="OA57" s="242"/>
      <c r="OB57" s="242"/>
      <c r="OC57" s="242"/>
      <c r="OD57" s="243"/>
      <c r="OE57" s="243"/>
      <c r="OF57" s="242"/>
      <c r="OG57" s="242"/>
      <c r="OH57" s="242"/>
      <c r="OI57" s="242"/>
      <c r="OJ57" s="242"/>
      <c r="OK57" s="242"/>
      <c r="OL57" s="242"/>
      <c r="OM57" s="242"/>
      <c r="ON57" s="242"/>
      <c r="OO57" s="242"/>
      <c r="OP57" s="242"/>
      <c r="OQ57" s="242"/>
      <c r="OR57" s="242"/>
      <c r="OS57" s="243"/>
      <c r="OT57" s="242"/>
      <c r="OU57" s="242"/>
      <c r="OV57" s="242"/>
      <c r="OW57" s="242"/>
      <c r="OX57" s="242"/>
      <c r="OY57" s="243"/>
      <c r="OZ57" s="242"/>
      <c r="PA57" s="242"/>
      <c r="PB57" s="242"/>
      <c r="PC57" s="242"/>
      <c r="PD57" s="242"/>
      <c r="PE57" s="242"/>
      <c r="PF57" s="242"/>
      <c r="PG57" s="242"/>
      <c r="PH57" s="242"/>
      <c r="PI57" s="242"/>
      <c r="PJ57" s="242"/>
      <c r="PK57" s="242"/>
      <c r="PL57" s="242"/>
      <c r="PM57" s="242"/>
      <c r="PN57" s="242"/>
      <c r="PO57" s="242"/>
      <c r="PP57" s="242"/>
      <c r="PQ57" s="242"/>
      <c r="PR57" s="242"/>
      <c r="PS57" s="242"/>
      <c r="PT57" s="242"/>
      <c r="PU57" s="242"/>
      <c r="PV57" s="242"/>
      <c r="PW57" s="242"/>
      <c r="PX57" s="242"/>
      <c r="PY57" s="242"/>
      <c r="PZ57" s="242"/>
      <c r="QA57" s="242"/>
      <c r="QB57" s="242"/>
      <c r="QC57" s="242"/>
      <c r="QD57" s="242"/>
      <c r="QE57" s="242"/>
      <c r="QF57" s="242"/>
      <c r="QG57" s="242"/>
      <c r="QH57" s="242"/>
      <c r="QI57" s="244"/>
    </row>
    <row r="58" spans="1:451" ht="18" customHeight="1" x14ac:dyDescent="0.2">
      <c r="A58" s="239" t="s">
        <v>449</v>
      </c>
      <c r="B58" s="245"/>
      <c r="C58" s="242"/>
      <c r="D58" s="242"/>
      <c r="E58" s="242"/>
      <c r="F58" s="242"/>
      <c r="G58" s="242"/>
      <c r="H58" s="242"/>
      <c r="I58" s="242"/>
      <c r="J58" s="242"/>
      <c r="K58" s="242"/>
      <c r="L58" s="242"/>
      <c r="M58" s="242"/>
      <c r="N58" s="242"/>
      <c r="O58" s="242"/>
      <c r="P58" s="242"/>
      <c r="Q58" s="242"/>
      <c r="R58" s="242"/>
      <c r="S58" s="242"/>
      <c r="T58" s="242"/>
      <c r="U58" s="242"/>
      <c r="V58" s="242"/>
      <c r="W58" s="242"/>
      <c r="X58" s="242"/>
      <c r="Y58" s="242"/>
      <c r="Z58" s="242"/>
      <c r="AA58" s="242"/>
      <c r="AB58" s="242"/>
      <c r="AC58" s="243"/>
      <c r="AD58" s="242"/>
      <c r="AE58" s="242"/>
      <c r="AF58" s="242"/>
      <c r="AG58" s="242"/>
      <c r="AH58" s="242"/>
      <c r="AI58" s="242"/>
      <c r="AJ58" s="242"/>
      <c r="AK58" s="242"/>
      <c r="AL58" s="242"/>
      <c r="AM58" s="242"/>
      <c r="AN58" s="242"/>
      <c r="AO58" s="242"/>
      <c r="AP58" s="242"/>
      <c r="AQ58" s="242"/>
      <c r="AR58" s="243"/>
      <c r="AS58" s="242"/>
      <c r="AT58" s="242"/>
      <c r="AU58" s="242"/>
      <c r="AV58" s="242"/>
      <c r="AW58" s="242"/>
      <c r="AX58" s="242"/>
      <c r="AY58" s="242"/>
      <c r="AZ58" s="242"/>
      <c r="BA58" s="242"/>
      <c r="BB58" s="242"/>
      <c r="BC58" s="242"/>
      <c r="BD58" s="242"/>
      <c r="BE58" s="242"/>
      <c r="BF58" s="242"/>
      <c r="BG58" s="242"/>
      <c r="BH58" s="242"/>
      <c r="BI58" s="242"/>
      <c r="BJ58" s="242"/>
      <c r="BK58" s="242"/>
      <c r="BL58" s="242"/>
      <c r="BM58" s="242"/>
      <c r="BN58" s="242"/>
      <c r="BO58" s="242"/>
      <c r="BP58" s="242"/>
      <c r="BQ58" s="242"/>
      <c r="BR58" s="242"/>
      <c r="BS58" s="242"/>
      <c r="BT58" s="242"/>
      <c r="BU58" s="242"/>
      <c r="BV58" s="242"/>
      <c r="BW58" s="242"/>
      <c r="BX58" s="242"/>
      <c r="BY58" s="242"/>
      <c r="BZ58" s="242"/>
      <c r="CA58" s="242"/>
      <c r="CB58" s="242"/>
      <c r="CC58" s="243"/>
      <c r="CD58" s="243"/>
      <c r="CE58" s="242"/>
      <c r="CF58" s="242"/>
      <c r="CG58" s="242"/>
      <c r="CH58" s="242"/>
      <c r="CI58" s="242"/>
      <c r="CJ58" s="242"/>
      <c r="CK58" s="242"/>
      <c r="CL58" s="242"/>
      <c r="CM58" s="242"/>
      <c r="CN58" s="242"/>
      <c r="CO58" s="242"/>
      <c r="CP58" s="242"/>
      <c r="CQ58" s="242"/>
      <c r="CR58" s="243"/>
      <c r="CS58" s="242"/>
      <c r="CT58" s="242"/>
      <c r="CU58" s="242"/>
      <c r="CV58" s="242"/>
      <c r="CW58" s="242"/>
      <c r="CX58" s="243"/>
      <c r="CY58" s="242"/>
      <c r="CZ58" s="242"/>
      <c r="DA58" s="242"/>
      <c r="DB58" s="242"/>
      <c r="DC58" s="242"/>
      <c r="DD58" s="242"/>
      <c r="DE58" s="242"/>
      <c r="DF58" s="242"/>
      <c r="DG58" s="242"/>
      <c r="DH58" s="242"/>
      <c r="DI58" s="242"/>
      <c r="DJ58" s="242"/>
      <c r="DK58" s="242"/>
      <c r="DL58" s="242"/>
      <c r="DM58" s="242"/>
      <c r="DN58" s="242"/>
      <c r="DO58" s="242"/>
      <c r="DP58" s="242"/>
      <c r="DQ58" s="242"/>
      <c r="DR58" s="242"/>
      <c r="DS58" s="242"/>
      <c r="DT58" s="242"/>
      <c r="DU58" s="242"/>
      <c r="DV58" s="242"/>
      <c r="DW58" s="242"/>
      <c r="DX58" s="242"/>
      <c r="DY58" s="242"/>
      <c r="DZ58" s="242"/>
      <c r="EA58" s="242"/>
      <c r="EB58" s="242"/>
      <c r="EC58" s="242"/>
      <c r="ED58" s="242"/>
      <c r="EE58" s="242"/>
      <c r="EF58" s="242"/>
      <c r="EG58" s="242"/>
      <c r="EH58" s="242"/>
      <c r="EI58" s="242"/>
      <c r="EJ58" s="242"/>
      <c r="EK58" s="242"/>
      <c r="EL58" s="242"/>
      <c r="EM58" s="242"/>
      <c r="EN58" s="242"/>
      <c r="EO58" s="242"/>
      <c r="EP58" s="242"/>
      <c r="EQ58" s="242"/>
      <c r="ER58" s="242"/>
      <c r="ES58" s="242"/>
      <c r="ET58" s="242"/>
      <c r="EU58" s="242"/>
      <c r="EV58" s="242"/>
      <c r="EW58" s="242"/>
      <c r="EX58" s="242"/>
      <c r="EY58" s="242"/>
      <c r="EZ58" s="242"/>
      <c r="FA58" s="242"/>
      <c r="FB58" s="242"/>
      <c r="FC58" s="242"/>
      <c r="FD58" s="242"/>
      <c r="FE58" s="242"/>
      <c r="FF58" s="242"/>
      <c r="FG58" s="242"/>
      <c r="FH58" s="242"/>
      <c r="FI58" s="242"/>
      <c r="FJ58" s="242"/>
      <c r="FK58" s="242"/>
      <c r="FL58" s="242"/>
      <c r="FM58" s="242"/>
      <c r="FN58" s="242"/>
      <c r="FO58" s="242"/>
      <c r="FP58" s="242"/>
      <c r="FQ58" s="243"/>
      <c r="FR58" s="243"/>
      <c r="FS58" s="242"/>
      <c r="FT58" s="242"/>
      <c r="FU58" s="242"/>
      <c r="FV58" s="242">
        <v>1</v>
      </c>
      <c r="FW58" s="242">
        <v>1</v>
      </c>
      <c r="FX58" s="242">
        <v>1</v>
      </c>
      <c r="FY58" s="242">
        <v>1</v>
      </c>
      <c r="FZ58" s="242">
        <v>1</v>
      </c>
      <c r="GA58" s="242">
        <v>1</v>
      </c>
      <c r="GB58" s="242">
        <v>2</v>
      </c>
      <c r="GC58" s="242">
        <v>2</v>
      </c>
      <c r="GD58" s="242">
        <v>2</v>
      </c>
      <c r="GE58" s="242">
        <v>2</v>
      </c>
      <c r="GF58" s="242">
        <v>2</v>
      </c>
      <c r="GG58" s="242">
        <v>2</v>
      </c>
      <c r="GH58" s="242">
        <f>+GB58+1</f>
        <v>3</v>
      </c>
      <c r="GI58" s="242">
        <f t="shared" si="104"/>
        <v>3</v>
      </c>
      <c r="GJ58" s="242">
        <f t="shared" si="104"/>
        <v>3</v>
      </c>
      <c r="GK58" s="242">
        <f t="shared" si="104"/>
        <v>3</v>
      </c>
      <c r="GL58" s="242">
        <f t="shared" si="104"/>
        <v>3</v>
      </c>
      <c r="GM58" s="242">
        <f t="shared" si="104"/>
        <v>3</v>
      </c>
      <c r="GN58" s="242">
        <f t="shared" si="104"/>
        <v>4</v>
      </c>
      <c r="GO58" s="242">
        <f t="shared" si="104"/>
        <v>4</v>
      </c>
      <c r="GP58" s="242">
        <f t="shared" si="104"/>
        <v>4</v>
      </c>
      <c r="GQ58" s="242">
        <f t="shared" si="104"/>
        <v>4</v>
      </c>
      <c r="GR58" s="242">
        <f t="shared" si="104"/>
        <v>4</v>
      </c>
      <c r="GS58" s="242">
        <f t="shared" si="104"/>
        <v>4</v>
      </c>
      <c r="GT58" s="242">
        <f t="shared" si="104"/>
        <v>5</v>
      </c>
      <c r="GU58" s="242">
        <f t="shared" si="104"/>
        <v>5</v>
      </c>
      <c r="GV58" s="242">
        <f t="shared" si="104"/>
        <v>5</v>
      </c>
      <c r="GW58" s="243"/>
      <c r="GX58" s="242">
        <f t="shared" si="105"/>
        <v>5</v>
      </c>
      <c r="GY58" s="242">
        <f t="shared" si="105"/>
        <v>5</v>
      </c>
      <c r="GZ58" s="242">
        <f t="shared" si="105"/>
        <v>5</v>
      </c>
      <c r="HA58" s="242">
        <f t="shared" si="105"/>
        <v>6</v>
      </c>
      <c r="HB58" s="242">
        <f t="shared" si="105"/>
        <v>6</v>
      </c>
      <c r="HC58" s="242">
        <f t="shared" si="105"/>
        <v>6</v>
      </c>
      <c r="HD58" s="242">
        <f t="shared" si="106"/>
        <v>6</v>
      </c>
      <c r="HE58" s="242">
        <f t="shared" si="106"/>
        <v>6</v>
      </c>
      <c r="HF58" s="242">
        <f t="shared" si="106"/>
        <v>6</v>
      </c>
      <c r="HG58" s="242">
        <f t="shared" si="106"/>
        <v>7</v>
      </c>
      <c r="HH58" s="242">
        <f t="shared" si="106"/>
        <v>7</v>
      </c>
      <c r="HI58" s="242">
        <f t="shared" si="106"/>
        <v>7</v>
      </c>
      <c r="HJ58" s="242">
        <f t="shared" si="106"/>
        <v>7</v>
      </c>
      <c r="HK58" s="242">
        <f t="shared" si="106"/>
        <v>7</v>
      </c>
      <c r="HL58" s="242">
        <f t="shared" si="106"/>
        <v>7</v>
      </c>
      <c r="HM58" s="242">
        <f t="shared" si="106"/>
        <v>8</v>
      </c>
      <c r="HN58" s="242">
        <f t="shared" si="107"/>
        <v>8</v>
      </c>
      <c r="HO58" s="242">
        <f t="shared" si="107"/>
        <v>8</v>
      </c>
      <c r="HP58" s="242">
        <f t="shared" si="107"/>
        <v>8</v>
      </c>
      <c r="HQ58" s="242">
        <f t="shared" si="107"/>
        <v>8</v>
      </c>
      <c r="HR58" s="242">
        <f t="shared" si="107"/>
        <v>8</v>
      </c>
      <c r="HS58" s="242">
        <f t="shared" si="107"/>
        <v>9</v>
      </c>
      <c r="HT58" s="242">
        <f t="shared" si="107"/>
        <v>9</v>
      </c>
      <c r="HU58" s="242">
        <f t="shared" si="107"/>
        <v>9</v>
      </c>
      <c r="HV58" s="242">
        <f t="shared" si="107"/>
        <v>9</v>
      </c>
      <c r="HW58" s="242">
        <f t="shared" si="107"/>
        <v>9</v>
      </c>
      <c r="HX58" s="242">
        <f t="shared" si="107"/>
        <v>9</v>
      </c>
      <c r="HY58" s="242">
        <f>+HS58+1</f>
        <v>10</v>
      </c>
      <c r="HZ58" s="242">
        <f t="shared" si="107"/>
        <v>10</v>
      </c>
      <c r="IA58" s="242">
        <f t="shared" si="107"/>
        <v>10</v>
      </c>
      <c r="IB58" s="242">
        <f t="shared" si="107"/>
        <v>10</v>
      </c>
      <c r="IC58" s="242">
        <f t="shared" si="107"/>
        <v>10</v>
      </c>
      <c r="ID58" s="242">
        <f t="shared" si="108"/>
        <v>10</v>
      </c>
      <c r="IE58" s="242">
        <f t="shared" si="108"/>
        <v>11</v>
      </c>
      <c r="IF58" s="242">
        <f t="shared" si="108"/>
        <v>11</v>
      </c>
      <c r="IG58" s="242">
        <f t="shared" si="108"/>
        <v>11</v>
      </c>
      <c r="IH58" s="242">
        <f t="shared" si="108"/>
        <v>11</v>
      </c>
      <c r="II58" s="242">
        <f t="shared" si="108"/>
        <v>11</v>
      </c>
      <c r="IJ58" s="242">
        <f t="shared" si="108"/>
        <v>11</v>
      </c>
      <c r="IK58" s="242">
        <f t="shared" si="108"/>
        <v>12</v>
      </c>
      <c r="IL58" s="242">
        <f t="shared" si="108"/>
        <v>12</v>
      </c>
      <c r="IM58" s="242">
        <f t="shared" si="108"/>
        <v>12</v>
      </c>
      <c r="IN58" s="242">
        <f t="shared" si="108"/>
        <v>12</v>
      </c>
      <c r="IO58" s="242">
        <f t="shared" si="109"/>
        <v>12</v>
      </c>
      <c r="IP58" s="242">
        <f t="shared" si="109"/>
        <v>12</v>
      </c>
      <c r="IQ58" s="242">
        <f t="shared" si="109"/>
        <v>13</v>
      </c>
      <c r="IR58" s="242">
        <f t="shared" si="109"/>
        <v>13</v>
      </c>
      <c r="IS58" s="242">
        <f t="shared" si="109"/>
        <v>13</v>
      </c>
      <c r="IT58" s="242">
        <f t="shared" si="109"/>
        <v>13</v>
      </c>
      <c r="IU58" s="242">
        <f t="shared" si="109"/>
        <v>13</v>
      </c>
      <c r="IV58" s="243"/>
      <c r="IW58" s="242">
        <f t="shared" si="110"/>
        <v>13</v>
      </c>
      <c r="IX58" s="242">
        <f t="shared" si="110"/>
        <v>14</v>
      </c>
      <c r="IY58" s="242">
        <f t="shared" si="110"/>
        <v>14</v>
      </c>
      <c r="IZ58" s="242">
        <f t="shared" si="110"/>
        <v>14</v>
      </c>
      <c r="JA58" s="242">
        <f t="shared" si="110"/>
        <v>14</v>
      </c>
      <c r="JB58" s="242">
        <f t="shared" si="110"/>
        <v>14</v>
      </c>
      <c r="JC58" s="242">
        <f t="shared" si="111"/>
        <v>14</v>
      </c>
      <c r="JD58" s="242">
        <f t="shared" si="111"/>
        <v>15</v>
      </c>
      <c r="JE58" s="242">
        <f t="shared" si="111"/>
        <v>15</v>
      </c>
      <c r="JF58" s="242">
        <f t="shared" si="111"/>
        <v>15</v>
      </c>
      <c r="JG58" s="242">
        <f t="shared" si="111"/>
        <v>15</v>
      </c>
      <c r="JH58" s="242">
        <f t="shared" si="111"/>
        <v>15</v>
      </c>
      <c r="JI58" s="242">
        <f t="shared" si="111"/>
        <v>15</v>
      </c>
      <c r="JJ58" s="242">
        <f t="shared" si="111"/>
        <v>16</v>
      </c>
      <c r="JK58" s="242">
        <f t="shared" si="111"/>
        <v>16</v>
      </c>
      <c r="JL58" s="242">
        <f t="shared" si="112"/>
        <v>16</v>
      </c>
      <c r="JM58" s="242">
        <f t="shared" si="112"/>
        <v>16</v>
      </c>
      <c r="JN58" s="242">
        <f t="shared" si="112"/>
        <v>16</v>
      </c>
      <c r="JO58" s="242">
        <f t="shared" si="112"/>
        <v>16</v>
      </c>
      <c r="JP58" s="243"/>
      <c r="JQ58" s="242">
        <f>+JJ58+1</f>
        <v>17</v>
      </c>
      <c r="JR58" s="242">
        <f>+JK58+1</f>
        <v>17</v>
      </c>
      <c r="JS58" s="242">
        <f>+JL58+1</f>
        <v>17</v>
      </c>
      <c r="JT58" s="243"/>
      <c r="JU58" s="243"/>
      <c r="JV58" s="242">
        <f>+JM58+1</f>
        <v>17</v>
      </c>
      <c r="JW58" s="242">
        <f>+JN58+1</f>
        <v>17</v>
      </c>
      <c r="JX58" s="242">
        <f>+JO58+1</f>
        <v>17</v>
      </c>
      <c r="JY58" s="242">
        <f>+JQ58+1</f>
        <v>18</v>
      </c>
      <c r="JZ58" s="242">
        <f>+JR58+1</f>
        <v>18</v>
      </c>
      <c r="KA58" s="242">
        <f>+JS58+1</f>
        <v>18</v>
      </c>
      <c r="KB58" s="243"/>
      <c r="KC58" s="242"/>
      <c r="KD58" s="242"/>
      <c r="KE58" s="242"/>
      <c r="KF58" s="242"/>
      <c r="KG58" s="242"/>
      <c r="KH58" s="242"/>
      <c r="KI58" s="242"/>
      <c r="KJ58" s="242"/>
      <c r="KK58" s="242"/>
      <c r="KL58" s="242"/>
      <c r="KM58" s="242"/>
      <c r="KN58" s="242"/>
      <c r="KO58" s="242"/>
      <c r="KP58" s="242"/>
      <c r="KQ58" s="242"/>
      <c r="KR58" s="242"/>
      <c r="KS58" s="242"/>
      <c r="KT58" s="242"/>
      <c r="KU58" s="242"/>
      <c r="KV58" s="243"/>
      <c r="KW58" s="242"/>
      <c r="KX58" s="242"/>
      <c r="KY58" s="242"/>
      <c r="KZ58" s="242"/>
      <c r="LA58" s="242"/>
      <c r="LB58" s="242"/>
      <c r="LC58" s="242"/>
      <c r="LD58" s="242"/>
      <c r="LE58" s="242"/>
      <c r="LF58" s="242"/>
      <c r="LG58" s="242"/>
      <c r="LH58" s="242"/>
      <c r="LI58" s="242"/>
      <c r="LJ58" s="242"/>
      <c r="LK58" s="242"/>
      <c r="LL58" s="242"/>
      <c r="LM58" s="242"/>
      <c r="LN58" s="242"/>
      <c r="LO58" s="242"/>
      <c r="LP58" s="242"/>
      <c r="LQ58" s="242"/>
      <c r="LR58" s="242"/>
      <c r="LS58" s="242"/>
      <c r="LT58" s="242"/>
      <c r="LU58" s="242"/>
      <c r="LV58" s="242"/>
      <c r="LW58" s="242"/>
      <c r="LX58" s="242"/>
      <c r="LY58" s="242"/>
      <c r="LZ58" s="242"/>
      <c r="MA58" s="242"/>
      <c r="MB58" s="242"/>
      <c r="MC58" s="242"/>
      <c r="MD58" s="243"/>
      <c r="ME58" s="242"/>
      <c r="MF58" s="242"/>
      <c r="MG58" s="242"/>
      <c r="MH58" s="242"/>
      <c r="MI58" s="242"/>
      <c r="MJ58" s="242"/>
      <c r="MK58" s="242"/>
      <c r="ML58" s="242"/>
      <c r="MM58" s="242"/>
      <c r="MN58" s="242"/>
      <c r="MO58" s="242"/>
      <c r="MP58" s="242"/>
      <c r="MQ58" s="242"/>
      <c r="MR58" s="242"/>
      <c r="MS58" s="242"/>
      <c r="MT58" s="242"/>
      <c r="MU58" s="242"/>
      <c r="MV58" s="242"/>
      <c r="MW58" s="242"/>
      <c r="MX58" s="243"/>
      <c r="MY58" s="242"/>
      <c r="MZ58" s="242"/>
      <c r="NA58" s="242"/>
      <c r="NB58" s="242"/>
      <c r="NC58" s="242"/>
      <c r="ND58" s="242"/>
      <c r="NE58" s="242"/>
      <c r="NF58" s="242"/>
      <c r="NG58" s="242"/>
      <c r="NH58" s="242"/>
      <c r="NI58" s="242"/>
      <c r="NJ58" s="242"/>
      <c r="NK58" s="242"/>
      <c r="NL58" s="242"/>
      <c r="NM58" s="242"/>
      <c r="NN58" s="242"/>
      <c r="NO58" s="242"/>
      <c r="NP58" s="242"/>
      <c r="NQ58" s="242"/>
      <c r="NR58" s="242"/>
      <c r="NS58" s="242"/>
      <c r="NT58" s="242"/>
      <c r="NU58" s="242"/>
      <c r="NV58" s="242"/>
      <c r="NW58" s="242"/>
      <c r="NX58" s="242"/>
      <c r="NY58" s="242"/>
      <c r="NZ58" s="242"/>
      <c r="OA58" s="242"/>
      <c r="OB58" s="242"/>
      <c r="OC58" s="242"/>
      <c r="OD58" s="243"/>
      <c r="OE58" s="243"/>
      <c r="OF58" s="242"/>
      <c r="OG58" s="242"/>
      <c r="OH58" s="242"/>
      <c r="OI58" s="242"/>
      <c r="OJ58" s="242"/>
      <c r="OK58" s="242"/>
      <c r="OL58" s="242"/>
      <c r="OM58" s="242"/>
      <c r="ON58" s="242"/>
      <c r="OO58" s="242"/>
      <c r="OP58" s="242"/>
      <c r="OQ58" s="242"/>
      <c r="OR58" s="242"/>
      <c r="OS58" s="243"/>
      <c r="OT58" s="242"/>
      <c r="OU58" s="242"/>
      <c r="OV58" s="242"/>
      <c r="OW58" s="242"/>
      <c r="OX58" s="242"/>
      <c r="OY58" s="243"/>
      <c r="OZ58" s="242"/>
      <c r="PA58" s="242"/>
      <c r="PB58" s="242"/>
      <c r="PC58" s="242"/>
      <c r="PD58" s="242"/>
      <c r="PE58" s="242"/>
      <c r="PF58" s="242"/>
      <c r="PG58" s="242"/>
      <c r="PH58" s="242"/>
      <c r="PI58" s="242"/>
      <c r="PJ58" s="242"/>
      <c r="PK58" s="242"/>
      <c r="PL58" s="242"/>
      <c r="PM58" s="242"/>
      <c r="PN58" s="242"/>
      <c r="PO58" s="242"/>
      <c r="PP58" s="242"/>
      <c r="PQ58" s="242"/>
      <c r="PR58" s="242"/>
      <c r="PS58" s="242"/>
      <c r="PT58" s="242"/>
      <c r="PU58" s="242"/>
      <c r="PV58" s="242"/>
      <c r="PW58" s="242"/>
      <c r="PX58" s="242"/>
      <c r="PY58" s="242"/>
      <c r="PZ58" s="242"/>
      <c r="QA58" s="242"/>
      <c r="QB58" s="242"/>
      <c r="QC58" s="242"/>
      <c r="QD58" s="242"/>
      <c r="QE58" s="242"/>
      <c r="QF58" s="242"/>
      <c r="QG58" s="242"/>
      <c r="QH58" s="242"/>
      <c r="QI58" s="244"/>
    </row>
    <row r="59" spans="1:451" ht="18" customHeight="1" x14ac:dyDescent="0.2">
      <c r="A59" s="239" t="s">
        <v>450</v>
      </c>
      <c r="B59" s="245"/>
      <c r="C59" s="242"/>
      <c r="D59" s="242"/>
      <c r="E59" s="242"/>
      <c r="F59" s="242"/>
      <c r="G59" s="242"/>
      <c r="H59" s="242"/>
      <c r="I59" s="242"/>
      <c r="J59" s="242"/>
      <c r="K59" s="242"/>
      <c r="L59" s="242"/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42"/>
      <c r="Z59" s="242"/>
      <c r="AA59" s="242"/>
      <c r="AB59" s="242"/>
      <c r="AC59" s="243"/>
      <c r="AD59" s="242"/>
      <c r="AE59" s="242"/>
      <c r="AF59" s="242"/>
      <c r="AG59" s="242"/>
      <c r="AH59" s="242"/>
      <c r="AI59" s="242"/>
      <c r="AJ59" s="242"/>
      <c r="AK59" s="242"/>
      <c r="AL59" s="242"/>
      <c r="AM59" s="242"/>
      <c r="AN59" s="242"/>
      <c r="AO59" s="242"/>
      <c r="AP59" s="242"/>
      <c r="AQ59" s="242"/>
      <c r="AR59" s="243"/>
      <c r="AS59" s="242"/>
      <c r="AT59" s="242"/>
      <c r="AU59" s="242"/>
      <c r="AV59" s="242"/>
      <c r="AW59" s="242"/>
      <c r="AX59" s="242"/>
      <c r="AY59" s="242"/>
      <c r="AZ59" s="242"/>
      <c r="BA59" s="242"/>
      <c r="BB59" s="242"/>
      <c r="BC59" s="242"/>
      <c r="BD59" s="242"/>
      <c r="BE59" s="242"/>
      <c r="BF59" s="242"/>
      <c r="BG59" s="242"/>
      <c r="BH59" s="242"/>
      <c r="BI59" s="242"/>
      <c r="BJ59" s="242"/>
      <c r="BK59" s="242"/>
      <c r="BL59" s="242"/>
      <c r="BM59" s="242"/>
      <c r="BN59" s="242"/>
      <c r="BO59" s="242"/>
      <c r="BP59" s="242"/>
      <c r="BQ59" s="242"/>
      <c r="BR59" s="242"/>
      <c r="BS59" s="242"/>
      <c r="BT59" s="242"/>
      <c r="BU59" s="242"/>
      <c r="BV59" s="242"/>
      <c r="BW59" s="242"/>
      <c r="BX59" s="242"/>
      <c r="BY59" s="242"/>
      <c r="BZ59" s="242"/>
      <c r="CA59" s="242"/>
      <c r="CB59" s="242"/>
      <c r="CC59" s="243"/>
      <c r="CD59" s="243"/>
      <c r="CE59" s="242"/>
      <c r="CF59" s="242"/>
      <c r="CG59" s="242"/>
      <c r="CH59" s="242"/>
      <c r="CI59" s="242"/>
      <c r="CJ59" s="242"/>
      <c r="CK59" s="242"/>
      <c r="CL59" s="242"/>
      <c r="CM59" s="242"/>
      <c r="CN59" s="242"/>
      <c r="CO59" s="242"/>
      <c r="CP59" s="242"/>
      <c r="CQ59" s="242"/>
      <c r="CR59" s="243"/>
      <c r="CS59" s="242"/>
      <c r="CT59" s="242"/>
      <c r="CU59" s="242"/>
      <c r="CV59" s="242"/>
      <c r="CW59" s="242"/>
      <c r="CX59" s="243"/>
      <c r="CY59" s="242"/>
      <c r="CZ59" s="242"/>
      <c r="DA59" s="242"/>
      <c r="DB59" s="242"/>
      <c r="DC59" s="242"/>
      <c r="DD59" s="242"/>
      <c r="DE59" s="242"/>
      <c r="DF59" s="242"/>
      <c r="DG59" s="242"/>
      <c r="DH59" s="242"/>
      <c r="DI59" s="242"/>
      <c r="DJ59" s="242"/>
      <c r="DK59" s="242"/>
      <c r="DL59" s="242"/>
      <c r="DM59" s="242"/>
      <c r="DN59" s="242"/>
      <c r="DO59" s="242"/>
      <c r="DP59" s="242"/>
      <c r="DQ59" s="242"/>
      <c r="DR59" s="242"/>
      <c r="DS59" s="242"/>
      <c r="DT59" s="242"/>
      <c r="DU59" s="242"/>
      <c r="DV59" s="242"/>
      <c r="DW59" s="242"/>
      <c r="DX59" s="242"/>
      <c r="DY59" s="242"/>
      <c r="DZ59" s="242"/>
      <c r="EA59" s="242"/>
      <c r="EB59" s="242"/>
      <c r="EC59" s="242"/>
      <c r="ED59" s="242"/>
      <c r="EE59" s="242"/>
      <c r="EF59" s="242"/>
      <c r="EG59" s="242"/>
      <c r="EH59" s="242"/>
      <c r="EI59" s="242"/>
      <c r="EJ59" s="242"/>
      <c r="EK59" s="242"/>
      <c r="EL59" s="242"/>
      <c r="EM59" s="242"/>
      <c r="EN59" s="242"/>
      <c r="EO59" s="242"/>
      <c r="EP59" s="242"/>
      <c r="EQ59" s="242"/>
      <c r="ER59" s="242"/>
      <c r="ES59" s="242"/>
      <c r="ET59" s="242"/>
      <c r="EU59" s="242"/>
      <c r="EV59" s="242"/>
      <c r="EW59" s="242"/>
      <c r="EX59" s="242"/>
      <c r="EY59" s="242"/>
      <c r="EZ59" s="242"/>
      <c r="FA59" s="242"/>
      <c r="FB59" s="242"/>
      <c r="FC59" s="242"/>
      <c r="FD59" s="242"/>
      <c r="FE59" s="242"/>
      <c r="FF59" s="242"/>
      <c r="FG59" s="242"/>
      <c r="FH59" s="242"/>
      <c r="FI59" s="242"/>
      <c r="FJ59" s="242"/>
      <c r="FK59" s="242"/>
      <c r="FL59" s="242"/>
      <c r="FM59" s="242"/>
      <c r="FN59" s="242"/>
      <c r="FO59" s="242"/>
      <c r="FP59" s="242"/>
      <c r="FQ59" s="243"/>
      <c r="FR59" s="243"/>
      <c r="FS59" s="242"/>
      <c r="FT59" s="242"/>
      <c r="FU59" s="242"/>
      <c r="FV59" s="242"/>
      <c r="FW59" s="242"/>
      <c r="FX59" s="242"/>
      <c r="FY59" s="242"/>
      <c r="FZ59" s="242"/>
      <c r="GA59" s="242"/>
      <c r="GB59" s="242"/>
      <c r="GC59" s="242"/>
      <c r="GD59" s="242"/>
      <c r="GE59" s="242"/>
      <c r="GF59" s="242"/>
      <c r="GG59" s="242"/>
      <c r="GH59" s="242">
        <v>1</v>
      </c>
      <c r="GI59" s="242">
        <v>1</v>
      </c>
      <c r="GJ59" s="242">
        <v>1</v>
      </c>
      <c r="GK59" s="242">
        <v>1</v>
      </c>
      <c r="GL59" s="242">
        <v>1</v>
      </c>
      <c r="GM59" s="242">
        <v>1</v>
      </c>
      <c r="GN59" s="242">
        <v>1</v>
      </c>
      <c r="GO59" s="242">
        <v>1</v>
      </c>
      <c r="GP59" s="242">
        <v>2</v>
      </c>
      <c r="GQ59" s="242">
        <v>2</v>
      </c>
      <c r="GR59" s="242">
        <v>2</v>
      </c>
      <c r="GS59" s="242">
        <v>2</v>
      </c>
      <c r="GT59" s="242">
        <f>+GN59+1</f>
        <v>2</v>
      </c>
      <c r="GU59" s="242">
        <f t="shared" si="104"/>
        <v>2</v>
      </c>
      <c r="GV59" s="242">
        <v>2</v>
      </c>
      <c r="GW59" s="243"/>
      <c r="GX59" s="242">
        <v>2</v>
      </c>
      <c r="GY59" s="242">
        <f t="shared" ref="GY59:HE59" si="114">+GP59+1</f>
        <v>3</v>
      </c>
      <c r="GZ59" s="242">
        <f t="shared" si="114"/>
        <v>3</v>
      </c>
      <c r="HA59" s="242">
        <f t="shared" si="114"/>
        <v>3</v>
      </c>
      <c r="HB59" s="242">
        <f t="shared" si="114"/>
        <v>3</v>
      </c>
      <c r="HC59" s="242">
        <f t="shared" si="114"/>
        <v>3</v>
      </c>
      <c r="HD59" s="242">
        <f t="shared" si="114"/>
        <v>3</v>
      </c>
      <c r="HE59" s="242">
        <f t="shared" si="114"/>
        <v>3</v>
      </c>
      <c r="HF59" s="242">
        <f t="shared" ref="HF59:HU61" si="115">+GX59+1</f>
        <v>3</v>
      </c>
      <c r="HG59" s="242">
        <f t="shared" si="115"/>
        <v>4</v>
      </c>
      <c r="HH59" s="242">
        <f t="shared" si="115"/>
        <v>4</v>
      </c>
      <c r="HI59" s="242">
        <f t="shared" si="115"/>
        <v>4</v>
      </c>
      <c r="HJ59" s="242">
        <f t="shared" si="115"/>
        <v>4</v>
      </c>
      <c r="HK59" s="242">
        <f t="shared" si="115"/>
        <v>4</v>
      </c>
      <c r="HL59" s="242">
        <f t="shared" si="115"/>
        <v>4</v>
      </c>
      <c r="HM59" s="242">
        <f t="shared" si="115"/>
        <v>4</v>
      </c>
      <c r="HN59" s="242">
        <f t="shared" si="115"/>
        <v>4</v>
      </c>
      <c r="HO59" s="242">
        <f t="shared" si="115"/>
        <v>5</v>
      </c>
      <c r="HP59" s="242">
        <f t="shared" si="115"/>
        <v>5</v>
      </c>
      <c r="HQ59" s="242">
        <f t="shared" si="115"/>
        <v>5</v>
      </c>
      <c r="HR59" s="242">
        <f t="shared" si="115"/>
        <v>5</v>
      </c>
      <c r="HS59" s="242">
        <f t="shared" si="115"/>
        <v>5</v>
      </c>
      <c r="HT59" s="242">
        <f t="shared" si="115"/>
        <v>5</v>
      </c>
      <c r="HU59" s="242">
        <f t="shared" si="115"/>
        <v>5</v>
      </c>
      <c r="HV59" s="242">
        <f t="shared" ref="HV59:IK61" si="116">+HN59+1</f>
        <v>5</v>
      </c>
      <c r="HW59" s="242">
        <f t="shared" si="116"/>
        <v>6</v>
      </c>
      <c r="HX59" s="242">
        <f t="shared" si="116"/>
        <v>6</v>
      </c>
      <c r="HY59" s="242">
        <f t="shared" si="116"/>
        <v>6</v>
      </c>
      <c r="HZ59" s="242">
        <f t="shared" si="116"/>
        <v>6</v>
      </c>
      <c r="IA59" s="242">
        <f t="shared" si="116"/>
        <v>6</v>
      </c>
      <c r="IB59" s="242">
        <f t="shared" si="116"/>
        <v>6</v>
      </c>
      <c r="IC59" s="242">
        <f t="shared" si="116"/>
        <v>6</v>
      </c>
      <c r="ID59" s="242">
        <f t="shared" si="116"/>
        <v>6</v>
      </c>
      <c r="IE59" s="242">
        <f t="shared" si="116"/>
        <v>7</v>
      </c>
      <c r="IF59" s="242">
        <f t="shared" si="116"/>
        <v>7</v>
      </c>
      <c r="IG59" s="242">
        <f t="shared" si="116"/>
        <v>7</v>
      </c>
      <c r="IH59" s="242">
        <f t="shared" si="116"/>
        <v>7</v>
      </c>
      <c r="II59" s="242">
        <f t="shared" si="116"/>
        <v>7</v>
      </c>
      <c r="IJ59" s="242">
        <f t="shared" si="116"/>
        <v>7</v>
      </c>
      <c r="IK59" s="242">
        <f t="shared" si="116"/>
        <v>7</v>
      </c>
      <c r="IL59" s="242">
        <f t="shared" ref="IJ59:IU61" si="117">+ID59+1</f>
        <v>7</v>
      </c>
      <c r="IM59" s="242">
        <f t="shared" si="117"/>
        <v>8</v>
      </c>
      <c r="IN59" s="242">
        <f t="shared" si="117"/>
        <v>8</v>
      </c>
      <c r="IO59" s="242">
        <f t="shared" si="117"/>
        <v>8</v>
      </c>
      <c r="IP59" s="242">
        <f t="shared" si="117"/>
        <v>8</v>
      </c>
      <c r="IQ59" s="242">
        <f t="shared" si="117"/>
        <v>8</v>
      </c>
      <c r="IR59" s="242">
        <f t="shared" si="117"/>
        <v>8</v>
      </c>
      <c r="IS59" s="242">
        <f t="shared" si="117"/>
        <v>8</v>
      </c>
      <c r="IT59" s="242">
        <f t="shared" si="117"/>
        <v>8</v>
      </c>
      <c r="IU59" s="242">
        <f t="shared" si="117"/>
        <v>9</v>
      </c>
      <c r="IV59" s="243"/>
      <c r="IW59" s="242">
        <f t="shared" ref="IW59:JD61" si="118">+IN59+1</f>
        <v>9</v>
      </c>
      <c r="IX59" s="242">
        <f t="shared" si="118"/>
        <v>9</v>
      </c>
      <c r="IY59" s="242">
        <f t="shared" si="118"/>
        <v>9</v>
      </c>
      <c r="IZ59" s="242">
        <f t="shared" si="118"/>
        <v>9</v>
      </c>
      <c r="JA59" s="242">
        <f t="shared" si="118"/>
        <v>9</v>
      </c>
      <c r="JB59" s="242">
        <f t="shared" si="118"/>
        <v>9</v>
      </c>
      <c r="JC59" s="242">
        <f t="shared" si="118"/>
        <v>9</v>
      </c>
      <c r="JD59" s="242">
        <f t="shared" si="118"/>
        <v>10</v>
      </c>
      <c r="JE59" s="242">
        <f t="shared" ref="JE59:JO61" si="119">+IW59+1</f>
        <v>10</v>
      </c>
      <c r="JF59" s="242">
        <f t="shared" si="119"/>
        <v>10</v>
      </c>
      <c r="JG59" s="242">
        <f t="shared" si="119"/>
        <v>10</v>
      </c>
      <c r="JH59" s="242">
        <f t="shared" si="119"/>
        <v>10</v>
      </c>
      <c r="JI59" s="242">
        <f t="shared" si="119"/>
        <v>10</v>
      </c>
      <c r="JJ59" s="242">
        <f t="shared" si="119"/>
        <v>10</v>
      </c>
      <c r="JK59" s="242">
        <f t="shared" si="119"/>
        <v>10</v>
      </c>
      <c r="JL59" s="242">
        <f t="shared" si="119"/>
        <v>11</v>
      </c>
      <c r="JM59" s="242">
        <f t="shared" si="119"/>
        <v>11</v>
      </c>
      <c r="JN59" s="242">
        <f t="shared" si="119"/>
        <v>11</v>
      </c>
      <c r="JO59" s="242">
        <f t="shared" si="119"/>
        <v>11</v>
      </c>
      <c r="JP59" s="243"/>
      <c r="JQ59" s="242">
        <f t="shared" ref="JQ59:JS61" si="120">+JH59+1</f>
        <v>11</v>
      </c>
      <c r="JR59" s="242">
        <f t="shared" si="120"/>
        <v>11</v>
      </c>
      <c r="JS59" s="242">
        <f t="shared" si="120"/>
        <v>11</v>
      </c>
      <c r="JT59" s="243"/>
      <c r="JU59" s="243"/>
      <c r="JV59" s="242">
        <f t="shared" ref="JV59:JZ61" si="121">+JK59+1</f>
        <v>11</v>
      </c>
      <c r="JW59" s="242">
        <f t="shared" si="121"/>
        <v>12</v>
      </c>
      <c r="JX59" s="242">
        <f t="shared" si="121"/>
        <v>12</v>
      </c>
      <c r="JY59" s="242">
        <f t="shared" si="121"/>
        <v>12</v>
      </c>
      <c r="JZ59" s="242">
        <f t="shared" si="121"/>
        <v>12</v>
      </c>
      <c r="KA59" s="242">
        <f>+JQ59+1</f>
        <v>12</v>
      </c>
      <c r="KB59" s="243"/>
      <c r="KC59" s="242">
        <f t="shared" ref="KC59:KD61" si="122">+JR59+1</f>
        <v>12</v>
      </c>
      <c r="KD59" s="242">
        <f t="shared" si="122"/>
        <v>12</v>
      </c>
      <c r="KE59" s="242">
        <f t="shared" ref="KE59:KJ61" si="123">+JV59+1</f>
        <v>12</v>
      </c>
      <c r="KF59" s="242">
        <f t="shared" si="123"/>
        <v>13</v>
      </c>
      <c r="KG59" s="242">
        <f t="shared" si="123"/>
        <v>13</v>
      </c>
      <c r="KH59" s="242">
        <f t="shared" si="123"/>
        <v>13</v>
      </c>
      <c r="KI59" s="242">
        <f t="shared" si="123"/>
        <v>13</v>
      </c>
      <c r="KJ59" s="242">
        <f t="shared" si="123"/>
        <v>13</v>
      </c>
      <c r="KK59" s="242">
        <f t="shared" ref="KK59:KU74" si="124">+KC59+1</f>
        <v>13</v>
      </c>
      <c r="KL59" s="242">
        <f t="shared" si="124"/>
        <v>13</v>
      </c>
      <c r="KM59" s="242">
        <f t="shared" si="124"/>
        <v>13</v>
      </c>
      <c r="KN59" s="242">
        <f t="shared" si="124"/>
        <v>14</v>
      </c>
      <c r="KO59" s="242">
        <f t="shared" si="124"/>
        <v>14</v>
      </c>
      <c r="KP59" s="242">
        <f t="shared" si="124"/>
        <v>14</v>
      </c>
      <c r="KQ59" s="242">
        <f t="shared" si="124"/>
        <v>14</v>
      </c>
      <c r="KR59" s="242">
        <f t="shared" si="124"/>
        <v>14</v>
      </c>
      <c r="KS59" s="242">
        <f t="shared" si="124"/>
        <v>14</v>
      </c>
      <c r="KT59" s="242">
        <f t="shared" si="124"/>
        <v>14</v>
      </c>
      <c r="KU59" s="242">
        <f t="shared" si="124"/>
        <v>14</v>
      </c>
      <c r="KV59" s="243"/>
      <c r="KW59" s="242">
        <f t="shared" ref="KW59:LD61" si="125">+KN59+1</f>
        <v>15</v>
      </c>
      <c r="KX59" s="242">
        <f t="shared" si="125"/>
        <v>15</v>
      </c>
      <c r="KY59" s="242">
        <f t="shared" si="125"/>
        <v>15</v>
      </c>
      <c r="KZ59" s="242">
        <f t="shared" si="125"/>
        <v>15</v>
      </c>
      <c r="LA59" s="242">
        <f t="shared" si="125"/>
        <v>15</v>
      </c>
      <c r="LB59" s="242">
        <f t="shared" si="125"/>
        <v>15</v>
      </c>
      <c r="LC59" s="242">
        <f t="shared" si="125"/>
        <v>15</v>
      </c>
      <c r="LD59" s="242">
        <f t="shared" si="125"/>
        <v>15</v>
      </c>
      <c r="LE59" s="242">
        <f t="shared" ref="LE59:LT77" si="126">+KW59+1</f>
        <v>16</v>
      </c>
      <c r="LF59" s="242">
        <f t="shared" si="126"/>
        <v>16</v>
      </c>
      <c r="LG59" s="242">
        <f t="shared" si="126"/>
        <v>16</v>
      </c>
      <c r="LH59" s="242">
        <f t="shared" si="126"/>
        <v>16</v>
      </c>
      <c r="LI59" s="242">
        <f t="shared" si="126"/>
        <v>16</v>
      </c>
      <c r="LJ59" s="242">
        <f t="shared" si="126"/>
        <v>16</v>
      </c>
      <c r="LK59" s="242">
        <f t="shared" si="126"/>
        <v>16</v>
      </c>
      <c r="LL59" s="242">
        <f t="shared" si="126"/>
        <v>16</v>
      </c>
      <c r="LM59" s="242">
        <f t="shared" si="126"/>
        <v>17</v>
      </c>
      <c r="LN59" s="242">
        <f t="shared" si="126"/>
        <v>17</v>
      </c>
      <c r="LO59" s="242">
        <f t="shared" si="126"/>
        <v>17</v>
      </c>
      <c r="LP59" s="242">
        <f t="shared" si="126"/>
        <v>17</v>
      </c>
      <c r="LQ59" s="242">
        <f t="shared" si="126"/>
        <v>17</v>
      </c>
      <c r="LR59" s="242">
        <f t="shared" si="126"/>
        <v>17</v>
      </c>
      <c r="LS59" s="242">
        <f t="shared" si="126"/>
        <v>17</v>
      </c>
      <c r="LT59" s="242">
        <f t="shared" si="126"/>
        <v>17</v>
      </c>
      <c r="LU59" s="242">
        <f t="shared" ref="LU59:MB74" si="127">+LM59+1</f>
        <v>18</v>
      </c>
      <c r="LV59" s="242">
        <f t="shared" si="127"/>
        <v>18</v>
      </c>
      <c r="LW59" s="242">
        <f t="shared" si="127"/>
        <v>18</v>
      </c>
      <c r="LX59" s="242">
        <f t="shared" si="127"/>
        <v>18</v>
      </c>
      <c r="LY59" s="242"/>
      <c r="LZ59" s="242"/>
      <c r="MA59" s="242"/>
      <c r="MB59" s="242"/>
      <c r="MC59" s="242"/>
      <c r="MD59" s="243"/>
      <c r="ME59" s="242"/>
      <c r="MF59" s="242"/>
      <c r="MG59" s="242"/>
      <c r="MH59" s="242"/>
      <c r="MI59" s="242"/>
      <c r="MJ59" s="242"/>
      <c r="MK59" s="242"/>
      <c r="ML59" s="242"/>
      <c r="MM59" s="242"/>
      <c r="MN59" s="242"/>
      <c r="MO59" s="242"/>
      <c r="MP59" s="242"/>
      <c r="MQ59" s="242"/>
      <c r="MR59" s="242"/>
      <c r="MS59" s="242"/>
      <c r="MT59" s="242"/>
      <c r="MU59" s="242"/>
      <c r="MV59" s="242"/>
      <c r="MW59" s="242"/>
      <c r="MX59" s="243"/>
      <c r="MY59" s="242"/>
      <c r="MZ59" s="242"/>
      <c r="NA59" s="242"/>
      <c r="NB59" s="242"/>
      <c r="NC59" s="242"/>
      <c r="ND59" s="242"/>
      <c r="NE59" s="242"/>
      <c r="NF59" s="242"/>
      <c r="NG59" s="242"/>
      <c r="NH59" s="242"/>
      <c r="NI59" s="242"/>
      <c r="NJ59" s="242"/>
      <c r="NK59" s="242"/>
      <c r="NL59" s="242"/>
      <c r="NM59" s="242"/>
      <c r="NN59" s="242"/>
      <c r="NO59" s="242"/>
      <c r="NP59" s="242"/>
      <c r="NQ59" s="242"/>
      <c r="NR59" s="242"/>
      <c r="NS59" s="242"/>
      <c r="NT59" s="242"/>
      <c r="NU59" s="242"/>
      <c r="NV59" s="242"/>
      <c r="NW59" s="242"/>
      <c r="NX59" s="242"/>
      <c r="NY59" s="242"/>
      <c r="NZ59" s="242"/>
      <c r="OA59" s="242"/>
      <c r="OB59" s="242"/>
      <c r="OC59" s="242"/>
      <c r="OD59" s="243"/>
      <c r="OE59" s="243"/>
      <c r="OF59" s="242"/>
      <c r="OG59" s="242"/>
      <c r="OH59" s="242"/>
      <c r="OI59" s="242"/>
      <c r="OJ59" s="242"/>
      <c r="OK59" s="242"/>
      <c r="OL59" s="242"/>
      <c r="OM59" s="242"/>
      <c r="ON59" s="242"/>
      <c r="OO59" s="242"/>
      <c r="OP59" s="242"/>
      <c r="OQ59" s="242"/>
      <c r="OR59" s="242"/>
      <c r="OS59" s="243"/>
      <c r="OT59" s="242"/>
      <c r="OU59" s="242"/>
      <c r="OV59" s="242"/>
      <c r="OW59" s="242"/>
      <c r="OX59" s="242"/>
      <c r="OY59" s="243"/>
      <c r="OZ59" s="242"/>
      <c r="PA59" s="242"/>
      <c r="PB59" s="242"/>
      <c r="PC59" s="242"/>
      <c r="PD59" s="242"/>
      <c r="PE59" s="242"/>
      <c r="PF59" s="242"/>
      <c r="PG59" s="242"/>
      <c r="PH59" s="242"/>
      <c r="PI59" s="242"/>
      <c r="PJ59" s="242"/>
      <c r="PK59" s="242"/>
      <c r="PL59" s="242"/>
      <c r="PM59" s="242"/>
      <c r="PN59" s="242"/>
      <c r="PO59" s="242"/>
      <c r="PP59" s="242"/>
      <c r="PQ59" s="242"/>
      <c r="PR59" s="242"/>
      <c r="PS59" s="242"/>
      <c r="PT59" s="242"/>
      <c r="PU59" s="242"/>
      <c r="PV59" s="242"/>
      <c r="PW59" s="242"/>
      <c r="PX59" s="242"/>
      <c r="PY59" s="242"/>
      <c r="PZ59" s="242"/>
      <c r="QA59" s="242"/>
      <c r="QB59" s="242"/>
      <c r="QC59" s="242"/>
      <c r="QD59" s="242"/>
      <c r="QE59" s="242"/>
      <c r="QF59" s="242"/>
      <c r="QG59" s="242"/>
      <c r="QH59" s="242"/>
      <c r="QI59" s="244"/>
    </row>
    <row r="60" spans="1:451" ht="18" customHeight="1" x14ac:dyDescent="0.2">
      <c r="A60" s="239" t="s">
        <v>451</v>
      </c>
      <c r="B60" s="245"/>
      <c r="C60" s="242"/>
      <c r="D60" s="242"/>
      <c r="E60" s="242"/>
      <c r="F60" s="242"/>
      <c r="G60" s="242"/>
      <c r="H60" s="242"/>
      <c r="I60" s="242"/>
      <c r="J60" s="242"/>
      <c r="K60" s="242"/>
      <c r="L60" s="242"/>
      <c r="M60" s="242"/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42"/>
      <c r="Y60" s="242"/>
      <c r="Z60" s="242"/>
      <c r="AA60" s="242"/>
      <c r="AB60" s="242"/>
      <c r="AC60" s="243"/>
      <c r="AD60" s="242"/>
      <c r="AE60" s="242"/>
      <c r="AF60" s="242"/>
      <c r="AG60" s="242"/>
      <c r="AH60" s="242"/>
      <c r="AI60" s="242"/>
      <c r="AJ60" s="242"/>
      <c r="AK60" s="242"/>
      <c r="AL60" s="242"/>
      <c r="AM60" s="242"/>
      <c r="AN60" s="242"/>
      <c r="AO60" s="242"/>
      <c r="AP60" s="242"/>
      <c r="AQ60" s="242"/>
      <c r="AR60" s="243"/>
      <c r="AS60" s="242"/>
      <c r="AT60" s="242"/>
      <c r="AU60" s="242"/>
      <c r="AV60" s="242"/>
      <c r="AW60" s="242"/>
      <c r="AX60" s="242"/>
      <c r="AY60" s="242"/>
      <c r="AZ60" s="242"/>
      <c r="BA60" s="242"/>
      <c r="BB60" s="242"/>
      <c r="BC60" s="242"/>
      <c r="BD60" s="242"/>
      <c r="BE60" s="242"/>
      <c r="BF60" s="242"/>
      <c r="BG60" s="242"/>
      <c r="BH60" s="242"/>
      <c r="BI60" s="242"/>
      <c r="BJ60" s="242"/>
      <c r="BK60" s="242"/>
      <c r="BL60" s="242"/>
      <c r="BM60" s="242"/>
      <c r="BN60" s="242"/>
      <c r="BO60" s="242"/>
      <c r="BP60" s="242"/>
      <c r="BQ60" s="242"/>
      <c r="BR60" s="242"/>
      <c r="BS60" s="242"/>
      <c r="BT60" s="242"/>
      <c r="BU60" s="242"/>
      <c r="BV60" s="242"/>
      <c r="BW60" s="242"/>
      <c r="BX60" s="242"/>
      <c r="BY60" s="242"/>
      <c r="BZ60" s="242"/>
      <c r="CA60" s="242"/>
      <c r="CB60" s="242"/>
      <c r="CC60" s="243"/>
      <c r="CD60" s="243"/>
      <c r="CE60" s="242"/>
      <c r="CF60" s="242"/>
      <c r="CG60" s="242"/>
      <c r="CH60" s="242"/>
      <c r="CI60" s="242"/>
      <c r="CJ60" s="242"/>
      <c r="CK60" s="242"/>
      <c r="CL60" s="242"/>
      <c r="CM60" s="242"/>
      <c r="CN60" s="242"/>
      <c r="CO60" s="242"/>
      <c r="CP60" s="242"/>
      <c r="CQ60" s="242"/>
      <c r="CR60" s="243"/>
      <c r="CS60" s="242"/>
      <c r="CT60" s="242"/>
      <c r="CU60" s="242"/>
      <c r="CV60" s="242"/>
      <c r="CW60" s="242"/>
      <c r="CX60" s="243"/>
      <c r="CY60" s="242"/>
      <c r="CZ60" s="242"/>
      <c r="DA60" s="242"/>
      <c r="DB60" s="242"/>
      <c r="DC60" s="242"/>
      <c r="DD60" s="242"/>
      <c r="DE60" s="242"/>
      <c r="DF60" s="242"/>
      <c r="DG60" s="242"/>
      <c r="DH60" s="242"/>
      <c r="DI60" s="242"/>
      <c r="DJ60" s="242"/>
      <c r="DK60" s="242"/>
      <c r="DL60" s="242"/>
      <c r="DM60" s="242"/>
      <c r="DN60" s="242"/>
      <c r="DO60" s="242"/>
      <c r="DP60" s="242"/>
      <c r="DQ60" s="242"/>
      <c r="DR60" s="242"/>
      <c r="DS60" s="242"/>
      <c r="DT60" s="242"/>
      <c r="DU60" s="242"/>
      <c r="DV60" s="242"/>
      <c r="DW60" s="242"/>
      <c r="DX60" s="242"/>
      <c r="DY60" s="242"/>
      <c r="DZ60" s="242"/>
      <c r="EA60" s="242"/>
      <c r="EB60" s="242"/>
      <c r="EC60" s="242"/>
      <c r="ED60" s="242"/>
      <c r="EE60" s="242"/>
      <c r="EF60" s="242"/>
      <c r="EG60" s="242"/>
      <c r="EH60" s="242"/>
      <c r="EI60" s="242"/>
      <c r="EJ60" s="242"/>
      <c r="EK60" s="242"/>
      <c r="EL60" s="242"/>
      <c r="EM60" s="242"/>
      <c r="EN60" s="242"/>
      <c r="EO60" s="242"/>
      <c r="EP60" s="242"/>
      <c r="EQ60" s="242"/>
      <c r="ER60" s="242"/>
      <c r="ES60" s="242"/>
      <c r="ET60" s="242"/>
      <c r="EU60" s="242"/>
      <c r="EV60" s="242"/>
      <c r="EW60" s="242"/>
      <c r="EX60" s="242"/>
      <c r="EY60" s="242"/>
      <c r="EZ60" s="242"/>
      <c r="FA60" s="242"/>
      <c r="FB60" s="242"/>
      <c r="FC60" s="242"/>
      <c r="FD60" s="242"/>
      <c r="FE60" s="242"/>
      <c r="FF60" s="242"/>
      <c r="FG60" s="242"/>
      <c r="FH60" s="242"/>
      <c r="FI60" s="242"/>
      <c r="FJ60" s="242"/>
      <c r="FK60" s="242"/>
      <c r="FL60" s="242"/>
      <c r="FM60" s="242"/>
      <c r="FN60" s="242"/>
      <c r="FO60" s="242"/>
      <c r="FP60" s="242"/>
      <c r="FQ60" s="243"/>
      <c r="FR60" s="243"/>
      <c r="FS60" s="242"/>
      <c r="FT60" s="242"/>
      <c r="FU60" s="242"/>
      <c r="FV60" s="242"/>
      <c r="FW60" s="242"/>
      <c r="FX60" s="242"/>
      <c r="FY60" s="242"/>
      <c r="FZ60" s="242"/>
      <c r="GA60" s="242"/>
      <c r="GB60" s="242"/>
      <c r="GC60" s="242"/>
      <c r="GD60" s="242"/>
      <c r="GE60" s="242"/>
      <c r="GF60" s="242"/>
      <c r="GG60" s="242"/>
      <c r="GH60" s="242"/>
      <c r="GI60" s="242"/>
      <c r="GJ60" s="242"/>
      <c r="GK60" s="242"/>
      <c r="GL60" s="242"/>
      <c r="GM60" s="242"/>
      <c r="GN60" s="242"/>
      <c r="GO60" s="242"/>
      <c r="GP60" s="242">
        <v>1</v>
      </c>
      <c r="GQ60" s="242">
        <v>1</v>
      </c>
      <c r="GR60" s="242">
        <v>1</v>
      </c>
      <c r="GS60" s="242">
        <v>1</v>
      </c>
      <c r="GT60" s="242">
        <v>1</v>
      </c>
      <c r="GU60" s="242">
        <v>1</v>
      </c>
      <c r="GV60" s="242">
        <v>1</v>
      </c>
      <c r="GW60" s="243"/>
      <c r="GX60" s="242">
        <v>1</v>
      </c>
      <c r="GY60" s="242">
        <v>2</v>
      </c>
      <c r="GZ60" s="242">
        <v>2</v>
      </c>
      <c r="HA60" s="242">
        <v>2</v>
      </c>
      <c r="HB60" s="242">
        <v>2</v>
      </c>
      <c r="HC60" s="242">
        <f>+GV60+1</f>
        <v>2</v>
      </c>
      <c r="HD60" s="242">
        <f t="shared" ref="HD60" si="128">+GX60+1</f>
        <v>2</v>
      </c>
      <c r="HE60" s="242">
        <v>2</v>
      </c>
      <c r="HF60" s="242">
        <v>2</v>
      </c>
      <c r="HG60" s="242">
        <f>+GY60+1</f>
        <v>3</v>
      </c>
      <c r="HH60" s="242">
        <f t="shared" si="115"/>
        <v>3</v>
      </c>
      <c r="HI60" s="242">
        <f t="shared" si="115"/>
        <v>3</v>
      </c>
      <c r="HJ60" s="242">
        <f t="shared" si="115"/>
        <v>3</v>
      </c>
      <c r="HK60" s="242">
        <f t="shared" si="115"/>
        <v>3</v>
      </c>
      <c r="HL60" s="242">
        <f t="shared" si="115"/>
        <v>3</v>
      </c>
      <c r="HM60" s="242">
        <f t="shared" si="115"/>
        <v>3</v>
      </c>
      <c r="HN60" s="242">
        <f t="shared" si="115"/>
        <v>3</v>
      </c>
      <c r="HO60" s="242">
        <f t="shared" si="115"/>
        <v>4</v>
      </c>
      <c r="HP60" s="242">
        <f t="shared" si="115"/>
        <v>4</v>
      </c>
      <c r="HQ60" s="242">
        <f t="shared" si="115"/>
        <v>4</v>
      </c>
      <c r="HR60" s="242">
        <f t="shared" si="115"/>
        <v>4</v>
      </c>
      <c r="HS60" s="242">
        <f t="shared" si="115"/>
        <v>4</v>
      </c>
      <c r="HT60" s="242">
        <f t="shared" si="115"/>
        <v>4</v>
      </c>
      <c r="HU60" s="242">
        <f t="shared" si="115"/>
        <v>4</v>
      </c>
      <c r="HV60" s="242">
        <f t="shared" si="116"/>
        <v>4</v>
      </c>
      <c r="HW60" s="242">
        <f t="shared" si="116"/>
        <v>5</v>
      </c>
      <c r="HX60" s="242">
        <f t="shared" si="116"/>
        <v>5</v>
      </c>
      <c r="HY60" s="242">
        <f t="shared" si="116"/>
        <v>5</v>
      </c>
      <c r="HZ60" s="242">
        <f t="shared" si="116"/>
        <v>5</v>
      </c>
      <c r="IA60" s="242">
        <f t="shared" si="116"/>
        <v>5</v>
      </c>
      <c r="IB60" s="242">
        <f t="shared" si="116"/>
        <v>5</v>
      </c>
      <c r="IC60" s="242">
        <f t="shared" si="116"/>
        <v>5</v>
      </c>
      <c r="ID60" s="242">
        <f t="shared" si="116"/>
        <v>5</v>
      </c>
      <c r="IE60" s="242">
        <f t="shared" si="116"/>
        <v>6</v>
      </c>
      <c r="IF60" s="242">
        <f t="shared" si="116"/>
        <v>6</v>
      </c>
      <c r="IG60" s="242">
        <f t="shared" si="116"/>
        <v>6</v>
      </c>
      <c r="IH60" s="242">
        <f t="shared" si="116"/>
        <v>6</v>
      </c>
      <c r="II60" s="242">
        <f t="shared" si="116"/>
        <v>6</v>
      </c>
      <c r="IJ60" s="242">
        <f t="shared" si="117"/>
        <v>6</v>
      </c>
      <c r="IK60" s="242">
        <f t="shared" si="117"/>
        <v>6</v>
      </c>
      <c r="IL60" s="242">
        <f t="shared" si="117"/>
        <v>6</v>
      </c>
      <c r="IM60" s="242">
        <f t="shared" si="117"/>
        <v>7</v>
      </c>
      <c r="IN60" s="242">
        <f t="shared" si="117"/>
        <v>7</v>
      </c>
      <c r="IO60" s="242">
        <f t="shared" si="117"/>
        <v>7</v>
      </c>
      <c r="IP60" s="242">
        <f t="shared" si="117"/>
        <v>7</v>
      </c>
      <c r="IQ60" s="242">
        <f t="shared" si="117"/>
        <v>7</v>
      </c>
      <c r="IR60" s="242">
        <f t="shared" si="117"/>
        <v>7</v>
      </c>
      <c r="IS60" s="242">
        <f t="shared" si="117"/>
        <v>7</v>
      </c>
      <c r="IT60" s="242">
        <f t="shared" si="117"/>
        <v>7</v>
      </c>
      <c r="IU60" s="242">
        <f t="shared" si="117"/>
        <v>8</v>
      </c>
      <c r="IV60" s="243"/>
      <c r="IW60" s="242">
        <f t="shared" si="118"/>
        <v>8</v>
      </c>
      <c r="IX60" s="242">
        <f t="shared" si="118"/>
        <v>8</v>
      </c>
      <c r="IY60" s="242">
        <f t="shared" si="118"/>
        <v>8</v>
      </c>
      <c r="IZ60" s="242">
        <f t="shared" si="118"/>
        <v>8</v>
      </c>
      <c r="JA60" s="242">
        <f t="shared" si="118"/>
        <v>8</v>
      </c>
      <c r="JB60" s="242">
        <f t="shared" si="118"/>
        <v>8</v>
      </c>
      <c r="JC60" s="242">
        <f t="shared" si="118"/>
        <v>8</v>
      </c>
      <c r="JD60" s="242">
        <f t="shared" si="118"/>
        <v>9</v>
      </c>
      <c r="JE60" s="242">
        <f t="shared" si="119"/>
        <v>9</v>
      </c>
      <c r="JF60" s="242">
        <f t="shared" si="119"/>
        <v>9</v>
      </c>
      <c r="JG60" s="242">
        <f t="shared" si="119"/>
        <v>9</v>
      </c>
      <c r="JH60" s="242">
        <f t="shared" si="119"/>
        <v>9</v>
      </c>
      <c r="JI60" s="242">
        <f t="shared" si="119"/>
        <v>9</v>
      </c>
      <c r="JJ60" s="242">
        <f t="shared" si="119"/>
        <v>9</v>
      </c>
      <c r="JK60" s="242">
        <f t="shared" si="119"/>
        <v>9</v>
      </c>
      <c r="JL60" s="242">
        <f t="shared" si="119"/>
        <v>10</v>
      </c>
      <c r="JM60" s="242">
        <f t="shared" si="119"/>
        <v>10</v>
      </c>
      <c r="JN60" s="242">
        <f t="shared" si="119"/>
        <v>10</v>
      </c>
      <c r="JO60" s="242">
        <f t="shared" si="119"/>
        <v>10</v>
      </c>
      <c r="JP60" s="243"/>
      <c r="JQ60" s="242">
        <f t="shared" si="120"/>
        <v>10</v>
      </c>
      <c r="JR60" s="242">
        <f t="shared" si="120"/>
        <v>10</v>
      </c>
      <c r="JS60" s="242">
        <f t="shared" si="120"/>
        <v>10</v>
      </c>
      <c r="JT60" s="243"/>
      <c r="JU60" s="243"/>
      <c r="JV60" s="242">
        <f t="shared" si="121"/>
        <v>10</v>
      </c>
      <c r="JW60" s="242">
        <f t="shared" si="121"/>
        <v>11</v>
      </c>
      <c r="JX60" s="242">
        <f t="shared" si="121"/>
        <v>11</v>
      </c>
      <c r="JY60" s="242">
        <f t="shared" si="121"/>
        <v>11</v>
      </c>
      <c r="JZ60" s="242">
        <f t="shared" si="121"/>
        <v>11</v>
      </c>
      <c r="KA60" s="242">
        <f>+JQ60+1</f>
        <v>11</v>
      </c>
      <c r="KB60" s="243"/>
      <c r="KC60" s="242">
        <f t="shared" si="122"/>
        <v>11</v>
      </c>
      <c r="KD60" s="242">
        <f t="shared" si="122"/>
        <v>11</v>
      </c>
      <c r="KE60" s="242">
        <f t="shared" si="123"/>
        <v>11</v>
      </c>
      <c r="KF60" s="242">
        <f t="shared" si="123"/>
        <v>12</v>
      </c>
      <c r="KG60" s="242">
        <f t="shared" si="123"/>
        <v>12</v>
      </c>
      <c r="KH60" s="242">
        <f t="shared" si="123"/>
        <v>12</v>
      </c>
      <c r="KI60" s="242">
        <f t="shared" si="123"/>
        <v>12</v>
      </c>
      <c r="KJ60" s="242">
        <f t="shared" si="123"/>
        <v>12</v>
      </c>
      <c r="KK60" s="242">
        <f t="shared" si="124"/>
        <v>12</v>
      </c>
      <c r="KL60" s="242">
        <f t="shared" si="124"/>
        <v>12</v>
      </c>
      <c r="KM60" s="242">
        <f t="shared" si="124"/>
        <v>12</v>
      </c>
      <c r="KN60" s="242">
        <f t="shared" si="124"/>
        <v>13</v>
      </c>
      <c r="KO60" s="242">
        <f t="shared" si="124"/>
        <v>13</v>
      </c>
      <c r="KP60" s="242">
        <f t="shared" si="124"/>
        <v>13</v>
      </c>
      <c r="KQ60" s="242">
        <f t="shared" si="124"/>
        <v>13</v>
      </c>
      <c r="KR60" s="242">
        <f t="shared" si="124"/>
        <v>13</v>
      </c>
      <c r="KS60" s="242">
        <f t="shared" si="124"/>
        <v>13</v>
      </c>
      <c r="KT60" s="242">
        <f t="shared" si="124"/>
        <v>13</v>
      </c>
      <c r="KU60" s="242">
        <f t="shared" si="124"/>
        <v>13</v>
      </c>
      <c r="KV60" s="243"/>
      <c r="KW60" s="242">
        <f t="shared" si="125"/>
        <v>14</v>
      </c>
      <c r="KX60" s="242">
        <f t="shared" si="125"/>
        <v>14</v>
      </c>
      <c r="KY60" s="242">
        <f t="shared" si="125"/>
        <v>14</v>
      </c>
      <c r="KZ60" s="242">
        <f t="shared" si="125"/>
        <v>14</v>
      </c>
      <c r="LA60" s="242">
        <f t="shared" si="125"/>
        <v>14</v>
      </c>
      <c r="LB60" s="242">
        <f t="shared" si="125"/>
        <v>14</v>
      </c>
      <c r="LC60" s="242">
        <f t="shared" si="125"/>
        <v>14</v>
      </c>
      <c r="LD60" s="242">
        <f t="shared" si="125"/>
        <v>14</v>
      </c>
      <c r="LE60" s="242">
        <f t="shared" si="126"/>
        <v>15</v>
      </c>
      <c r="LF60" s="242">
        <f t="shared" si="126"/>
        <v>15</v>
      </c>
      <c r="LG60" s="242">
        <f t="shared" si="126"/>
        <v>15</v>
      </c>
      <c r="LH60" s="242">
        <f>+KZ60+1</f>
        <v>15</v>
      </c>
      <c r="LI60" s="242">
        <f t="shared" si="126"/>
        <v>15</v>
      </c>
      <c r="LJ60" s="242">
        <f t="shared" si="126"/>
        <v>15</v>
      </c>
      <c r="LK60" s="242">
        <f t="shared" si="126"/>
        <v>15</v>
      </c>
      <c r="LL60" s="242">
        <f t="shared" si="126"/>
        <v>15</v>
      </c>
      <c r="LM60" s="242">
        <f t="shared" si="126"/>
        <v>16</v>
      </c>
      <c r="LN60" s="242">
        <f t="shared" si="126"/>
        <v>16</v>
      </c>
      <c r="LO60" s="242">
        <f t="shared" si="126"/>
        <v>16</v>
      </c>
      <c r="LP60" s="242">
        <f t="shared" si="126"/>
        <v>16</v>
      </c>
      <c r="LQ60" s="242">
        <f t="shared" si="126"/>
        <v>16</v>
      </c>
      <c r="LR60" s="242">
        <f t="shared" si="126"/>
        <v>16</v>
      </c>
      <c r="LS60" s="242">
        <f t="shared" si="126"/>
        <v>16</v>
      </c>
      <c r="LT60" s="242">
        <f t="shared" si="126"/>
        <v>16</v>
      </c>
      <c r="LU60" s="242">
        <f t="shared" si="127"/>
        <v>17</v>
      </c>
      <c r="LV60" s="242">
        <f t="shared" si="127"/>
        <v>17</v>
      </c>
      <c r="LW60" s="242">
        <f t="shared" si="127"/>
        <v>17</v>
      </c>
      <c r="LX60" s="242">
        <f t="shared" si="127"/>
        <v>17</v>
      </c>
      <c r="LY60" s="242">
        <f t="shared" si="127"/>
        <v>17</v>
      </c>
      <c r="LZ60" s="242">
        <f t="shared" si="127"/>
        <v>17</v>
      </c>
      <c r="MA60" s="242">
        <f>+LS60+1</f>
        <v>17</v>
      </c>
      <c r="MB60" s="242">
        <f t="shared" ref="MB60" si="129">+LT60+1</f>
        <v>17</v>
      </c>
      <c r="MC60" s="242">
        <f>+LU60+1</f>
        <v>18</v>
      </c>
      <c r="MD60" s="243"/>
      <c r="ME60" s="242">
        <f t="shared" ref="ME60:MG61" si="130">+LV60+1</f>
        <v>18</v>
      </c>
      <c r="MF60" s="242">
        <f t="shared" si="130"/>
        <v>18</v>
      </c>
      <c r="MG60" s="242">
        <f t="shared" si="130"/>
        <v>18</v>
      </c>
      <c r="MH60" s="242"/>
      <c r="MI60" s="242"/>
      <c r="MJ60" s="242"/>
      <c r="MK60" s="242"/>
      <c r="ML60" s="242"/>
      <c r="MM60" s="242"/>
      <c r="MN60" s="242"/>
      <c r="MO60" s="242"/>
      <c r="MP60" s="242"/>
      <c r="MQ60" s="242"/>
      <c r="MR60" s="242"/>
      <c r="MS60" s="242"/>
      <c r="MT60" s="242"/>
      <c r="MU60" s="242"/>
      <c r="MV60" s="242"/>
      <c r="MW60" s="242"/>
      <c r="MX60" s="243"/>
      <c r="MY60" s="242"/>
      <c r="MZ60" s="242"/>
      <c r="NA60" s="242"/>
      <c r="NB60" s="242"/>
      <c r="NC60" s="242"/>
      <c r="ND60" s="242"/>
      <c r="NE60" s="242"/>
      <c r="NF60" s="242"/>
      <c r="NG60" s="242"/>
      <c r="NH60" s="242"/>
      <c r="NI60" s="242"/>
      <c r="NJ60" s="242"/>
      <c r="NK60" s="242"/>
      <c r="NL60" s="242"/>
      <c r="NM60" s="242"/>
      <c r="NN60" s="242"/>
      <c r="NO60" s="242"/>
      <c r="NP60" s="242"/>
      <c r="NQ60" s="242"/>
      <c r="NR60" s="242"/>
      <c r="NS60" s="242"/>
      <c r="NT60" s="242"/>
      <c r="NU60" s="242"/>
      <c r="NV60" s="242"/>
      <c r="NW60" s="242"/>
      <c r="NX60" s="242"/>
      <c r="NY60" s="242"/>
      <c r="NZ60" s="242"/>
      <c r="OA60" s="242"/>
      <c r="OB60" s="242"/>
      <c r="OC60" s="242"/>
      <c r="OD60" s="243"/>
      <c r="OE60" s="243"/>
      <c r="OF60" s="242"/>
      <c r="OG60" s="242"/>
      <c r="OH60" s="242"/>
      <c r="OI60" s="242"/>
      <c r="OJ60" s="242"/>
      <c r="OK60" s="242"/>
      <c r="OL60" s="242"/>
      <c r="OM60" s="242"/>
      <c r="ON60" s="242"/>
      <c r="OO60" s="242"/>
      <c r="OP60" s="242"/>
      <c r="OQ60" s="242"/>
      <c r="OR60" s="242"/>
      <c r="OS60" s="243"/>
      <c r="OT60" s="242"/>
      <c r="OU60" s="242"/>
      <c r="OV60" s="242"/>
      <c r="OW60" s="242"/>
      <c r="OX60" s="242"/>
      <c r="OY60" s="243"/>
      <c r="OZ60" s="242"/>
      <c r="PA60" s="242"/>
      <c r="PB60" s="242"/>
      <c r="PC60" s="242"/>
      <c r="PD60" s="242"/>
      <c r="PE60" s="242"/>
      <c r="PF60" s="242"/>
      <c r="PG60" s="242"/>
      <c r="PH60" s="242"/>
      <c r="PI60" s="242"/>
      <c r="PJ60" s="242"/>
      <c r="PK60" s="242"/>
      <c r="PL60" s="242"/>
      <c r="PM60" s="242"/>
      <c r="PN60" s="242"/>
      <c r="PO60" s="242"/>
      <c r="PP60" s="242"/>
      <c r="PQ60" s="242"/>
      <c r="PR60" s="242"/>
      <c r="PS60" s="242"/>
      <c r="PT60" s="242"/>
      <c r="PU60" s="242"/>
      <c r="PV60" s="242"/>
      <c r="PW60" s="242"/>
      <c r="PX60" s="242"/>
      <c r="PY60" s="242"/>
      <c r="PZ60" s="242"/>
      <c r="QA60" s="242"/>
      <c r="QB60" s="242"/>
      <c r="QC60" s="242"/>
      <c r="QD60" s="242"/>
      <c r="QE60" s="242"/>
      <c r="QF60" s="242"/>
      <c r="QG60" s="242"/>
      <c r="QH60" s="242"/>
      <c r="QI60" s="244"/>
    </row>
    <row r="61" spans="1:451" ht="18" customHeight="1" x14ac:dyDescent="0.2">
      <c r="A61" s="239" t="s">
        <v>452</v>
      </c>
      <c r="B61" s="245"/>
      <c r="C61" s="242"/>
      <c r="D61" s="242"/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/>
      <c r="P61" s="242"/>
      <c r="Q61" s="242"/>
      <c r="R61" s="242"/>
      <c r="S61" s="242"/>
      <c r="T61" s="242"/>
      <c r="U61" s="242"/>
      <c r="V61" s="242"/>
      <c r="W61" s="242"/>
      <c r="X61" s="242"/>
      <c r="Y61" s="242"/>
      <c r="Z61" s="242"/>
      <c r="AA61" s="242"/>
      <c r="AB61" s="242"/>
      <c r="AC61" s="243"/>
      <c r="AD61" s="242"/>
      <c r="AE61" s="242"/>
      <c r="AF61" s="242"/>
      <c r="AG61" s="242"/>
      <c r="AH61" s="242"/>
      <c r="AI61" s="242"/>
      <c r="AJ61" s="242"/>
      <c r="AK61" s="242"/>
      <c r="AL61" s="242"/>
      <c r="AM61" s="242"/>
      <c r="AN61" s="242"/>
      <c r="AO61" s="242"/>
      <c r="AP61" s="242"/>
      <c r="AQ61" s="242"/>
      <c r="AR61" s="243"/>
      <c r="AS61" s="242"/>
      <c r="AT61" s="242"/>
      <c r="AU61" s="242"/>
      <c r="AV61" s="242"/>
      <c r="AW61" s="242"/>
      <c r="AX61" s="242"/>
      <c r="AY61" s="242"/>
      <c r="AZ61" s="242"/>
      <c r="BA61" s="242"/>
      <c r="BB61" s="242"/>
      <c r="BC61" s="242"/>
      <c r="BD61" s="242"/>
      <c r="BE61" s="242"/>
      <c r="BF61" s="242"/>
      <c r="BG61" s="242"/>
      <c r="BH61" s="242"/>
      <c r="BI61" s="242"/>
      <c r="BJ61" s="242"/>
      <c r="BK61" s="242"/>
      <c r="BL61" s="242"/>
      <c r="BM61" s="242"/>
      <c r="BN61" s="242"/>
      <c r="BO61" s="242"/>
      <c r="BP61" s="242"/>
      <c r="BQ61" s="242"/>
      <c r="BR61" s="242"/>
      <c r="BS61" s="242"/>
      <c r="BT61" s="242"/>
      <c r="BU61" s="242"/>
      <c r="BV61" s="242"/>
      <c r="BW61" s="242"/>
      <c r="BX61" s="242"/>
      <c r="BY61" s="242"/>
      <c r="BZ61" s="242"/>
      <c r="CA61" s="242"/>
      <c r="CB61" s="242"/>
      <c r="CC61" s="243"/>
      <c r="CD61" s="243"/>
      <c r="CE61" s="242"/>
      <c r="CF61" s="242"/>
      <c r="CG61" s="242"/>
      <c r="CH61" s="242"/>
      <c r="CI61" s="242"/>
      <c r="CJ61" s="242"/>
      <c r="CK61" s="242"/>
      <c r="CL61" s="242"/>
      <c r="CM61" s="242"/>
      <c r="CN61" s="242"/>
      <c r="CO61" s="242"/>
      <c r="CP61" s="242"/>
      <c r="CQ61" s="242"/>
      <c r="CR61" s="243"/>
      <c r="CS61" s="242"/>
      <c r="CT61" s="242"/>
      <c r="CU61" s="242"/>
      <c r="CV61" s="242"/>
      <c r="CW61" s="242"/>
      <c r="CX61" s="243"/>
      <c r="CY61" s="242"/>
      <c r="CZ61" s="242"/>
      <c r="DA61" s="242"/>
      <c r="DB61" s="242"/>
      <c r="DC61" s="242"/>
      <c r="DD61" s="242"/>
      <c r="DE61" s="242"/>
      <c r="DF61" s="242"/>
      <c r="DG61" s="242"/>
      <c r="DH61" s="242"/>
      <c r="DI61" s="242"/>
      <c r="DJ61" s="242"/>
      <c r="DK61" s="242"/>
      <c r="DL61" s="242"/>
      <c r="DM61" s="242"/>
      <c r="DN61" s="242"/>
      <c r="DO61" s="242"/>
      <c r="DP61" s="242"/>
      <c r="DQ61" s="242"/>
      <c r="DR61" s="242"/>
      <c r="DS61" s="242"/>
      <c r="DT61" s="242"/>
      <c r="DU61" s="242"/>
      <c r="DV61" s="242"/>
      <c r="DW61" s="242"/>
      <c r="DX61" s="242"/>
      <c r="DY61" s="242"/>
      <c r="DZ61" s="242"/>
      <c r="EA61" s="242"/>
      <c r="EB61" s="242"/>
      <c r="EC61" s="242"/>
      <c r="ED61" s="242"/>
      <c r="EE61" s="242"/>
      <c r="EF61" s="242"/>
      <c r="EG61" s="242"/>
      <c r="EH61" s="242"/>
      <c r="EI61" s="242"/>
      <c r="EJ61" s="242"/>
      <c r="EK61" s="242"/>
      <c r="EL61" s="242"/>
      <c r="EM61" s="242"/>
      <c r="EN61" s="242"/>
      <c r="EO61" s="242"/>
      <c r="EP61" s="242"/>
      <c r="EQ61" s="242"/>
      <c r="ER61" s="242"/>
      <c r="ES61" s="242"/>
      <c r="ET61" s="242"/>
      <c r="EU61" s="242"/>
      <c r="EV61" s="242"/>
      <c r="EW61" s="242"/>
      <c r="EX61" s="242"/>
      <c r="EY61" s="242"/>
      <c r="EZ61" s="242"/>
      <c r="FA61" s="242"/>
      <c r="FB61" s="242"/>
      <c r="FC61" s="242"/>
      <c r="FD61" s="242"/>
      <c r="FE61" s="242"/>
      <c r="FF61" s="242"/>
      <c r="FG61" s="242"/>
      <c r="FH61" s="242"/>
      <c r="FI61" s="242"/>
      <c r="FJ61" s="242"/>
      <c r="FK61" s="242"/>
      <c r="FL61" s="242"/>
      <c r="FM61" s="242"/>
      <c r="FN61" s="242"/>
      <c r="FO61" s="242"/>
      <c r="FP61" s="242"/>
      <c r="FQ61" s="243"/>
      <c r="FR61" s="243"/>
      <c r="FS61" s="242"/>
      <c r="FT61" s="242"/>
      <c r="FU61" s="242"/>
      <c r="FV61" s="242"/>
      <c r="FW61" s="242"/>
      <c r="FX61" s="242"/>
      <c r="FY61" s="242"/>
      <c r="FZ61" s="242"/>
      <c r="GA61" s="242"/>
      <c r="GB61" s="242"/>
      <c r="GC61" s="242"/>
      <c r="GD61" s="242"/>
      <c r="GE61" s="242"/>
      <c r="GF61" s="242"/>
      <c r="GG61" s="242"/>
      <c r="GH61" s="242"/>
      <c r="GI61" s="242"/>
      <c r="GJ61" s="242"/>
      <c r="GK61" s="242"/>
      <c r="GL61" s="242"/>
      <c r="GM61" s="242"/>
      <c r="GN61" s="242"/>
      <c r="GO61" s="242"/>
      <c r="GP61" s="242"/>
      <c r="GQ61" s="242"/>
      <c r="GR61" s="242"/>
      <c r="GS61" s="242"/>
      <c r="GT61" s="242"/>
      <c r="GU61" s="242"/>
      <c r="GV61" s="242"/>
      <c r="GW61" s="243"/>
      <c r="GX61" s="242"/>
      <c r="GY61" s="242">
        <v>1</v>
      </c>
      <c r="GZ61" s="242">
        <v>1</v>
      </c>
      <c r="HA61" s="242">
        <v>1</v>
      </c>
      <c r="HB61" s="242">
        <v>1</v>
      </c>
      <c r="HC61" s="242">
        <v>1</v>
      </c>
      <c r="HD61" s="242">
        <v>1</v>
      </c>
      <c r="HE61" s="242">
        <v>1</v>
      </c>
      <c r="HF61" s="242">
        <v>1</v>
      </c>
      <c r="HG61" s="242">
        <v>2</v>
      </c>
      <c r="HH61" s="242">
        <v>2</v>
      </c>
      <c r="HI61" s="242">
        <v>2</v>
      </c>
      <c r="HJ61" s="242">
        <v>2</v>
      </c>
      <c r="HK61" s="242">
        <f>+HE61+1</f>
        <v>2</v>
      </c>
      <c r="HL61" s="242">
        <f>+HF61+1</f>
        <v>2</v>
      </c>
      <c r="HM61" s="242">
        <v>2</v>
      </c>
      <c r="HN61" s="242">
        <v>2</v>
      </c>
      <c r="HO61" s="242">
        <f>+HG61+1</f>
        <v>3</v>
      </c>
      <c r="HP61" s="242">
        <f>+HH61+1</f>
        <v>3</v>
      </c>
      <c r="HQ61" s="242">
        <f>+HI61+1</f>
        <v>3</v>
      </c>
      <c r="HR61" s="242">
        <f>+HJ61+1</f>
        <v>3</v>
      </c>
      <c r="HS61" s="242">
        <f>+HK61+1</f>
        <v>3</v>
      </c>
      <c r="HT61" s="242">
        <f t="shared" si="115"/>
        <v>3</v>
      </c>
      <c r="HU61" s="242">
        <f t="shared" si="115"/>
        <v>3</v>
      </c>
      <c r="HV61" s="242">
        <f t="shared" si="116"/>
        <v>3</v>
      </c>
      <c r="HW61" s="242">
        <f t="shared" si="116"/>
        <v>4</v>
      </c>
      <c r="HX61" s="242">
        <f t="shared" si="116"/>
        <v>4</v>
      </c>
      <c r="HY61" s="242">
        <f t="shared" si="116"/>
        <v>4</v>
      </c>
      <c r="HZ61" s="242">
        <f t="shared" si="116"/>
        <v>4</v>
      </c>
      <c r="IA61" s="242">
        <f t="shared" si="116"/>
        <v>4</v>
      </c>
      <c r="IB61" s="242">
        <f t="shared" si="116"/>
        <v>4</v>
      </c>
      <c r="IC61" s="242">
        <f t="shared" si="116"/>
        <v>4</v>
      </c>
      <c r="ID61" s="242">
        <f t="shared" si="116"/>
        <v>4</v>
      </c>
      <c r="IE61" s="242">
        <f t="shared" si="116"/>
        <v>5</v>
      </c>
      <c r="IF61" s="242">
        <f t="shared" si="116"/>
        <v>5</v>
      </c>
      <c r="IG61" s="242">
        <f t="shared" si="116"/>
        <v>5</v>
      </c>
      <c r="IH61" s="242">
        <f t="shared" si="116"/>
        <v>5</v>
      </c>
      <c r="II61" s="242">
        <f t="shared" si="116"/>
        <v>5</v>
      </c>
      <c r="IJ61" s="242">
        <f t="shared" si="117"/>
        <v>5</v>
      </c>
      <c r="IK61" s="242">
        <f t="shared" si="117"/>
        <v>5</v>
      </c>
      <c r="IL61" s="242">
        <f t="shared" si="117"/>
        <v>5</v>
      </c>
      <c r="IM61" s="242">
        <f t="shared" si="117"/>
        <v>6</v>
      </c>
      <c r="IN61" s="242">
        <f t="shared" si="117"/>
        <v>6</v>
      </c>
      <c r="IO61" s="242">
        <f t="shared" si="117"/>
        <v>6</v>
      </c>
      <c r="IP61" s="242">
        <f t="shared" si="117"/>
        <v>6</v>
      </c>
      <c r="IQ61" s="242">
        <f t="shared" si="117"/>
        <v>6</v>
      </c>
      <c r="IR61" s="242">
        <f t="shared" si="117"/>
        <v>6</v>
      </c>
      <c r="IS61" s="242">
        <f t="shared" si="117"/>
        <v>6</v>
      </c>
      <c r="IT61" s="242">
        <f t="shared" si="117"/>
        <v>6</v>
      </c>
      <c r="IU61" s="242">
        <f t="shared" si="117"/>
        <v>7</v>
      </c>
      <c r="IV61" s="243"/>
      <c r="IW61" s="242">
        <f t="shared" si="118"/>
        <v>7</v>
      </c>
      <c r="IX61" s="242">
        <f t="shared" si="118"/>
        <v>7</v>
      </c>
      <c r="IY61" s="242">
        <f t="shared" si="118"/>
        <v>7</v>
      </c>
      <c r="IZ61" s="242">
        <f t="shared" si="118"/>
        <v>7</v>
      </c>
      <c r="JA61" s="242">
        <f t="shared" si="118"/>
        <v>7</v>
      </c>
      <c r="JB61" s="242">
        <f t="shared" si="118"/>
        <v>7</v>
      </c>
      <c r="JC61" s="242">
        <f t="shared" si="118"/>
        <v>7</v>
      </c>
      <c r="JD61" s="242">
        <f t="shared" si="118"/>
        <v>8</v>
      </c>
      <c r="JE61" s="242">
        <f t="shared" si="119"/>
        <v>8</v>
      </c>
      <c r="JF61" s="242">
        <f t="shared" si="119"/>
        <v>8</v>
      </c>
      <c r="JG61" s="242">
        <f t="shared" si="119"/>
        <v>8</v>
      </c>
      <c r="JH61" s="242">
        <f t="shared" si="119"/>
        <v>8</v>
      </c>
      <c r="JI61" s="242">
        <f t="shared" si="119"/>
        <v>8</v>
      </c>
      <c r="JJ61" s="242">
        <f t="shared" si="119"/>
        <v>8</v>
      </c>
      <c r="JK61" s="242">
        <f t="shared" si="119"/>
        <v>8</v>
      </c>
      <c r="JL61" s="242">
        <f t="shared" si="119"/>
        <v>9</v>
      </c>
      <c r="JM61" s="242">
        <f t="shared" si="119"/>
        <v>9</v>
      </c>
      <c r="JN61" s="242">
        <f t="shared" si="119"/>
        <v>9</v>
      </c>
      <c r="JO61" s="242">
        <f t="shared" si="119"/>
        <v>9</v>
      </c>
      <c r="JP61" s="243"/>
      <c r="JQ61" s="242">
        <f t="shared" si="120"/>
        <v>9</v>
      </c>
      <c r="JR61" s="242">
        <f t="shared" si="120"/>
        <v>9</v>
      </c>
      <c r="JS61" s="242">
        <f t="shared" si="120"/>
        <v>9</v>
      </c>
      <c r="JT61" s="243"/>
      <c r="JU61" s="243"/>
      <c r="JV61" s="242">
        <f t="shared" si="121"/>
        <v>9</v>
      </c>
      <c r="JW61" s="242">
        <f t="shared" si="121"/>
        <v>10</v>
      </c>
      <c r="JX61" s="242">
        <f t="shared" si="121"/>
        <v>10</v>
      </c>
      <c r="JY61" s="242">
        <f t="shared" si="121"/>
        <v>10</v>
      </c>
      <c r="JZ61" s="242">
        <f t="shared" si="121"/>
        <v>10</v>
      </c>
      <c r="KA61" s="242">
        <f>+JQ61+1</f>
        <v>10</v>
      </c>
      <c r="KB61" s="243"/>
      <c r="KC61" s="242">
        <f t="shared" si="122"/>
        <v>10</v>
      </c>
      <c r="KD61" s="242">
        <f t="shared" si="122"/>
        <v>10</v>
      </c>
      <c r="KE61" s="242">
        <f t="shared" si="123"/>
        <v>10</v>
      </c>
      <c r="KF61" s="242">
        <f t="shared" si="123"/>
        <v>11</v>
      </c>
      <c r="KG61" s="242">
        <f t="shared" si="123"/>
        <v>11</v>
      </c>
      <c r="KH61" s="242">
        <f t="shared" si="123"/>
        <v>11</v>
      </c>
      <c r="KI61" s="242">
        <f t="shared" si="123"/>
        <v>11</v>
      </c>
      <c r="KJ61" s="242">
        <f t="shared" si="123"/>
        <v>11</v>
      </c>
      <c r="KK61" s="242">
        <f t="shared" si="124"/>
        <v>11</v>
      </c>
      <c r="KL61" s="242">
        <f t="shared" si="124"/>
        <v>11</v>
      </c>
      <c r="KM61" s="242">
        <f t="shared" si="124"/>
        <v>11</v>
      </c>
      <c r="KN61" s="242">
        <f t="shared" si="124"/>
        <v>12</v>
      </c>
      <c r="KO61" s="242">
        <f t="shared" si="124"/>
        <v>12</v>
      </c>
      <c r="KP61" s="242">
        <f t="shared" si="124"/>
        <v>12</v>
      </c>
      <c r="KQ61" s="242">
        <f t="shared" si="124"/>
        <v>12</v>
      </c>
      <c r="KR61" s="242">
        <f t="shared" si="124"/>
        <v>12</v>
      </c>
      <c r="KS61" s="242">
        <f t="shared" si="124"/>
        <v>12</v>
      </c>
      <c r="KT61" s="242">
        <f t="shared" si="124"/>
        <v>12</v>
      </c>
      <c r="KU61" s="242">
        <f t="shared" si="124"/>
        <v>12</v>
      </c>
      <c r="KV61" s="243"/>
      <c r="KW61" s="242">
        <f t="shared" si="125"/>
        <v>13</v>
      </c>
      <c r="KX61" s="242">
        <f t="shared" si="125"/>
        <v>13</v>
      </c>
      <c r="KY61" s="242">
        <f t="shared" si="125"/>
        <v>13</v>
      </c>
      <c r="KZ61" s="242">
        <f t="shared" si="125"/>
        <v>13</v>
      </c>
      <c r="LA61" s="242">
        <f t="shared" si="125"/>
        <v>13</v>
      </c>
      <c r="LB61" s="242">
        <f t="shared" si="125"/>
        <v>13</v>
      </c>
      <c r="LC61" s="242">
        <f t="shared" si="125"/>
        <v>13</v>
      </c>
      <c r="LD61" s="242">
        <f t="shared" si="125"/>
        <v>13</v>
      </c>
      <c r="LE61" s="242">
        <f t="shared" si="126"/>
        <v>14</v>
      </c>
      <c r="LF61" s="242">
        <f t="shared" si="126"/>
        <v>14</v>
      </c>
      <c r="LG61" s="242">
        <f t="shared" si="126"/>
        <v>14</v>
      </c>
      <c r="LH61" s="242">
        <f t="shared" si="126"/>
        <v>14</v>
      </c>
      <c r="LI61" s="242">
        <f t="shared" si="126"/>
        <v>14</v>
      </c>
      <c r="LJ61" s="242">
        <f t="shared" si="126"/>
        <v>14</v>
      </c>
      <c r="LK61" s="242">
        <f t="shared" si="126"/>
        <v>14</v>
      </c>
      <c r="LL61" s="242">
        <f t="shared" si="126"/>
        <v>14</v>
      </c>
      <c r="LM61" s="242">
        <f t="shared" si="126"/>
        <v>15</v>
      </c>
      <c r="LN61" s="242">
        <f t="shared" si="126"/>
        <v>15</v>
      </c>
      <c r="LO61" s="242">
        <f t="shared" si="126"/>
        <v>15</v>
      </c>
      <c r="LP61" s="242">
        <f t="shared" si="126"/>
        <v>15</v>
      </c>
      <c r="LQ61" s="242">
        <f t="shared" si="126"/>
        <v>15</v>
      </c>
      <c r="LR61" s="242">
        <f t="shared" si="126"/>
        <v>15</v>
      </c>
      <c r="LS61" s="242">
        <f t="shared" si="126"/>
        <v>15</v>
      </c>
      <c r="LT61" s="242">
        <f t="shared" si="126"/>
        <v>15</v>
      </c>
      <c r="LU61" s="242">
        <f t="shared" si="127"/>
        <v>16</v>
      </c>
      <c r="LV61" s="242">
        <f t="shared" si="127"/>
        <v>16</v>
      </c>
      <c r="LW61" s="242">
        <f t="shared" si="127"/>
        <v>16</v>
      </c>
      <c r="LX61" s="242">
        <f t="shared" si="127"/>
        <v>16</v>
      </c>
      <c r="LY61" s="242">
        <f t="shared" si="127"/>
        <v>16</v>
      </c>
      <c r="LZ61" s="242">
        <f t="shared" si="127"/>
        <v>16</v>
      </c>
      <c r="MA61" s="242">
        <f t="shared" si="127"/>
        <v>16</v>
      </c>
      <c r="MB61" s="242">
        <f>+LT61+1</f>
        <v>16</v>
      </c>
      <c r="MC61" s="242">
        <f t="shared" ref="LR61:MC80" si="131">+LU61+1</f>
        <v>17</v>
      </c>
      <c r="MD61" s="243"/>
      <c r="ME61" s="242">
        <f t="shared" si="130"/>
        <v>17</v>
      </c>
      <c r="MF61" s="242">
        <f t="shared" si="130"/>
        <v>17</v>
      </c>
      <c r="MG61" s="242">
        <f t="shared" si="130"/>
        <v>17</v>
      </c>
      <c r="MH61" s="242">
        <f>+LY61+1</f>
        <v>17</v>
      </c>
      <c r="MI61" s="242">
        <f>+LZ61+1</f>
        <v>17</v>
      </c>
      <c r="MJ61" s="242">
        <f>+MA61+1</f>
        <v>17</v>
      </c>
      <c r="MK61" s="242">
        <f>+MB61+1</f>
        <v>17</v>
      </c>
      <c r="ML61" s="242">
        <f>+MC61+1</f>
        <v>18</v>
      </c>
      <c r="MM61" s="242">
        <f t="shared" ref="MM61:MW80" si="132">+ME61+1</f>
        <v>18</v>
      </c>
      <c r="MN61" s="242">
        <f t="shared" si="132"/>
        <v>18</v>
      </c>
      <c r="MO61" s="242">
        <f t="shared" si="132"/>
        <v>18</v>
      </c>
      <c r="MP61" s="242"/>
      <c r="MQ61" s="242"/>
      <c r="MR61" s="242"/>
      <c r="MS61" s="242"/>
      <c r="MT61" s="242"/>
      <c r="MU61" s="242"/>
      <c r="MV61" s="242"/>
      <c r="MW61" s="242"/>
      <c r="MX61" s="243"/>
      <c r="MY61" s="242"/>
      <c r="MZ61" s="242"/>
      <c r="NA61" s="242"/>
      <c r="NB61" s="242"/>
      <c r="NC61" s="242"/>
      <c r="ND61" s="242"/>
      <c r="NE61" s="242"/>
      <c r="NF61" s="242"/>
      <c r="NG61" s="242"/>
      <c r="NH61" s="242"/>
      <c r="NI61" s="242"/>
      <c r="NJ61" s="242"/>
      <c r="NK61" s="242"/>
      <c r="NL61" s="242"/>
      <c r="NM61" s="242"/>
      <c r="NN61" s="242"/>
      <c r="NO61" s="242"/>
      <c r="NP61" s="242"/>
      <c r="NQ61" s="242"/>
      <c r="NR61" s="242"/>
      <c r="NS61" s="242"/>
      <c r="NT61" s="242"/>
      <c r="NU61" s="242"/>
      <c r="NV61" s="242"/>
      <c r="NW61" s="242"/>
      <c r="NX61" s="242"/>
      <c r="NY61" s="242"/>
      <c r="NZ61" s="242"/>
      <c r="OA61" s="242"/>
      <c r="OB61" s="242"/>
      <c r="OC61" s="242"/>
      <c r="OD61" s="243"/>
      <c r="OE61" s="243"/>
      <c r="OF61" s="242"/>
      <c r="OG61" s="242"/>
      <c r="OH61" s="242"/>
      <c r="OI61" s="242"/>
      <c r="OJ61" s="242"/>
      <c r="OK61" s="242"/>
      <c r="OL61" s="242"/>
      <c r="OM61" s="242"/>
      <c r="ON61" s="242"/>
      <c r="OO61" s="242"/>
      <c r="OP61" s="242"/>
      <c r="OQ61" s="242"/>
      <c r="OR61" s="242"/>
      <c r="OS61" s="243"/>
      <c r="OT61" s="242"/>
      <c r="OU61" s="242"/>
      <c r="OV61" s="242"/>
      <c r="OW61" s="242"/>
      <c r="OX61" s="242"/>
      <c r="OY61" s="243"/>
      <c r="OZ61" s="242"/>
      <c r="PA61" s="242"/>
      <c r="PB61" s="242"/>
      <c r="PC61" s="242"/>
      <c r="PD61" s="242"/>
      <c r="PE61" s="242"/>
      <c r="PF61" s="242"/>
      <c r="PG61" s="242"/>
      <c r="PH61" s="242"/>
      <c r="PI61" s="242"/>
      <c r="PJ61" s="242"/>
      <c r="PK61" s="242"/>
      <c r="PL61" s="242"/>
      <c r="PM61" s="242"/>
      <c r="PN61" s="242"/>
      <c r="PO61" s="242"/>
      <c r="PP61" s="242"/>
      <c r="PQ61" s="242"/>
      <c r="PR61" s="242"/>
      <c r="PS61" s="242"/>
      <c r="PT61" s="242"/>
      <c r="PU61" s="242"/>
      <c r="PV61" s="242"/>
      <c r="PW61" s="242"/>
      <c r="PX61" s="242"/>
      <c r="PY61" s="242"/>
      <c r="PZ61" s="242"/>
      <c r="QA61" s="242"/>
      <c r="QB61" s="242"/>
      <c r="QC61" s="242"/>
      <c r="QD61" s="242"/>
      <c r="QE61" s="242"/>
      <c r="QF61" s="242"/>
      <c r="QG61" s="242"/>
      <c r="QH61" s="242"/>
      <c r="QI61" s="244"/>
    </row>
    <row r="62" spans="1:451" ht="18" customHeight="1" x14ac:dyDescent="0.2">
      <c r="A62" s="274" t="s">
        <v>482</v>
      </c>
      <c r="B62" s="245"/>
      <c r="C62" s="242"/>
      <c r="D62" s="242"/>
      <c r="E62" s="242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2"/>
      <c r="Z62" s="242"/>
      <c r="AA62" s="242"/>
      <c r="AB62" s="242"/>
      <c r="AC62" s="243"/>
      <c r="AD62" s="242"/>
      <c r="AE62" s="242"/>
      <c r="AF62" s="242"/>
      <c r="AG62" s="242"/>
      <c r="AH62" s="242"/>
      <c r="AI62" s="242"/>
      <c r="AJ62" s="242"/>
      <c r="AK62" s="242"/>
      <c r="AL62" s="242"/>
      <c r="AM62" s="242"/>
      <c r="AN62" s="242"/>
      <c r="AO62" s="242"/>
      <c r="AP62" s="242"/>
      <c r="AQ62" s="242"/>
      <c r="AR62" s="243"/>
      <c r="AS62" s="242"/>
      <c r="AT62" s="242"/>
      <c r="AU62" s="242"/>
      <c r="AV62" s="242"/>
      <c r="AW62" s="242"/>
      <c r="AX62" s="242"/>
      <c r="AY62" s="242"/>
      <c r="AZ62" s="242"/>
      <c r="BA62" s="242"/>
      <c r="BB62" s="242"/>
      <c r="BC62" s="242"/>
      <c r="BD62" s="242"/>
      <c r="BE62" s="242"/>
      <c r="BF62" s="242"/>
      <c r="BG62" s="242"/>
      <c r="BH62" s="242"/>
      <c r="BI62" s="242"/>
      <c r="BJ62" s="242"/>
      <c r="BK62" s="242"/>
      <c r="BL62" s="242"/>
      <c r="BM62" s="242"/>
      <c r="BN62" s="242"/>
      <c r="BO62" s="242"/>
      <c r="BP62" s="242"/>
      <c r="BQ62" s="242"/>
      <c r="BR62" s="242"/>
      <c r="BS62" s="242"/>
      <c r="BT62" s="242"/>
      <c r="BU62" s="242"/>
      <c r="BV62" s="242"/>
      <c r="BW62" s="242"/>
      <c r="BX62" s="242"/>
      <c r="BY62" s="242"/>
      <c r="BZ62" s="242"/>
      <c r="CA62" s="242"/>
      <c r="CB62" s="242"/>
      <c r="CC62" s="243"/>
      <c r="CD62" s="243"/>
      <c r="CE62" s="242"/>
      <c r="CF62" s="242"/>
      <c r="CG62" s="242"/>
      <c r="CH62" s="242"/>
      <c r="CI62" s="242">
        <v>1</v>
      </c>
      <c r="CJ62" s="242">
        <v>1</v>
      </c>
      <c r="CK62" s="242">
        <v>1</v>
      </c>
      <c r="CL62" s="242"/>
      <c r="CM62" s="242"/>
      <c r="CN62" s="242"/>
      <c r="CO62" s="242"/>
      <c r="CP62" s="242"/>
      <c r="CQ62" s="242"/>
      <c r="CR62" s="243"/>
      <c r="CS62" s="242"/>
      <c r="CT62" s="242">
        <v>1</v>
      </c>
      <c r="CU62" s="242">
        <v>1</v>
      </c>
      <c r="CV62" s="242">
        <v>1</v>
      </c>
      <c r="CW62" s="242">
        <v>1</v>
      </c>
      <c r="CX62" s="243"/>
      <c r="CY62" s="242"/>
      <c r="CZ62" s="242"/>
      <c r="DA62" s="242"/>
      <c r="DB62" s="242"/>
      <c r="DC62" s="242"/>
      <c r="DD62" s="242"/>
      <c r="DE62" s="242"/>
      <c r="DF62" s="242"/>
      <c r="DG62" s="242"/>
      <c r="DH62" s="242"/>
      <c r="DI62" s="242"/>
      <c r="DJ62" s="242"/>
      <c r="DK62" s="242"/>
      <c r="DL62" s="242"/>
      <c r="DM62" s="242"/>
      <c r="DN62" s="242"/>
      <c r="DO62" s="242"/>
      <c r="DP62" s="242"/>
      <c r="DQ62" s="242"/>
      <c r="DR62" s="242"/>
      <c r="DS62" s="242"/>
      <c r="DT62" s="242"/>
      <c r="DU62" s="242"/>
      <c r="DV62" s="242"/>
      <c r="DW62" s="242"/>
      <c r="DX62" s="242"/>
      <c r="DY62" s="242"/>
      <c r="DZ62" s="242"/>
      <c r="EA62" s="242"/>
      <c r="EB62" s="242"/>
      <c r="EC62" s="242"/>
      <c r="ED62" s="242"/>
      <c r="EE62" s="242"/>
      <c r="EF62" s="242"/>
      <c r="EG62" s="242"/>
      <c r="EH62" s="242"/>
      <c r="EI62" s="242"/>
      <c r="EJ62" s="242"/>
      <c r="EK62" s="242"/>
      <c r="EL62" s="242"/>
      <c r="EM62" s="242"/>
      <c r="EN62" s="242"/>
      <c r="EO62" s="242"/>
      <c r="EP62" s="242"/>
      <c r="EQ62" s="242"/>
      <c r="ER62" s="242"/>
      <c r="ES62" s="242"/>
      <c r="ET62" s="242"/>
      <c r="EU62" s="242"/>
      <c r="EV62" s="242"/>
      <c r="EW62" s="242"/>
      <c r="EX62" s="242"/>
      <c r="EY62" s="242"/>
      <c r="EZ62" s="242"/>
      <c r="FA62" s="242"/>
      <c r="FB62" s="242"/>
      <c r="FC62" s="242"/>
      <c r="FD62" s="242"/>
      <c r="FE62" s="242"/>
      <c r="FF62" s="242"/>
      <c r="FG62" s="242"/>
      <c r="FH62" s="242"/>
      <c r="FI62" s="242"/>
      <c r="FJ62" s="242"/>
      <c r="FK62" s="242"/>
      <c r="FL62" s="242"/>
      <c r="FM62" s="242"/>
      <c r="FN62" s="242"/>
      <c r="FO62" s="242"/>
      <c r="FP62" s="242"/>
      <c r="FQ62" s="243"/>
      <c r="FR62" s="243"/>
      <c r="FS62" s="242"/>
      <c r="FT62" s="242"/>
      <c r="FU62" s="242"/>
      <c r="FV62" s="242"/>
      <c r="FW62" s="242"/>
      <c r="FX62" s="242"/>
      <c r="FY62" s="242"/>
      <c r="FZ62" s="242"/>
      <c r="GA62" s="242"/>
      <c r="GB62" s="242"/>
      <c r="GC62" s="242"/>
      <c r="GD62" s="242"/>
      <c r="GE62" s="242"/>
      <c r="GF62" s="242"/>
      <c r="GG62" s="242"/>
      <c r="GH62" s="242"/>
      <c r="GI62" s="242"/>
      <c r="GJ62" s="242"/>
      <c r="GK62" s="242"/>
      <c r="GL62" s="242"/>
      <c r="GM62" s="242"/>
      <c r="GN62" s="242"/>
      <c r="GO62" s="242"/>
      <c r="GP62" s="242"/>
      <c r="GQ62" s="242"/>
      <c r="GR62" s="242"/>
      <c r="GS62" s="242"/>
      <c r="GT62" s="242"/>
      <c r="GU62" s="242"/>
      <c r="GV62" s="242"/>
      <c r="GW62" s="243"/>
      <c r="GX62" s="242"/>
      <c r="GY62" s="242"/>
      <c r="GZ62" s="242"/>
      <c r="HA62" s="242"/>
      <c r="HB62" s="242"/>
      <c r="HC62" s="242"/>
      <c r="HD62" s="242"/>
      <c r="HE62" s="242"/>
      <c r="HF62" s="242"/>
      <c r="HG62" s="242"/>
      <c r="HH62" s="242"/>
      <c r="HI62" s="242"/>
      <c r="HJ62" s="242"/>
      <c r="HK62" s="242"/>
      <c r="HL62" s="242"/>
      <c r="HM62" s="242"/>
      <c r="HN62" s="242"/>
      <c r="HO62" s="242"/>
      <c r="HP62" s="242"/>
      <c r="HQ62" s="242"/>
      <c r="HR62" s="242"/>
      <c r="HS62" s="242"/>
      <c r="HT62" s="242"/>
      <c r="HU62" s="242"/>
      <c r="HV62" s="242"/>
      <c r="HW62" s="242"/>
      <c r="HX62" s="242"/>
      <c r="HY62" s="242"/>
      <c r="HZ62" s="242"/>
      <c r="IA62" s="242"/>
      <c r="IB62" s="242"/>
      <c r="IC62" s="242"/>
      <c r="ID62" s="242"/>
      <c r="IE62" s="242"/>
      <c r="IF62" s="242"/>
      <c r="IG62" s="242"/>
      <c r="IH62" s="242"/>
      <c r="II62" s="242"/>
      <c r="IJ62" s="242"/>
      <c r="IK62" s="242"/>
      <c r="IL62" s="242"/>
      <c r="IM62" s="242"/>
      <c r="IN62" s="242"/>
      <c r="IO62" s="242"/>
      <c r="IP62" s="242"/>
      <c r="IQ62" s="242"/>
      <c r="IR62" s="242"/>
      <c r="IS62" s="242"/>
      <c r="IT62" s="242"/>
      <c r="IU62" s="242"/>
      <c r="IV62" s="243"/>
      <c r="IW62" s="242"/>
      <c r="IX62" s="242"/>
      <c r="IY62" s="242"/>
      <c r="IZ62" s="242"/>
      <c r="JA62" s="242"/>
      <c r="JB62" s="242"/>
      <c r="JC62" s="242"/>
      <c r="JD62" s="242"/>
      <c r="JE62" s="242"/>
      <c r="JF62" s="242"/>
      <c r="JG62" s="242"/>
      <c r="JH62" s="242"/>
      <c r="JI62" s="242"/>
      <c r="JJ62" s="242"/>
      <c r="JK62" s="242"/>
      <c r="JL62" s="242"/>
      <c r="JM62" s="242"/>
      <c r="JN62" s="242"/>
      <c r="JO62" s="242"/>
      <c r="JP62" s="243"/>
      <c r="JQ62" s="242"/>
      <c r="JR62" s="242"/>
      <c r="JS62" s="242"/>
      <c r="JT62" s="243"/>
      <c r="JU62" s="243"/>
      <c r="JV62" s="242"/>
      <c r="JW62" s="242"/>
      <c r="JX62" s="242"/>
      <c r="JY62" s="242"/>
      <c r="JZ62" s="242"/>
      <c r="KA62" s="242"/>
      <c r="KB62" s="243"/>
      <c r="KC62" s="242"/>
      <c r="KD62" s="242"/>
      <c r="KE62" s="242"/>
      <c r="KF62" s="242"/>
      <c r="KG62" s="242"/>
      <c r="KH62" s="242"/>
      <c r="KI62" s="242"/>
      <c r="KJ62" s="242"/>
      <c r="KK62" s="242"/>
      <c r="KL62" s="242"/>
      <c r="KM62" s="242"/>
      <c r="KN62" s="242"/>
      <c r="KO62" s="242"/>
      <c r="KP62" s="242"/>
      <c r="KQ62" s="242"/>
      <c r="KR62" s="242"/>
      <c r="KS62" s="242"/>
      <c r="KT62" s="242"/>
      <c r="KU62" s="242"/>
      <c r="KV62" s="243"/>
      <c r="KW62" s="242"/>
      <c r="KX62" s="242"/>
      <c r="KY62" s="242"/>
      <c r="KZ62" s="242"/>
      <c r="LA62" s="242"/>
      <c r="LB62" s="242"/>
      <c r="LC62" s="242"/>
      <c r="LD62" s="242"/>
      <c r="LE62" s="242"/>
      <c r="LF62" s="242"/>
      <c r="LG62" s="242"/>
      <c r="LH62" s="242"/>
      <c r="LI62" s="242"/>
      <c r="LJ62" s="242"/>
      <c r="LK62" s="242"/>
      <c r="LL62" s="242"/>
      <c r="LM62" s="242"/>
      <c r="LN62" s="242"/>
      <c r="LO62" s="242"/>
      <c r="LP62" s="242"/>
      <c r="LQ62" s="242"/>
      <c r="LR62" s="242"/>
      <c r="LS62" s="242"/>
      <c r="LT62" s="242"/>
      <c r="LU62" s="242"/>
      <c r="LV62" s="242"/>
      <c r="LW62" s="242"/>
      <c r="LX62" s="242"/>
      <c r="LY62" s="242"/>
      <c r="LZ62" s="242"/>
      <c r="MA62" s="242"/>
      <c r="MB62" s="242"/>
      <c r="MC62" s="242"/>
      <c r="MD62" s="243"/>
      <c r="ME62" s="242"/>
      <c r="MF62" s="242"/>
      <c r="MG62" s="242"/>
      <c r="MH62" s="242"/>
      <c r="MI62" s="242"/>
      <c r="MJ62" s="242"/>
      <c r="MK62" s="242"/>
      <c r="ML62" s="242"/>
      <c r="MM62" s="242"/>
      <c r="MN62" s="242"/>
      <c r="MO62" s="242"/>
      <c r="MP62" s="242"/>
      <c r="MQ62" s="242"/>
      <c r="MR62" s="242"/>
      <c r="MS62" s="242"/>
      <c r="MT62" s="242"/>
      <c r="MU62" s="242"/>
      <c r="MV62" s="242"/>
      <c r="MW62" s="242"/>
      <c r="MX62" s="243"/>
      <c r="MY62" s="242"/>
      <c r="MZ62" s="242"/>
      <c r="NA62" s="242"/>
      <c r="NB62" s="242"/>
      <c r="NC62" s="242"/>
      <c r="ND62" s="242"/>
      <c r="NE62" s="242"/>
      <c r="NF62" s="242"/>
      <c r="NG62" s="242"/>
      <c r="NH62" s="242"/>
      <c r="NI62" s="242"/>
      <c r="NJ62" s="242"/>
      <c r="NK62" s="242"/>
      <c r="NL62" s="242"/>
      <c r="NM62" s="242"/>
      <c r="NN62" s="242"/>
      <c r="NO62" s="242"/>
      <c r="NP62" s="242"/>
      <c r="NQ62" s="242"/>
      <c r="NR62" s="242"/>
      <c r="NS62" s="242"/>
      <c r="NT62" s="242"/>
      <c r="NU62" s="242"/>
      <c r="NV62" s="242"/>
      <c r="NW62" s="242"/>
      <c r="NX62" s="242"/>
      <c r="NY62" s="242"/>
      <c r="NZ62" s="242"/>
      <c r="OA62" s="242"/>
      <c r="OB62" s="242"/>
      <c r="OC62" s="242"/>
      <c r="OD62" s="243"/>
      <c r="OE62" s="243"/>
      <c r="OF62" s="242"/>
      <c r="OG62" s="242"/>
      <c r="OH62" s="242"/>
      <c r="OI62" s="242"/>
      <c r="OJ62" s="242"/>
      <c r="OK62" s="242"/>
      <c r="OL62" s="242"/>
      <c r="OM62" s="242"/>
      <c r="ON62" s="242"/>
      <c r="OO62" s="242"/>
      <c r="OP62" s="242"/>
      <c r="OQ62" s="242"/>
      <c r="OR62" s="242"/>
      <c r="OS62" s="243"/>
      <c r="OT62" s="242"/>
      <c r="OU62" s="242"/>
      <c r="OV62" s="242"/>
      <c r="OW62" s="242"/>
      <c r="OX62" s="242"/>
      <c r="OY62" s="243"/>
      <c r="OZ62" s="242"/>
      <c r="PA62" s="242"/>
      <c r="PB62" s="242"/>
      <c r="PC62" s="242"/>
      <c r="PD62" s="242"/>
      <c r="PE62" s="242"/>
      <c r="PF62" s="242"/>
      <c r="PG62" s="242"/>
      <c r="PH62" s="242"/>
      <c r="PI62" s="242"/>
      <c r="PJ62" s="242"/>
      <c r="PK62" s="242"/>
      <c r="PL62" s="242"/>
      <c r="PM62" s="242"/>
      <c r="PN62" s="242"/>
      <c r="PO62" s="242"/>
      <c r="PP62" s="242"/>
      <c r="PQ62" s="242"/>
      <c r="PR62" s="242"/>
      <c r="PS62" s="242"/>
      <c r="PT62" s="242"/>
      <c r="PU62" s="242"/>
      <c r="PV62" s="242"/>
      <c r="PW62" s="242"/>
      <c r="PX62" s="242"/>
      <c r="PY62" s="242"/>
      <c r="PZ62" s="242"/>
      <c r="QA62" s="242"/>
      <c r="QB62" s="242"/>
      <c r="QC62" s="242"/>
      <c r="QD62" s="242"/>
      <c r="QE62" s="242"/>
      <c r="QF62" s="242"/>
      <c r="QG62" s="242"/>
      <c r="QH62" s="242"/>
      <c r="QI62" s="244"/>
    </row>
    <row r="63" spans="1:451" ht="18" customHeight="1" x14ac:dyDescent="0.2">
      <c r="A63" s="239" t="s">
        <v>453</v>
      </c>
      <c r="B63" s="245"/>
      <c r="C63" s="242"/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  <c r="Y63" s="242"/>
      <c r="Z63" s="242"/>
      <c r="AA63" s="242"/>
      <c r="AB63" s="242"/>
      <c r="AC63" s="243"/>
      <c r="AD63" s="242"/>
      <c r="AE63" s="242"/>
      <c r="AF63" s="242"/>
      <c r="AG63" s="242"/>
      <c r="AH63" s="242"/>
      <c r="AI63" s="242"/>
      <c r="AJ63" s="242"/>
      <c r="AK63" s="242"/>
      <c r="AL63" s="242"/>
      <c r="AM63" s="242"/>
      <c r="AN63" s="242"/>
      <c r="AO63" s="242"/>
      <c r="AP63" s="242"/>
      <c r="AQ63" s="242"/>
      <c r="AR63" s="243"/>
      <c r="AS63" s="242"/>
      <c r="AT63" s="242"/>
      <c r="AU63" s="242"/>
      <c r="AV63" s="242"/>
      <c r="AW63" s="242"/>
      <c r="AX63" s="242"/>
      <c r="AY63" s="242"/>
      <c r="AZ63" s="242"/>
      <c r="BA63" s="242"/>
      <c r="BB63" s="242"/>
      <c r="BC63" s="242"/>
      <c r="BD63" s="242"/>
      <c r="BE63" s="242"/>
      <c r="BF63" s="242"/>
      <c r="BG63" s="242"/>
      <c r="BH63" s="242"/>
      <c r="BI63" s="242"/>
      <c r="BJ63" s="242"/>
      <c r="BK63" s="242"/>
      <c r="BL63" s="242"/>
      <c r="BM63" s="242"/>
      <c r="BN63" s="242"/>
      <c r="BO63" s="242"/>
      <c r="BP63" s="242"/>
      <c r="BQ63" s="242"/>
      <c r="BR63" s="242"/>
      <c r="BS63" s="242"/>
      <c r="BT63" s="242"/>
      <c r="BU63" s="242"/>
      <c r="BV63" s="242"/>
      <c r="BW63" s="242"/>
      <c r="BX63" s="242"/>
      <c r="BY63" s="242"/>
      <c r="BZ63" s="242"/>
      <c r="CA63" s="242"/>
      <c r="CB63" s="242"/>
      <c r="CC63" s="243"/>
      <c r="CD63" s="243"/>
      <c r="CE63" s="242"/>
      <c r="CF63" s="242"/>
      <c r="CG63" s="242"/>
      <c r="CH63" s="242"/>
      <c r="CI63" s="242"/>
      <c r="CJ63" s="242"/>
      <c r="CK63" s="242"/>
      <c r="CL63" s="242"/>
      <c r="CM63" s="242"/>
      <c r="CN63" s="242"/>
      <c r="CO63" s="242"/>
      <c r="CP63" s="242"/>
      <c r="CQ63" s="242"/>
      <c r="CR63" s="243"/>
      <c r="CS63" s="242"/>
      <c r="CT63" s="242"/>
      <c r="CU63" s="242"/>
      <c r="CV63" s="242"/>
      <c r="CW63" s="242"/>
      <c r="CX63" s="243"/>
      <c r="CY63" s="242"/>
      <c r="CZ63" s="242"/>
      <c r="DA63" s="242"/>
      <c r="DB63" s="242"/>
      <c r="DC63" s="242"/>
      <c r="DD63" s="242"/>
      <c r="DE63" s="242"/>
      <c r="DF63" s="242"/>
      <c r="DG63" s="242"/>
      <c r="DH63" s="242"/>
      <c r="DI63" s="242"/>
      <c r="DJ63" s="242"/>
      <c r="DK63" s="242"/>
      <c r="DL63" s="242"/>
      <c r="DM63" s="242"/>
      <c r="DN63" s="242"/>
      <c r="DO63" s="242"/>
      <c r="DP63" s="242"/>
      <c r="DQ63" s="242"/>
      <c r="DR63" s="242"/>
      <c r="DS63" s="242"/>
      <c r="DT63" s="242"/>
      <c r="DU63" s="242"/>
      <c r="DV63" s="242"/>
      <c r="DW63" s="242"/>
      <c r="DX63" s="242"/>
      <c r="DY63" s="242"/>
      <c r="DZ63" s="242"/>
      <c r="EA63" s="242"/>
      <c r="EB63" s="242"/>
      <c r="EC63" s="242"/>
      <c r="ED63" s="242"/>
      <c r="EE63" s="242"/>
      <c r="EF63" s="242"/>
      <c r="EG63" s="242"/>
      <c r="EH63" s="242"/>
      <c r="EI63" s="242"/>
      <c r="EJ63" s="242"/>
      <c r="EK63" s="242"/>
      <c r="EL63" s="242"/>
      <c r="EM63" s="242"/>
      <c r="EN63" s="242"/>
      <c r="EO63" s="242"/>
      <c r="EP63" s="242"/>
      <c r="EQ63" s="242"/>
      <c r="ER63" s="242"/>
      <c r="ES63" s="242"/>
      <c r="ET63" s="242"/>
      <c r="EU63" s="242"/>
      <c r="EV63" s="242"/>
      <c r="EW63" s="242"/>
      <c r="EX63" s="242"/>
      <c r="EY63" s="242"/>
      <c r="EZ63" s="242"/>
      <c r="FA63" s="242"/>
      <c r="FB63" s="242"/>
      <c r="FC63" s="242"/>
      <c r="FD63" s="242"/>
      <c r="FE63" s="242"/>
      <c r="FF63" s="242"/>
      <c r="FG63" s="242"/>
      <c r="FH63" s="242"/>
      <c r="FI63" s="242"/>
      <c r="FJ63" s="242"/>
      <c r="FK63" s="242"/>
      <c r="FL63" s="242"/>
      <c r="FM63" s="242"/>
      <c r="FN63" s="242"/>
      <c r="FO63" s="242"/>
      <c r="FP63" s="242"/>
      <c r="FQ63" s="243"/>
      <c r="FR63" s="243"/>
      <c r="FS63" s="242"/>
      <c r="FT63" s="242"/>
      <c r="FU63" s="242"/>
      <c r="FV63" s="242"/>
      <c r="FW63" s="242"/>
      <c r="FX63" s="242"/>
      <c r="FY63" s="242"/>
      <c r="FZ63" s="242"/>
      <c r="GA63" s="242"/>
      <c r="GB63" s="242"/>
      <c r="GC63" s="242"/>
      <c r="GD63" s="242"/>
      <c r="GE63" s="242"/>
      <c r="GF63" s="242"/>
      <c r="GG63" s="242"/>
      <c r="GH63" s="242"/>
      <c r="GI63" s="242"/>
      <c r="GJ63" s="242"/>
      <c r="GK63" s="242"/>
      <c r="GL63" s="242"/>
      <c r="GM63" s="242"/>
      <c r="GN63" s="242"/>
      <c r="GO63" s="242"/>
      <c r="GP63" s="242"/>
      <c r="GQ63" s="242"/>
      <c r="GR63" s="242"/>
      <c r="GS63" s="242"/>
      <c r="GT63" s="242"/>
      <c r="GU63" s="242"/>
      <c r="GV63" s="242"/>
      <c r="GW63" s="243"/>
      <c r="GX63" s="242"/>
      <c r="GY63" s="242"/>
      <c r="GZ63" s="242"/>
      <c r="HA63" s="242"/>
      <c r="HB63" s="242"/>
      <c r="HC63" s="242"/>
      <c r="HD63" s="242"/>
      <c r="HE63" s="242"/>
      <c r="HF63" s="242"/>
      <c r="HG63" s="242"/>
      <c r="HH63" s="242"/>
      <c r="HI63" s="242"/>
      <c r="HJ63" s="242"/>
      <c r="HK63" s="242"/>
      <c r="HL63" s="242"/>
      <c r="HM63" s="242"/>
      <c r="HN63" s="242"/>
      <c r="HO63" s="242"/>
      <c r="HP63" s="242"/>
      <c r="HQ63" s="242"/>
      <c r="HR63" s="242"/>
      <c r="HS63" s="242"/>
      <c r="HT63" s="242"/>
      <c r="HU63" s="242"/>
      <c r="HV63" s="242"/>
      <c r="HW63" s="242"/>
      <c r="HX63" s="242"/>
      <c r="HY63" s="242"/>
      <c r="HZ63" s="242"/>
      <c r="IA63" s="242"/>
      <c r="IB63" s="242"/>
      <c r="IC63" s="242"/>
      <c r="ID63" s="242"/>
      <c r="IE63" s="242"/>
      <c r="IF63" s="242"/>
      <c r="IG63" s="242"/>
      <c r="IH63" s="242"/>
      <c r="II63" s="242"/>
      <c r="IJ63" s="242"/>
      <c r="IK63" s="242"/>
      <c r="IL63" s="242"/>
      <c r="IM63" s="242"/>
      <c r="IN63" s="242"/>
      <c r="IO63" s="242"/>
      <c r="IP63" s="242"/>
      <c r="IQ63" s="242"/>
      <c r="IR63" s="242">
        <v>1</v>
      </c>
      <c r="IS63" s="242">
        <v>1</v>
      </c>
      <c r="IT63" s="242">
        <v>1</v>
      </c>
      <c r="IU63" s="242">
        <v>1</v>
      </c>
      <c r="IV63" s="243"/>
      <c r="IW63" s="242">
        <v>1</v>
      </c>
      <c r="IX63" s="242">
        <v>1</v>
      </c>
      <c r="IY63" s="242">
        <v>1</v>
      </c>
      <c r="IZ63" s="242">
        <v>1</v>
      </c>
      <c r="JA63" s="242">
        <v>2</v>
      </c>
      <c r="JB63" s="242">
        <v>2</v>
      </c>
      <c r="JC63" s="242">
        <v>2</v>
      </c>
      <c r="JD63" s="242">
        <v>2</v>
      </c>
      <c r="JE63" s="242">
        <f>+IY63+1</f>
        <v>2</v>
      </c>
      <c r="JF63" s="242">
        <f t="shared" ref="JF63" si="133">+IZ63+1</f>
        <v>2</v>
      </c>
      <c r="JG63" s="242">
        <v>2</v>
      </c>
      <c r="JH63" s="242">
        <v>2</v>
      </c>
      <c r="JI63" s="242">
        <f t="shared" ref="JI63:JO64" si="134">+JA63+1</f>
        <v>3</v>
      </c>
      <c r="JJ63" s="242">
        <f t="shared" si="134"/>
        <v>3</v>
      </c>
      <c r="JK63" s="242">
        <f t="shared" si="134"/>
        <v>3</v>
      </c>
      <c r="JL63" s="242">
        <f t="shared" si="134"/>
        <v>3</v>
      </c>
      <c r="JM63" s="242">
        <f t="shared" si="134"/>
        <v>3</v>
      </c>
      <c r="JN63" s="242">
        <f t="shared" si="134"/>
        <v>3</v>
      </c>
      <c r="JO63" s="242">
        <f t="shared" si="134"/>
        <v>3</v>
      </c>
      <c r="JP63" s="243"/>
      <c r="JQ63" s="242">
        <f t="shared" ref="JQ63:JS64" si="135">+JH63+1</f>
        <v>3</v>
      </c>
      <c r="JR63" s="242">
        <f t="shared" si="135"/>
        <v>4</v>
      </c>
      <c r="JS63" s="242">
        <f t="shared" si="135"/>
        <v>4</v>
      </c>
      <c r="JT63" s="243"/>
      <c r="JU63" s="243"/>
      <c r="JV63" s="242">
        <f t="shared" ref="JV63:JZ64" si="136">+JK63+1</f>
        <v>4</v>
      </c>
      <c r="JW63" s="242">
        <f t="shared" si="136"/>
        <v>4</v>
      </c>
      <c r="JX63" s="242">
        <f t="shared" si="136"/>
        <v>4</v>
      </c>
      <c r="JY63" s="242">
        <f t="shared" si="136"/>
        <v>4</v>
      </c>
      <c r="JZ63" s="242">
        <f t="shared" si="136"/>
        <v>4</v>
      </c>
      <c r="KA63" s="242">
        <f>+JQ63+1</f>
        <v>4</v>
      </c>
      <c r="KB63" s="243"/>
      <c r="KC63" s="242">
        <f>+JR63+1</f>
        <v>5</v>
      </c>
      <c r="KD63" s="242">
        <f>+JS63+1</f>
        <v>5</v>
      </c>
      <c r="KE63" s="242">
        <f t="shared" ref="KE63:KJ64" si="137">+JV63+1</f>
        <v>5</v>
      </c>
      <c r="KF63" s="242">
        <f t="shared" si="137"/>
        <v>5</v>
      </c>
      <c r="KG63" s="242">
        <f t="shared" si="137"/>
        <v>5</v>
      </c>
      <c r="KH63" s="242">
        <f t="shared" si="137"/>
        <v>5</v>
      </c>
      <c r="KI63" s="242">
        <f t="shared" si="137"/>
        <v>5</v>
      </c>
      <c r="KJ63" s="242">
        <f t="shared" si="137"/>
        <v>5</v>
      </c>
      <c r="KK63" s="242">
        <f t="shared" si="124"/>
        <v>6</v>
      </c>
      <c r="KL63" s="242">
        <f t="shared" si="124"/>
        <v>6</v>
      </c>
      <c r="KM63" s="242">
        <f t="shared" si="124"/>
        <v>6</v>
      </c>
      <c r="KN63" s="242">
        <f t="shared" si="124"/>
        <v>6</v>
      </c>
      <c r="KO63" s="242">
        <f t="shared" si="124"/>
        <v>6</v>
      </c>
      <c r="KP63" s="242">
        <f t="shared" si="124"/>
        <v>6</v>
      </c>
      <c r="KQ63" s="242">
        <f t="shared" si="124"/>
        <v>6</v>
      </c>
      <c r="KR63" s="242">
        <f t="shared" si="124"/>
        <v>6</v>
      </c>
      <c r="KS63" s="242">
        <f t="shared" si="124"/>
        <v>7</v>
      </c>
      <c r="KT63" s="242">
        <f t="shared" si="124"/>
        <v>7</v>
      </c>
      <c r="KU63" s="242">
        <f t="shared" si="124"/>
        <v>7</v>
      </c>
      <c r="KV63" s="243"/>
      <c r="KW63" s="242">
        <f t="shared" ref="KW63:LD64" si="138">+KN63+1</f>
        <v>7</v>
      </c>
      <c r="KX63" s="242">
        <f t="shared" si="138"/>
        <v>7</v>
      </c>
      <c r="KY63" s="242">
        <f t="shared" si="138"/>
        <v>7</v>
      </c>
      <c r="KZ63" s="242">
        <f t="shared" si="138"/>
        <v>7</v>
      </c>
      <c r="LA63" s="242">
        <f t="shared" si="138"/>
        <v>7</v>
      </c>
      <c r="LB63" s="242">
        <f t="shared" si="138"/>
        <v>8</v>
      </c>
      <c r="LC63" s="242">
        <f t="shared" si="138"/>
        <v>8</v>
      </c>
      <c r="LD63" s="242">
        <f t="shared" si="138"/>
        <v>8</v>
      </c>
      <c r="LE63" s="242">
        <f t="shared" ref="KT63:LI80" si="139">+KW63+1</f>
        <v>8</v>
      </c>
      <c r="LF63" s="242">
        <f t="shared" si="126"/>
        <v>8</v>
      </c>
      <c r="LG63" s="242">
        <f t="shared" si="126"/>
        <v>8</v>
      </c>
      <c r="LH63" s="242">
        <f t="shared" si="126"/>
        <v>8</v>
      </c>
      <c r="LI63" s="242">
        <f t="shared" si="126"/>
        <v>8</v>
      </c>
      <c r="LJ63" s="242">
        <f t="shared" si="126"/>
        <v>9</v>
      </c>
      <c r="LK63" s="242">
        <f t="shared" si="126"/>
        <v>9</v>
      </c>
      <c r="LL63" s="242">
        <f t="shared" si="126"/>
        <v>9</v>
      </c>
      <c r="LM63" s="242">
        <f t="shared" si="126"/>
        <v>9</v>
      </c>
      <c r="LN63" s="242">
        <f t="shared" si="126"/>
        <v>9</v>
      </c>
      <c r="LO63" s="242">
        <f t="shared" si="126"/>
        <v>9</v>
      </c>
      <c r="LP63" s="242">
        <f t="shared" si="126"/>
        <v>9</v>
      </c>
      <c r="LQ63" s="242">
        <f t="shared" si="126"/>
        <v>9</v>
      </c>
      <c r="LR63" s="242">
        <f t="shared" si="126"/>
        <v>10</v>
      </c>
      <c r="LS63" s="242">
        <f t="shared" si="126"/>
        <v>10</v>
      </c>
      <c r="LT63" s="242">
        <f t="shared" si="126"/>
        <v>10</v>
      </c>
      <c r="LU63" s="242">
        <f t="shared" si="127"/>
        <v>10</v>
      </c>
      <c r="LV63" s="242">
        <f t="shared" si="127"/>
        <v>10</v>
      </c>
      <c r="LW63" s="242">
        <f t="shared" si="127"/>
        <v>10</v>
      </c>
      <c r="LX63" s="242">
        <f t="shared" si="127"/>
        <v>10</v>
      </c>
      <c r="LY63" s="242">
        <f t="shared" si="127"/>
        <v>10</v>
      </c>
      <c r="LZ63" s="242">
        <f t="shared" si="127"/>
        <v>11</v>
      </c>
      <c r="MA63" s="242">
        <f t="shared" si="127"/>
        <v>11</v>
      </c>
      <c r="MB63" s="242">
        <f t="shared" si="127"/>
        <v>11</v>
      </c>
      <c r="MC63" s="242">
        <f t="shared" si="131"/>
        <v>11</v>
      </c>
      <c r="MD63" s="243"/>
      <c r="ME63" s="242">
        <f t="shared" ref="ME63:ML64" si="140">+LV63+1</f>
        <v>11</v>
      </c>
      <c r="MF63" s="242">
        <f t="shared" si="140"/>
        <v>11</v>
      </c>
      <c r="MG63" s="242">
        <f t="shared" si="140"/>
        <v>11</v>
      </c>
      <c r="MH63" s="242">
        <f t="shared" si="140"/>
        <v>11</v>
      </c>
      <c r="MI63" s="242">
        <f t="shared" si="140"/>
        <v>12</v>
      </c>
      <c r="MJ63" s="242">
        <f t="shared" si="140"/>
        <v>12</v>
      </c>
      <c r="MK63" s="242">
        <f t="shared" si="140"/>
        <v>12</v>
      </c>
      <c r="ML63" s="242">
        <f t="shared" si="140"/>
        <v>12</v>
      </c>
      <c r="MM63" s="242">
        <f t="shared" si="132"/>
        <v>12</v>
      </c>
      <c r="MN63" s="242">
        <f t="shared" si="132"/>
        <v>12</v>
      </c>
      <c r="MO63" s="242">
        <f t="shared" si="132"/>
        <v>12</v>
      </c>
      <c r="MP63" s="242">
        <f t="shared" si="132"/>
        <v>12</v>
      </c>
      <c r="MQ63" s="242">
        <f t="shared" si="132"/>
        <v>13</v>
      </c>
      <c r="MR63" s="242">
        <f t="shared" si="132"/>
        <v>13</v>
      </c>
      <c r="MS63" s="242">
        <f t="shared" si="132"/>
        <v>13</v>
      </c>
      <c r="MT63" s="242">
        <f t="shared" si="132"/>
        <v>13</v>
      </c>
      <c r="MU63" s="242">
        <f t="shared" si="132"/>
        <v>13</v>
      </c>
      <c r="MV63" s="242">
        <f t="shared" si="132"/>
        <v>13</v>
      </c>
      <c r="MW63" s="242">
        <f t="shared" si="132"/>
        <v>13</v>
      </c>
      <c r="MX63" s="243"/>
      <c r="MY63" s="242">
        <f t="shared" ref="MY63:NF64" si="141">+MP63+1</f>
        <v>13</v>
      </c>
      <c r="MZ63" s="242">
        <f t="shared" si="141"/>
        <v>14</v>
      </c>
      <c r="NA63" s="242">
        <f t="shared" si="141"/>
        <v>14</v>
      </c>
      <c r="NB63" s="242">
        <f t="shared" si="141"/>
        <v>14</v>
      </c>
      <c r="NC63" s="242">
        <f t="shared" si="141"/>
        <v>14</v>
      </c>
      <c r="ND63" s="242">
        <f t="shared" si="141"/>
        <v>14</v>
      </c>
      <c r="NE63" s="242">
        <f t="shared" si="141"/>
        <v>14</v>
      </c>
      <c r="NF63" s="242">
        <f t="shared" si="141"/>
        <v>14</v>
      </c>
      <c r="NG63" s="242">
        <f t="shared" ref="NG63:NV80" si="142">+MY63+1</f>
        <v>14</v>
      </c>
      <c r="NH63" s="242">
        <f t="shared" si="142"/>
        <v>15</v>
      </c>
      <c r="NI63" s="242">
        <f t="shared" si="142"/>
        <v>15</v>
      </c>
      <c r="NJ63" s="242">
        <f t="shared" si="142"/>
        <v>15</v>
      </c>
      <c r="NK63" s="242">
        <f>+NC63+1</f>
        <v>15</v>
      </c>
      <c r="NL63" s="242">
        <f t="shared" ref="NL63:OA80" si="143">+ND63+1</f>
        <v>15</v>
      </c>
      <c r="NM63" s="242">
        <f t="shared" si="143"/>
        <v>15</v>
      </c>
      <c r="NN63" s="242">
        <f t="shared" si="143"/>
        <v>15</v>
      </c>
      <c r="NO63" s="242">
        <f t="shared" si="143"/>
        <v>15</v>
      </c>
      <c r="NP63" s="242">
        <f t="shared" si="143"/>
        <v>16</v>
      </c>
      <c r="NQ63" s="242">
        <f t="shared" si="143"/>
        <v>16</v>
      </c>
      <c r="NR63" s="242">
        <f t="shared" si="143"/>
        <v>16</v>
      </c>
      <c r="NS63" s="242">
        <f t="shared" si="143"/>
        <v>16</v>
      </c>
      <c r="NT63" s="242">
        <f t="shared" si="143"/>
        <v>16</v>
      </c>
      <c r="NU63" s="242">
        <f t="shared" si="143"/>
        <v>16</v>
      </c>
      <c r="NV63" s="242">
        <f t="shared" si="143"/>
        <v>16</v>
      </c>
      <c r="NW63" s="242">
        <f t="shared" si="143"/>
        <v>16</v>
      </c>
      <c r="NX63" s="242">
        <f t="shared" si="143"/>
        <v>17</v>
      </c>
      <c r="NY63" s="242">
        <f t="shared" si="143"/>
        <v>17</v>
      </c>
      <c r="NZ63" s="242">
        <f t="shared" si="143"/>
        <v>17</v>
      </c>
      <c r="OA63" s="242">
        <f t="shared" si="143"/>
        <v>17</v>
      </c>
      <c r="OB63" s="242">
        <f t="shared" ref="NX63:OC66" si="144">+NT63+1</f>
        <v>17</v>
      </c>
      <c r="OC63" s="242">
        <f t="shared" si="144"/>
        <v>17</v>
      </c>
      <c r="OD63" s="243"/>
      <c r="OE63" s="243"/>
      <c r="OF63" s="242">
        <f t="shared" ref="OF63:OK63" si="145">+NV63+1</f>
        <v>17</v>
      </c>
      <c r="OG63" s="242">
        <f t="shared" si="145"/>
        <v>17</v>
      </c>
      <c r="OH63" s="242">
        <f t="shared" si="145"/>
        <v>18</v>
      </c>
      <c r="OI63" s="242">
        <f t="shared" si="145"/>
        <v>18</v>
      </c>
      <c r="OJ63" s="242">
        <f t="shared" si="145"/>
        <v>18</v>
      </c>
      <c r="OK63" s="242">
        <f t="shared" si="145"/>
        <v>18</v>
      </c>
      <c r="OL63" s="242"/>
      <c r="OM63" s="242"/>
      <c r="ON63" s="242"/>
      <c r="OO63" s="242"/>
      <c r="OP63" s="242"/>
      <c r="OQ63" s="242"/>
      <c r="OR63" s="242"/>
      <c r="OS63" s="243"/>
      <c r="OT63" s="242"/>
      <c r="OU63" s="242"/>
      <c r="OV63" s="242"/>
      <c r="OW63" s="242"/>
      <c r="OX63" s="242"/>
      <c r="OY63" s="243"/>
      <c r="OZ63" s="242"/>
      <c r="PA63" s="242"/>
      <c r="PB63" s="242"/>
      <c r="PC63" s="242"/>
      <c r="PD63" s="242"/>
      <c r="PE63" s="242"/>
      <c r="PF63" s="242"/>
      <c r="PG63" s="242"/>
      <c r="PH63" s="242"/>
      <c r="PI63" s="242"/>
      <c r="PJ63" s="242"/>
      <c r="PK63" s="242"/>
      <c r="PL63" s="242"/>
      <c r="PM63" s="242"/>
      <c r="PN63" s="242"/>
      <c r="PO63" s="242"/>
      <c r="PP63" s="242"/>
      <c r="PQ63" s="242"/>
      <c r="PR63" s="242"/>
      <c r="PS63" s="242"/>
      <c r="PT63" s="242"/>
      <c r="PU63" s="242"/>
      <c r="PV63" s="242"/>
      <c r="PW63" s="242"/>
      <c r="PX63" s="242"/>
      <c r="PY63" s="242"/>
      <c r="PZ63" s="242"/>
      <c r="QA63" s="242"/>
      <c r="QB63" s="242"/>
      <c r="QC63" s="242"/>
      <c r="QD63" s="242"/>
      <c r="QE63" s="242"/>
      <c r="QF63" s="242"/>
      <c r="QG63" s="242"/>
      <c r="QH63" s="242"/>
      <c r="QI63" s="244"/>
    </row>
    <row r="64" spans="1:451" ht="18" customHeight="1" x14ac:dyDescent="0.2">
      <c r="A64" s="239" t="s">
        <v>454</v>
      </c>
      <c r="B64" s="245"/>
      <c r="C64" s="242"/>
      <c r="D64" s="242"/>
      <c r="E64" s="242"/>
      <c r="F64" s="242"/>
      <c r="G64" s="242"/>
      <c r="H64" s="242"/>
      <c r="I64" s="242"/>
      <c r="J64" s="242"/>
      <c r="K64" s="242"/>
      <c r="L64" s="242"/>
      <c r="M64" s="242"/>
      <c r="N64" s="242"/>
      <c r="O64" s="242"/>
      <c r="P64" s="242"/>
      <c r="Q64" s="242"/>
      <c r="R64" s="242"/>
      <c r="S64" s="242"/>
      <c r="T64" s="242"/>
      <c r="U64" s="242"/>
      <c r="V64" s="242"/>
      <c r="W64" s="242"/>
      <c r="X64" s="242"/>
      <c r="Y64" s="242"/>
      <c r="Z64" s="242"/>
      <c r="AA64" s="242"/>
      <c r="AB64" s="242"/>
      <c r="AC64" s="243"/>
      <c r="AD64" s="242"/>
      <c r="AE64" s="242"/>
      <c r="AF64" s="242"/>
      <c r="AG64" s="242"/>
      <c r="AH64" s="242"/>
      <c r="AI64" s="242"/>
      <c r="AJ64" s="242"/>
      <c r="AK64" s="242"/>
      <c r="AL64" s="242"/>
      <c r="AM64" s="242"/>
      <c r="AN64" s="242"/>
      <c r="AO64" s="242"/>
      <c r="AP64" s="242"/>
      <c r="AQ64" s="242"/>
      <c r="AR64" s="243"/>
      <c r="AS64" s="242"/>
      <c r="AT64" s="242"/>
      <c r="AU64" s="242"/>
      <c r="AV64" s="242"/>
      <c r="AW64" s="242"/>
      <c r="AX64" s="242"/>
      <c r="AY64" s="242"/>
      <c r="AZ64" s="242"/>
      <c r="BA64" s="242"/>
      <c r="BB64" s="242"/>
      <c r="BC64" s="242"/>
      <c r="BD64" s="242"/>
      <c r="BE64" s="242"/>
      <c r="BF64" s="242"/>
      <c r="BG64" s="242"/>
      <c r="BH64" s="242"/>
      <c r="BI64" s="242"/>
      <c r="BJ64" s="242"/>
      <c r="BK64" s="242"/>
      <c r="BL64" s="242"/>
      <c r="BM64" s="242"/>
      <c r="BN64" s="242"/>
      <c r="BO64" s="242"/>
      <c r="BP64" s="242"/>
      <c r="BQ64" s="242"/>
      <c r="BR64" s="242"/>
      <c r="BS64" s="242"/>
      <c r="BT64" s="242"/>
      <c r="BU64" s="242"/>
      <c r="BV64" s="242"/>
      <c r="BW64" s="242"/>
      <c r="BX64" s="242"/>
      <c r="BY64" s="242"/>
      <c r="BZ64" s="242"/>
      <c r="CA64" s="242"/>
      <c r="CB64" s="242"/>
      <c r="CC64" s="243"/>
      <c r="CD64" s="243"/>
      <c r="CE64" s="242"/>
      <c r="CF64" s="242"/>
      <c r="CG64" s="242"/>
      <c r="CH64" s="242"/>
      <c r="CI64" s="242"/>
      <c r="CJ64" s="242"/>
      <c r="CK64" s="242"/>
      <c r="CL64" s="242"/>
      <c r="CM64" s="242"/>
      <c r="CN64" s="242"/>
      <c r="CO64" s="242"/>
      <c r="CP64" s="242"/>
      <c r="CQ64" s="242"/>
      <c r="CR64" s="243"/>
      <c r="CS64" s="242"/>
      <c r="CT64" s="242"/>
      <c r="CU64" s="242"/>
      <c r="CV64" s="242"/>
      <c r="CW64" s="242"/>
      <c r="CX64" s="243"/>
      <c r="CY64" s="242"/>
      <c r="CZ64" s="242"/>
      <c r="DA64" s="242"/>
      <c r="DB64" s="242"/>
      <c r="DC64" s="242"/>
      <c r="DD64" s="242"/>
      <c r="DE64" s="242"/>
      <c r="DF64" s="242"/>
      <c r="DG64" s="242"/>
      <c r="DH64" s="242"/>
      <c r="DI64" s="242"/>
      <c r="DJ64" s="242"/>
      <c r="DK64" s="242"/>
      <c r="DL64" s="242"/>
      <c r="DM64" s="242"/>
      <c r="DN64" s="242"/>
      <c r="DO64" s="242"/>
      <c r="DP64" s="242"/>
      <c r="DQ64" s="242"/>
      <c r="DR64" s="242"/>
      <c r="DS64" s="242"/>
      <c r="DT64" s="242"/>
      <c r="DU64" s="242"/>
      <c r="DV64" s="242"/>
      <c r="DW64" s="242"/>
      <c r="DX64" s="242"/>
      <c r="DY64" s="242"/>
      <c r="DZ64" s="242"/>
      <c r="EA64" s="242"/>
      <c r="EB64" s="242"/>
      <c r="EC64" s="242"/>
      <c r="ED64" s="242"/>
      <c r="EE64" s="242"/>
      <c r="EF64" s="242"/>
      <c r="EG64" s="242"/>
      <c r="EH64" s="242"/>
      <c r="EI64" s="242"/>
      <c r="EJ64" s="242"/>
      <c r="EK64" s="242"/>
      <c r="EL64" s="242"/>
      <c r="EM64" s="242"/>
      <c r="EN64" s="242"/>
      <c r="EO64" s="242"/>
      <c r="EP64" s="242"/>
      <c r="EQ64" s="242"/>
      <c r="ER64" s="242"/>
      <c r="ES64" s="242"/>
      <c r="ET64" s="242"/>
      <c r="EU64" s="242"/>
      <c r="EV64" s="242"/>
      <c r="EW64" s="242"/>
      <c r="EX64" s="242"/>
      <c r="EY64" s="242"/>
      <c r="EZ64" s="242"/>
      <c r="FA64" s="242"/>
      <c r="FB64" s="242"/>
      <c r="FC64" s="242"/>
      <c r="FD64" s="242"/>
      <c r="FE64" s="242"/>
      <c r="FF64" s="242"/>
      <c r="FG64" s="242"/>
      <c r="FH64" s="242"/>
      <c r="FI64" s="242"/>
      <c r="FJ64" s="242"/>
      <c r="FK64" s="242"/>
      <c r="FL64" s="242"/>
      <c r="FM64" s="242"/>
      <c r="FN64" s="242"/>
      <c r="FO64" s="242"/>
      <c r="FP64" s="242"/>
      <c r="FQ64" s="243"/>
      <c r="FR64" s="243"/>
      <c r="FS64" s="242"/>
      <c r="FT64" s="242"/>
      <c r="FU64" s="242"/>
      <c r="FV64" s="242"/>
      <c r="FW64" s="242"/>
      <c r="FX64" s="242"/>
      <c r="FY64" s="242"/>
      <c r="FZ64" s="242"/>
      <c r="GA64" s="242"/>
      <c r="GB64" s="242"/>
      <c r="GC64" s="242"/>
      <c r="GD64" s="242"/>
      <c r="GE64" s="242"/>
      <c r="GF64" s="242"/>
      <c r="GG64" s="242"/>
      <c r="GH64" s="242"/>
      <c r="GI64" s="242"/>
      <c r="GJ64" s="242"/>
      <c r="GK64" s="242"/>
      <c r="GL64" s="242"/>
      <c r="GM64" s="242"/>
      <c r="GN64" s="242"/>
      <c r="GO64" s="242"/>
      <c r="GP64" s="242"/>
      <c r="GQ64" s="242"/>
      <c r="GR64" s="242"/>
      <c r="GS64" s="242"/>
      <c r="GT64" s="242"/>
      <c r="GU64" s="242"/>
      <c r="GV64" s="242"/>
      <c r="GW64" s="243"/>
      <c r="GX64" s="242"/>
      <c r="GY64" s="242"/>
      <c r="GZ64" s="242"/>
      <c r="HA64" s="242"/>
      <c r="HB64" s="242"/>
      <c r="HC64" s="242"/>
      <c r="HD64" s="242"/>
      <c r="HE64" s="242"/>
      <c r="HF64" s="242"/>
      <c r="HG64" s="242"/>
      <c r="HH64" s="242"/>
      <c r="HI64" s="242"/>
      <c r="HJ64" s="242"/>
      <c r="HK64" s="242"/>
      <c r="HL64" s="242"/>
      <c r="HM64" s="242"/>
      <c r="HN64" s="242"/>
      <c r="HO64" s="242"/>
      <c r="HP64" s="242"/>
      <c r="HQ64" s="242"/>
      <c r="HR64" s="242"/>
      <c r="HS64" s="242"/>
      <c r="HT64" s="242"/>
      <c r="HU64" s="242"/>
      <c r="HV64" s="242"/>
      <c r="HW64" s="242"/>
      <c r="HX64" s="242"/>
      <c r="HY64" s="242"/>
      <c r="HZ64" s="242"/>
      <c r="IA64" s="242"/>
      <c r="IB64" s="242"/>
      <c r="IC64" s="242"/>
      <c r="ID64" s="242"/>
      <c r="IE64" s="242"/>
      <c r="IF64" s="242"/>
      <c r="IG64" s="242"/>
      <c r="IH64" s="242"/>
      <c r="II64" s="242"/>
      <c r="IJ64" s="242"/>
      <c r="IK64" s="242"/>
      <c r="IL64" s="242"/>
      <c r="IM64" s="242">
        <v>1</v>
      </c>
      <c r="IN64" s="242">
        <v>1</v>
      </c>
      <c r="IO64" s="242">
        <v>1</v>
      </c>
      <c r="IP64" s="242">
        <v>1</v>
      </c>
      <c r="IQ64" s="242">
        <v>1</v>
      </c>
      <c r="IR64" s="242">
        <v>1</v>
      </c>
      <c r="IS64" s="242">
        <v>1</v>
      </c>
      <c r="IT64" s="242">
        <v>1</v>
      </c>
      <c r="IU64" s="242">
        <v>2</v>
      </c>
      <c r="IV64" s="243"/>
      <c r="IW64" s="242">
        <v>2</v>
      </c>
      <c r="IX64" s="242">
        <v>2</v>
      </c>
      <c r="IY64" s="242">
        <v>2</v>
      </c>
      <c r="IZ64" s="242">
        <f>+IS64+1</f>
        <v>2</v>
      </c>
      <c r="JA64" s="242">
        <f>+IT64+1</f>
        <v>2</v>
      </c>
      <c r="JB64" s="242">
        <v>2</v>
      </c>
      <c r="JC64" s="242">
        <v>2</v>
      </c>
      <c r="JD64" s="242">
        <f>+IU64+1</f>
        <v>3</v>
      </c>
      <c r="JE64" s="242">
        <f t="shared" ref="JE64:JI64" si="146">+IW64+1</f>
        <v>3</v>
      </c>
      <c r="JF64" s="242">
        <f t="shared" si="146"/>
        <v>3</v>
      </c>
      <c r="JG64" s="242">
        <f t="shared" si="146"/>
        <v>3</v>
      </c>
      <c r="JH64" s="242">
        <f t="shared" si="146"/>
        <v>3</v>
      </c>
      <c r="JI64" s="242">
        <f t="shared" si="146"/>
        <v>3</v>
      </c>
      <c r="JJ64" s="242">
        <f t="shared" si="134"/>
        <v>3</v>
      </c>
      <c r="JK64" s="242">
        <f t="shared" si="134"/>
        <v>3</v>
      </c>
      <c r="JL64" s="242">
        <f t="shared" si="134"/>
        <v>4</v>
      </c>
      <c r="JM64" s="242">
        <f t="shared" si="134"/>
        <v>4</v>
      </c>
      <c r="JN64" s="242">
        <f t="shared" si="134"/>
        <v>4</v>
      </c>
      <c r="JO64" s="242">
        <f t="shared" si="134"/>
        <v>4</v>
      </c>
      <c r="JP64" s="243"/>
      <c r="JQ64" s="242">
        <f t="shared" si="135"/>
        <v>4</v>
      </c>
      <c r="JR64" s="242">
        <f t="shared" si="135"/>
        <v>4</v>
      </c>
      <c r="JS64" s="242">
        <f t="shared" si="135"/>
        <v>4</v>
      </c>
      <c r="JT64" s="243"/>
      <c r="JU64" s="243"/>
      <c r="JV64" s="242">
        <f t="shared" si="136"/>
        <v>4</v>
      </c>
      <c r="JW64" s="242">
        <f t="shared" si="136"/>
        <v>5</v>
      </c>
      <c r="JX64" s="242">
        <f t="shared" si="136"/>
        <v>5</v>
      </c>
      <c r="JY64" s="242">
        <f t="shared" si="136"/>
        <v>5</v>
      </c>
      <c r="JZ64" s="242">
        <f t="shared" si="136"/>
        <v>5</v>
      </c>
      <c r="KA64" s="242">
        <f>+JQ64+1</f>
        <v>5</v>
      </c>
      <c r="KB64" s="243"/>
      <c r="KC64" s="242">
        <f>+JR64+1</f>
        <v>5</v>
      </c>
      <c r="KD64" s="242">
        <f>+JS64+1</f>
        <v>5</v>
      </c>
      <c r="KE64" s="242">
        <f t="shared" si="137"/>
        <v>5</v>
      </c>
      <c r="KF64" s="242">
        <f t="shared" si="137"/>
        <v>6</v>
      </c>
      <c r="KG64" s="242">
        <f t="shared" si="137"/>
        <v>6</v>
      </c>
      <c r="KH64" s="242">
        <f t="shared" si="137"/>
        <v>6</v>
      </c>
      <c r="KI64" s="242">
        <f t="shared" si="137"/>
        <v>6</v>
      </c>
      <c r="KJ64" s="242">
        <f t="shared" si="137"/>
        <v>6</v>
      </c>
      <c r="KK64" s="242">
        <f t="shared" si="124"/>
        <v>6</v>
      </c>
      <c r="KL64" s="242">
        <f t="shared" si="124"/>
        <v>6</v>
      </c>
      <c r="KM64" s="242">
        <f t="shared" si="124"/>
        <v>6</v>
      </c>
      <c r="KN64" s="242">
        <f t="shared" si="124"/>
        <v>7</v>
      </c>
      <c r="KO64" s="242">
        <f t="shared" si="124"/>
        <v>7</v>
      </c>
      <c r="KP64" s="242">
        <f t="shared" si="124"/>
        <v>7</v>
      </c>
      <c r="KQ64" s="242">
        <f t="shared" si="124"/>
        <v>7</v>
      </c>
      <c r="KR64" s="242">
        <f t="shared" si="124"/>
        <v>7</v>
      </c>
      <c r="KS64" s="242">
        <f t="shared" si="124"/>
        <v>7</v>
      </c>
      <c r="KT64" s="242">
        <f t="shared" si="139"/>
        <v>7</v>
      </c>
      <c r="KU64" s="242">
        <f t="shared" si="139"/>
        <v>7</v>
      </c>
      <c r="KV64" s="243"/>
      <c r="KW64" s="242">
        <f t="shared" si="138"/>
        <v>8</v>
      </c>
      <c r="KX64" s="242">
        <f t="shared" si="138"/>
        <v>8</v>
      </c>
      <c r="KY64" s="242">
        <f t="shared" si="138"/>
        <v>8</v>
      </c>
      <c r="KZ64" s="242">
        <f t="shared" si="138"/>
        <v>8</v>
      </c>
      <c r="LA64" s="242">
        <f t="shared" si="138"/>
        <v>8</v>
      </c>
      <c r="LB64" s="242">
        <f t="shared" si="138"/>
        <v>8</v>
      </c>
      <c r="LC64" s="242">
        <f t="shared" si="138"/>
        <v>8</v>
      </c>
      <c r="LD64" s="242">
        <f t="shared" si="138"/>
        <v>8</v>
      </c>
      <c r="LE64" s="242">
        <f t="shared" si="139"/>
        <v>9</v>
      </c>
      <c r="LF64" s="242">
        <f t="shared" si="126"/>
        <v>9</v>
      </c>
      <c r="LG64" s="242">
        <f t="shared" si="126"/>
        <v>9</v>
      </c>
      <c r="LH64" s="242">
        <f t="shared" si="126"/>
        <v>9</v>
      </c>
      <c r="LI64" s="242">
        <f t="shared" si="126"/>
        <v>9</v>
      </c>
      <c r="LJ64" s="242">
        <f t="shared" si="126"/>
        <v>9</v>
      </c>
      <c r="LK64" s="242">
        <f t="shared" si="126"/>
        <v>9</v>
      </c>
      <c r="LL64" s="242">
        <f t="shared" si="126"/>
        <v>9</v>
      </c>
      <c r="LM64" s="242">
        <f t="shared" si="126"/>
        <v>10</v>
      </c>
      <c r="LN64" s="242">
        <f t="shared" si="126"/>
        <v>10</v>
      </c>
      <c r="LO64" s="242">
        <f t="shared" si="126"/>
        <v>10</v>
      </c>
      <c r="LP64" s="242">
        <f t="shared" si="126"/>
        <v>10</v>
      </c>
      <c r="LQ64" s="242">
        <f t="shared" si="126"/>
        <v>10</v>
      </c>
      <c r="LR64" s="242">
        <f t="shared" si="126"/>
        <v>10</v>
      </c>
      <c r="LS64" s="242">
        <f t="shared" si="126"/>
        <v>10</v>
      </c>
      <c r="LT64" s="242">
        <f t="shared" si="126"/>
        <v>10</v>
      </c>
      <c r="LU64" s="242">
        <f t="shared" si="127"/>
        <v>11</v>
      </c>
      <c r="LV64" s="242">
        <f t="shared" si="127"/>
        <v>11</v>
      </c>
      <c r="LW64" s="242">
        <f t="shared" si="127"/>
        <v>11</v>
      </c>
      <c r="LX64" s="242">
        <f t="shared" si="127"/>
        <v>11</v>
      </c>
      <c r="LY64" s="242">
        <f t="shared" si="127"/>
        <v>11</v>
      </c>
      <c r="LZ64" s="242">
        <f t="shared" si="127"/>
        <v>11</v>
      </c>
      <c r="MA64" s="242">
        <f t="shared" si="127"/>
        <v>11</v>
      </c>
      <c r="MB64" s="242">
        <f t="shared" si="127"/>
        <v>11</v>
      </c>
      <c r="MC64" s="242">
        <f t="shared" si="131"/>
        <v>12</v>
      </c>
      <c r="MD64" s="243"/>
      <c r="ME64" s="242">
        <f t="shared" si="140"/>
        <v>12</v>
      </c>
      <c r="MF64" s="242">
        <f t="shared" si="140"/>
        <v>12</v>
      </c>
      <c r="MG64" s="242">
        <f t="shared" si="140"/>
        <v>12</v>
      </c>
      <c r="MH64" s="242">
        <f t="shared" si="140"/>
        <v>12</v>
      </c>
      <c r="MI64" s="242">
        <f t="shared" si="140"/>
        <v>12</v>
      </c>
      <c r="MJ64" s="242">
        <f t="shared" si="140"/>
        <v>12</v>
      </c>
      <c r="MK64" s="242">
        <f t="shared" si="140"/>
        <v>12</v>
      </c>
      <c r="ML64" s="242">
        <f t="shared" si="140"/>
        <v>13</v>
      </c>
      <c r="MM64" s="242">
        <f t="shared" si="132"/>
        <v>13</v>
      </c>
      <c r="MN64" s="242">
        <f t="shared" si="132"/>
        <v>13</v>
      </c>
      <c r="MO64" s="242">
        <f t="shared" si="132"/>
        <v>13</v>
      </c>
      <c r="MP64" s="242">
        <f t="shared" si="132"/>
        <v>13</v>
      </c>
      <c r="MQ64" s="242">
        <f t="shared" si="132"/>
        <v>13</v>
      </c>
      <c r="MR64" s="242">
        <f t="shared" si="132"/>
        <v>13</v>
      </c>
      <c r="MS64" s="242">
        <f t="shared" si="132"/>
        <v>13</v>
      </c>
      <c r="MT64" s="242">
        <f t="shared" si="132"/>
        <v>14</v>
      </c>
      <c r="MU64" s="242">
        <f t="shared" si="132"/>
        <v>14</v>
      </c>
      <c r="MV64" s="242">
        <f t="shared" si="132"/>
        <v>14</v>
      </c>
      <c r="MW64" s="242">
        <f t="shared" si="132"/>
        <v>14</v>
      </c>
      <c r="MX64" s="243"/>
      <c r="MY64" s="242">
        <f t="shared" si="141"/>
        <v>14</v>
      </c>
      <c r="MZ64" s="242">
        <f t="shared" si="141"/>
        <v>14</v>
      </c>
      <c r="NA64" s="242">
        <f t="shared" si="141"/>
        <v>14</v>
      </c>
      <c r="NB64" s="242">
        <f t="shared" si="141"/>
        <v>14</v>
      </c>
      <c r="NC64" s="242">
        <f t="shared" si="141"/>
        <v>15</v>
      </c>
      <c r="ND64" s="242">
        <f t="shared" si="141"/>
        <v>15</v>
      </c>
      <c r="NE64" s="242">
        <f t="shared" si="141"/>
        <v>15</v>
      </c>
      <c r="NF64" s="242">
        <f t="shared" si="141"/>
        <v>15</v>
      </c>
      <c r="NG64" s="242">
        <f t="shared" si="142"/>
        <v>15</v>
      </c>
      <c r="NH64" s="242">
        <f t="shared" si="142"/>
        <v>15</v>
      </c>
      <c r="NI64" s="242">
        <f t="shared" si="142"/>
        <v>15</v>
      </c>
      <c r="NJ64" s="242">
        <f t="shared" si="142"/>
        <v>15</v>
      </c>
      <c r="NK64" s="242">
        <f t="shared" si="142"/>
        <v>16</v>
      </c>
      <c r="NL64" s="242">
        <f t="shared" si="143"/>
        <v>16</v>
      </c>
      <c r="NM64" s="242">
        <f t="shared" si="143"/>
        <v>16</v>
      </c>
      <c r="NN64" s="242">
        <f t="shared" si="143"/>
        <v>16</v>
      </c>
      <c r="NO64" s="242">
        <f t="shared" si="143"/>
        <v>16</v>
      </c>
      <c r="NP64" s="242">
        <f t="shared" si="143"/>
        <v>16</v>
      </c>
      <c r="NQ64" s="242">
        <f t="shared" si="143"/>
        <v>16</v>
      </c>
      <c r="NR64" s="242">
        <f t="shared" si="143"/>
        <v>16</v>
      </c>
      <c r="NS64" s="242">
        <f t="shared" si="143"/>
        <v>17</v>
      </c>
      <c r="NT64" s="242">
        <f t="shared" si="143"/>
        <v>17</v>
      </c>
      <c r="NU64" s="242">
        <f t="shared" si="143"/>
        <v>17</v>
      </c>
      <c r="NV64" s="242">
        <f t="shared" si="143"/>
        <v>17</v>
      </c>
      <c r="NW64" s="242">
        <f t="shared" si="143"/>
        <v>17</v>
      </c>
      <c r="NX64" s="242">
        <f t="shared" si="144"/>
        <v>17</v>
      </c>
      <c r="NY64" s="242">
        <f>+NQ64+1</f>
        <v>17</v>
      </c>
      <c r="NZ64" s="242">
        <f t="shared" si="144"/>
        <v>17</v>
      </c>
      <c r="OA64" s="242">
        <f>+NS64+1</f>
        <v>18</v>
      </c>
      <c r="OB64" s="242">
        <f t="shared" si="144"/>
        <v>18</v>
      </c>
      <c r="OC64" s="242">
        <f t="shared" si="144"/>
        <v>18</v>
      </c>
      <c r="OD64" s="243"/>
      <c r="OE64" s="243"/>
      <c r="OF64" s="242">
        <f>+NV64+1</f>
        <v>18</v>
      </c>
      <c r="OG64" s="242"/>
      <c r="OH64" s="242"/>
      <c r="OI64" s="242"/>
      <c r="OJ64" s="242"/>
      <c r="OK64" s="242"/>
      <c r="OL64" s="242"/>
      <c r="OM64" s="242"/>
      <c r="ON64" s="242"/>
      <c r="OO64" s="242"/>
      <c r="OP64" s="242"/>
      <c r="OQ64" s="242"/>
      <c r="OR64" s="242"/>
      <c r="OS64" s="243"/>
      <c r="OT64" s="242"/>
      <c r="OU64" s="242"/>
      <c r="OV64" s="242"/>
      <c r="OW64" s="242"/>
      <c r="OX64" s="242"/>
      <c r="OY64" s="243"/>
      <c r="OZ64" s="242"/>
      <c r="PA64" s="242"/>
      <c r="PB64" s="242"/>
      <c r="PC64" s="242"/>
      <c r="PD64" s="242"/>
      <c r="PE64" s="242"/>
      <c r="PF64" s="242"/>
      <c r="PG64" s="242"/>
      <c r="PH64" s="242"/>
      <c r="PI64" s="242"/>
      <c r="PJ64" s="242"/>
      <c r="PK64" s="242"/>
      <c r="PL64" s="242"/>
      <c r="PM64" s="242"/>
      <c r="PN64" s="242"/>
      <c r="PO64" s="242"/>
      <c r="PP64" s="242"/>
      <c r="PQ64" s="242"/>
      <c r="PR64" s="242"/>
      <c r="PS64" s="242"/>
      <c r="PT64" s="242"/>
      <c r="PU64" s="242"/>
      <c r="PV64" s="242"/>
      <c r="PW64" s="242"/>
      <c r="PX64" s="242"/>
      <c r="PY64" s="242"/>
      <c r="PZ64" s="242"/>
      <c r="QA64" s="242"/>
      <c r="QB64" s="242"/>
      <c r="QC64" s="242"/>
      <c r="QD64" s="242"/>
      <c r="QE64" s="242"/>
      <c r="QF64" s="242"/>
      <c r="QG64" s="242"/>
      <c r="QH64" s="242"/>
      <c r="QI64" s="244"/>
    </row>
    <row r="65" spans="1:451" ht="18" customHeight="1" x14ac:dyDescent="0.2">
      <c r="A65" s="239"/>
      <c r="B65" s="245"/>
      <c r="C65" s="242"/>
      <c r="D65" s="242"/>
      <c r="E65" s="242"/>
      <c r="F65" s="242"/>
      <c r="G65" s="242"/>
      <c r="H65" s="242"/>
      <c r="I65" s="242"/>
      <c r="J65" s="242"/>
      <c r="K65" s="242"/>
      <c r="L65" s="242"/>
      <c r="M65" s="242"/>
      <c r="N65" s="242"/>
      <c r="O65" s="242"/>
      <c r="P65" s="242"/>
      <c r="Q65" s="242"/>
      <c r="R65" s="242"/>
      <c r="S65" s="242"/>
      <c r="T65" s="242"/>
      <c r="U65" s="242"/>
      <c r="V65" s="242"/>
      <c r="W65" s="242"/>
      <c r="X65" s="242"/>
      <c r="Y65" s="242"/>
      <c r="Z65" s="242"/>
      <c r="AA65" s="242"/>
      <c r="AB65" s="242"/>
      <c r="AC65" s="243"/>
      <c r="AD65" s="242"/>
      <c r="AE65" s="242"/>
      <c r="AF65" s="242"/>
      <c r="AG65" s="242"/>
      <c r="AH65" s="242"/>
      <c r="AI65" s="242"/>
      <c r="AJ65" s="242"/>
      <c r="AK65" s="242"/>
      <c r="AL65" s="242"/>
      <c r="AM65" s="242"/>
      <c r="AN65" s="242"/>
      <c r="AO65" s="242"/>
      <c r="AP65" s="242"/>
      <c r="AQ65" s="242"/>
      <c r="AR65" s="243"/>
      <c r="AS65" s="242"/>
      <c r="AT65" s="242"/>
      <c r="AU65" s="242"/>
      <c r="AV65" s="242"/>
      <c r="AW65" s="242"/>
      <c r="AX65" s="242"/>
      <c r="AY65" s="242"/>
      <c r="AZ65" s="242"/>
      <c r="BA65" s="242"/>
      <c r="BB65" s="242"/>
      <c r="BC65" s="242"/>
      <c r="BD65" s="242"/>
      <c r="BE65" s="242"/>
      <c r="BF65" s="242"/>
      <c r="BG65" s="242"/>
      <c r="BH65" s="242"/>
      <c r="BI65" s="242"/>
      <c r="BJ65" s="242"/>
      <c r="BK65" s="242"/>
      <c r="BL65" s="242"/>
      <c r="BM65" s="242"/>
      <c r="BN65" s="242"/>
      <c r="BO65" s="242"/>
      <c r="BP65" s="242"/>
      <c r="BQ65" s="242"/>
      <c r="BR65" s="242"/>
      <c r="BS65" s="242"/>
      <c r="BT65" s="242"/>
      <c r="BU65" s="242"/>
      <c r="BV65" s="242"/>
      <c r="BW65" s="242"/>
      <c r="BX65" s="242"/>
      <c r="BY65" s="242"/>
      <c r="BZ65" s="242"/>
      <c r="CA65" s="242"/>
      <c r="CB65" s="242"/>
      <c r="CC65" s="243"/>
      <c r="CD65" s="243"/>
      <c r="CE65" s="242"/>
      <c r="CF65" s="242"/>
      <c r="CG65" s="242"/>
      <c r="CH65" s="242"/>
      <c r="CI65" s="242"/>
      <c r="CJ65" s="242"/>
      <c r="CK65" s="242"/>
      <c r="CL65" s="242"/>
      <c r="CM65" s="242"/>
      <c r="CN65" s="242"/>
      <c r="CO65" s="242"/>
      <c r="CP65" s="242"/>
      <c r="CQ65" s="242"/>
      <c r="CR65" s="243"/>
      <c r="CS65" s="242"/>
      <c r="CT65" s="242"/>
      <c r="CU65" s="242"/>
      <c r="CV65" s="242"/>
      <c r="CW65" s="242"/>
      <c r="CX65" s="243"/>
      <c r="CY65" s="242"/>
      <c r="CZ65" s="242"/>
      <c r="DA65" s="242"/>
      <c r="DB65" s="242"/>
      <c r="DC65" s="242"/>
      <c r="DD65" s="242"/>
      <c r="DE65" s="242"/>
      <c r="DF65" s="242"/>
      <c r="DG65" s="242"/>
      <c r="DH65" s="242"/>
      <c r="DI65" s="242"/>
      <c r="DJ65" s="242"/>
      <c r="DK65" s="242"/>
      <c r="DL65" s="242"/>
      <c r="DM65" s="242"/>
      <c r="DN65" s="242"/>
      <c r="DO65" s="242"/>
      <c r="DP65" s="242"/>
      <c r="DQ65" s="242"/>
      <c r="DR65" s="242"/>
      <c r="DS65" s="242"/>
      <c r="DT65" s="242"/>
      <c r="DU65" s="242"/>
      <c r="DV65" s="242"/>
      <c r="DW65" s="242"/>
      <c r="DX65" s="242"/>
      <c r="DY65" s="242"/>
      <c r="DZ65" s="242"/>
      <c r="EA65" s="242"/>
      <c r="EB65" s="242"/>
      <c r="EC65" s="242"/>
      <c r="ED65" s="242"/>
      <c r="EE65" s="242"/>
      <c r="EF65" s="242"/>
      <c r="EG65" s="242"/>
      <c r="EH65" s="242"/>
      <c r="EI65" s="242"/>
      <c r="EJ65" s="242"/>
      <c r="EK65" s="242"/>
      <c r="EL65" s="242"/>
      <c r="EM65" s="242"/>
      <c r="EN65" s="242"/>
      <c r="EO65" s="242"/>
      <c r="EP65" s="242"/>
      <c r="EQ65" s="242"/>
      <c r="ER65" s="242"/>
      <c r="ES65" s="242"/>
      <c r="ET65" s="242"/>
      <c r="EU65" s="242"/>
      <c r="EV65" s="242"/>
      <c r="EW65" s="242"/>
      <c r="EX65" s="242"/>
      <c r="EY65" s="242"/>
      <c r="EZ65" s="242"/>
      <c r="FA65" s="242"/>
      <c r="FB65" s="242"/>
      <c r="FC65" s="242"/>
      <c r="FD65" s="242"/>
      <c r="FE65" s="242"/>
      <c r="FF65" s="242"/>
      <c r="FG65" s="242"/>
      <c r="FH65" s="242"/>
      <c r="FI65" s="242"/>
      <c r="FJ65" s="242"/>
      <c r="FK65" s="242"/>
      <c r="FL65" s="242"/>
      <c r="FM65" s="242"/>
      <c r="FN65" s="242"/>
      <c r="FO65" s="242"/>
      <c r="FP65" s="242"/>
      <c r="FQ65" s="243"/>
      <c r="FR65" s="243"/>
      <c r="FS65" s="242"/>
      <c r="FT65" s="242"/>
      <c r="FU65" s="242"/>
      <c r="FV65" s="242"/>
      <c r="FW65" s="242"/>
      <c r="FX65" s="242"/>
      <c r="FY65" s="242"/>
      <c r="FZ65" s="242"/>
      <c r="GA65" s="242"/>
      <c r="GB65" s="242"/>
      <c r="GC65" s="242"/>
      <c r="GD65" s="242"/>
      <c r="GE65" s="242"/>
      <c r="GF65" s="242"/>
      <c r="GG65" s="242"/>
      <c r="GH65" s="242"/>
      <c r="GI65" s="242"/>
      <c r="GJ65" s="242"/>
      <c r="GK65" s="242"/>
      <c r="GL65" s="242"/>
      <c r="GM65" s="242"/>
      <c r="GN65" s="242"/>
      <c r="GO65" s="242"/>
      <c r="GP65" s="242"/>
      <c r="GQ65" s="242"/>
      <c r="GR65" s="242"/>
      <c r="GS65" s="242"/>
      <c r="GT65" s="242"/>
      <c r="GU65" s="242"/>
      <c r="GV65" s="242"/>
      <c r="GW65" s="243"/>
      <c r="GX65" s="242"/>
      <c r="GY65" s="242"/>
      <c r="GZ65" s="242"/>
      <c r="HA65" s="242"/>
      <c r="HB65" s="242"/>
      <c r="HC65" s="242"/>
      <c r="HD65" s="242"/>
      <c r="HE65" s="242"/>
      <c r="HF65" s="242"/>
      <c r="HG65" s="242"/>
      <c r="HH65" s="242"/>
      <c r="HI65" s="242"/>
      <c r="HJ65" s="242"/>
      <c r="HK65" s="242"/>
      <c r="HL65" s="242"/>
      <c r="HM65" s="242"/>
      <c r="HN65" s="242"/>
      <c r="HO65" s="242"/>
      <c r="HP65" s="242"/>
      <c r="HQ65" s="242"/>
      <c r="HR65" s="242"/>
      <c r="HS65" s="242"/>
      <c r="HT65" s="242"/>
      <c r="HU65" s="242"/>
      <c r="HV65" s="242"/>
      <c r="HW65" s="242"/>
      <c r="HX65" s="242"/>
      <c r="HY65" s="242"/>
      <c r="HZ65" s="242"/>
      <c r="IA65" s="242"/>
      <c r="IB65" s="242"/>
      <c r="IC65" s="242"/>
      <c r="ID65" s="242"/>
      <c r="IE65" s="242"/>
      <c r="IF65" s="242"/>
      <c r="IG65" s="242"/>
      <c r="IH65" s="242"/>
      <c r="II65" s="242"/>
      <c r="IJ65" s="242"/>
      <c r="IK65" s="242"/>
      <c r="IL65" s="242"/>
      <c r="IM65" s="242"/>
      <c r="IN65" s="242"/>
      <c r="IO65" s="242"/>
      <c r="IP65" s="242"/>
      <c r="IQ65" s="242"/>
      <c r="IR65" s="242"/>
      <c r="IS65" s="242"/>
      <c r="IT65" s="242"/>
      <c r="IU65" s="242"/>
      <c r="IV65" s="243"/>
      <c r="IW65" s="242"/>
      <c r="IX65" s="242"/>
      <c r="IY65" s="242"/>
      <c r="IZ65" s="242"/>
      <c r="JA65" s="242"/>
      <c r="JB65" s="242"/>
      <c r="JC65" s="242"/>
      <c r="JD65" s="242"/>
      <c r="JE65" s="242"/>
      <c r="JF65" s="242"/>
      <c r="JG65" s="242"/>
      <c r="JH65" s="242"/>
      <c r="JI65" s="242"/>
      <c r="JJ65" s="242"/>
      <c r="JK65" s="242"/>
      <c r="JL65" s="242"/>
      <c r="JM65" s="242"/>
      <c r="JN65" s="242"/>
      <c r="JO65" s="242"/>
      <c r="JP65" s="243"/>
      <c r="JQ65" s="242"/>
      <c r="JR65" s="242"/>
      <c r="JS65" s="242"/>
      <c r="JT65" s="243"/>
      <c r="JU65" s="243"/>
      <c r="JV65" s="242"/>
      <c r="JW65" s="242"/>
      <c r="JX65" s="242"/>
      <c r="JY65" s="242"/>
      <c r="JZ65" s="242"/>
      <c r="KA65" s="242"/>
      <c r="KB65" s="243"/>
      <c r="KC65" s="242"/>
      <c r="KD65" s="242"/>
      <c r="KE65" s="242"/>
      <c r="KF65" s="242"/>
      <c r="KG65" s="242"/>
      <c r="KH65" s="242"/>
      <c r="KI65" s="242"/>
      <c r="KJ65" s="242"/>
      <c r="KK65" s="242"/>
      <c r="KL65" s="242"/>
      <c r="KM65" s="242"/>
      <c r="KN65" s="242"/>
      <c r="KO65" s="242"/>
      <c r="KP65" s="242"/>
      <c r="KQ65" s="242"/>
      <c r="KR65" s="242"/>
      <c r="KS65" s="242"/>
      <c r="KT65" s="242"/>
      <c r="KU65" s="242"/>
      <c r="KV65" s="243"/>
      <c r="KW65" s="242"/>
      <c r="KX65" s="242"/>
      <c r="KY65" s="242"/>
      <c r="KZ65" s="242"/>
      <c r="LA65" s="242"/>
      <c r="LB65" s="242"/>
      <c r="LC65" s="242"/>
      <c r="LD65" s="242"/>
      <c r="LE65" s="242"/>
      <c r="LF65" s="242"/>
      <c r="LG65" s="242"/>
      <c r="LH65" s="242"/>
      <c r="LI65" s="242"/>
      <c r="LJ65" s="242"/>
      <c r="LK65" s="242"/>
      <c r="LL65" s="242"/>
      <c r="LM65" s="242"/>
      <c r="LN65" s="242"/>
      <c r="LO65" s="242"/>
      <c r="LP65" s="242"/>
      <c r="LQ65" s="242"/>
      <c r="LR65" s="242"/>
      <c r="LS65" s="242"/>
      <c r="LT65" s="242"/>
      <c r="LU65" s="242"/>
      <c r="LV65" s="242"/>
      <c r="LW65" s="242"/>
      <c r="LX65" s="242"/>
      <c r="LY65" s="242"/>
      <c r="LZ65" s="242"/>
      <c r="MA65" s="242"/>
      <c r="MB65" s="242"/>
      <c r="MC65" s="242"/>
      <c r="MD65" s="243"/>
      <c r="ME65" s="242"/>
      <c r="MF65" s="242"/>
      <c r="MG65" s="242"/>
      <c r="MH65" s="242"/>
      <c r="MI65" s="242"/>
      <c r="MJ65" s="242"/>
      <c r="MK65" s="242"/>
      <c r="ML65" s="242"/>
      <c r="MM65" s="242"/>
      <c r="MN65" s="242"/>
      <c r="MO65" s="242"/>
      <c r="MP65" s="242"/>
      <c r="MQ65" s="242"/>
      <c r="MR65" s="242"/>
      <c r="MS65" s="242"/>
      <c r="MT65" s="242"/>
      <c r="MU65" s="242"/>
      <c r="MV65" s="242"/>
      <c r="MW65" s="242"/>
      <c r="MX65" s="243"/>
      <c r="MY65" s="242"/>
      <c r="MZ65" s="242"/>
      <c r="NA65" s="242"/>
      <c r="NB65" s="242"/>
      <c r="NC65" s="242"/>
      <c r="ND65" s="242"/>
      <c r="NE65" s="242"/>
      <c r="NF65" s="242"/>
      <c r="NG65" s="242"/>
      <c r="NH65" s="242"/>
      <c r="NI65" s="242"/>
      <c r="NJ65" s="242"/>
      <c r="NK65" s="242"/>
      <c r="NL65" s="242"/>
      <c r="NM65" s="242"/>
      <c r="NN65" s="242"/>
      <c r="NO65" s="242"/>
      <c r="NP65" s="242"/>
      <c r="NQ65" s="242"/>
      <c r="NR65" s="242"/>
      <c r="NS65" s="242"/>
      <c r="NT65" s="242"/>
      <c r="NU65" s="242"/>
      <c r="NV65" s="242"/>
      <c r="NW65" s="242"/>
      <c r="NX65" s="242"/>
      <c r="NY65" s="242"/>
      <c r="NZ65" s="242"/>
      <c r="OA65" s="242"/>
      <c r="OB65" s="242"/>
      <c r="OC65" s="242"/>
      <c r="OD65" s="243"/>
      <c r="OE65" s="243"/>
      <c r="OF65" s="242"/>
      <c r="OG65" s="242"/>
      <c r="OH65" s="242"/>
      <c r="OI65" s="242"/>
      <c r="OJ65" s="242"/>
      <c r="OK65" s="242"/>
      <c r="OL65" s="242"/>
      <c r="OM65" s="242"/>
      <c r="ON65" s="242"/>
      <c r="OO65" s="242"/>
      <c r="OP65" s="242"/>
      <c r="OQ65" s="242"/>
      <c r="OR65" s="242"/>
      <c r="OS65" s="243"/>
      <c r="OT65" s="242"/>
      <c r="OU65" s="242"/>
      <c r="OV65" s="242"/>
      <c r="OW65" s="242"/>
      <c r="OX65" s="242"/>
      <c r="OY65" s="243"/>
      <c r="OZ65" s="242"/>
      <c r="PA65" s="242"/>
      <c r="PB65" s="242"/>
      <c r="PC65" s="242"/>
      <c r="PD65" s="242"/>
      <c r="PE65" s="242"/>
      <c r="PF65" s="242"/>
      <c r="PG65" s="242"/>
      <c r="PH65" s="242"/>
      <c r="PI65" s="242"/>
      <c r="PJ65" s="242"/>
      <c r="PK65" s="242"/>
      <c r="PL65" s="242"/>
      <c r="PM65" s="242"/>
      <c r="PN65" s="242"/>
      <c r="PO65" s="242"/>
      <c r="PP65" s="242"/>
      <c r="PQ65" s="242"/>
      <c r="PR65" s="242"/>
      <c r="PS65" s="242"/>
      <c r="PT65" s="242"/>
      <c r="PU65" s="242"/>
      <c r="PV65" s="242"/>
      <c r="PW65" s="242"/>
      <c r="PX65" s="242"/>
      <c r="PY65" s="242"/>
      <c r="PZ65" s="242"/>
      <c r="QA65" s="242"/>
      <c r="QB65" s="242"/>
      <c r="QC65" s="242"/>
      <c r="QD65" s="242"/>
      <c r="QE65" s="242"/>
      <c r="QF65" s="242"/>
      <c r="QG65" s="242"/>
      <c r="QH65" s="242"/>
      <c r="QI65" s="244"/>
    </row>
    <row r="66" spans="1:451" ht="18" customHeight="1" x14ac:dyDescent="0.2">
      <c r="A66" s="239" t="s">
        <v>455</v>
      </c>
      <c r="B66" s="245"/>
      <c r="C66" s="242"/>
      <c r="D66" s="242"/>
      <c r="E66" s="242"/>
      <c r="F66" s="242"/>
      <c r="G66" s="242"/>
      <c r="H66" s="242"/>
      <c r="I66" s="242"/>
      <c r="J66" s="242"/>
      <c r="K66" s="242"/>
      <c r="L66" s="242"/>
      <c r="M66" s="242"/>
      <c r="N66" s="242"/>
      <c r="O66" s="242"/>
      <c r="P66" s="242"/>
      <c r="Q66" s="242"/>
      <c r="R66" s="242"/>
      <c r="S66" s="242"/>
      <c r="T66" s="242"/>
      <c r="U66" s="242"/>
      <c r="V66" s="242"/>
      <c r="W66" s="242"/>
      <c r="X66" s="242"/>
      <c r="Y66" s="242"/>
      <c r="Z66" s="242"/>
      <c r="AA66" s="242"/>
      <c r="AB66" s="242"/>
      <c r="AC66" s="243"/>
      <c r="AD66" s="242"/>
      <c r="AE66" s="242"/>
      <c r="AF66" s="242"/>
      <c r="AG66" s="242"/>
      <c r="AH66" s="242"/>
      <c r="AI66" s="242"/>
      <c r="AJ66" s="242"/>
      <c r="AK66" s="242"/>
      <c r="AL66" s="242"/>
      <c r="AM66" s="242"/>
      <c r="AN66" s="242"/>
      <c r="AO66" s="242"/>
      <c r="AP66" s="242"/>
      <c r="AQ66" s="242"/>
      <c r="AR66" s="243"/>
      <c r="AS66" s="242"/>
      <c r="AT66" s="242"/>
      <c r="AU66" s="242"/>
      <c r="AV66" s="242"/>
      <c r="AW66" s="242"/>
      <c r="AX66" s="242"/>
      <c r="AY66" s="242"/>
      <c r="AZ66" s="242"/>
      <c r="BA66" s="242"/>
      <c r="BB66" s="242"/>
      <c r="BC66" s="242"/>
      <c r="BD66" s="242"/>
      <c r="BE66" s="242"/>
      <c r="BF66" s="242"/>
      <c r="BG66" s="242"/>
      <c r="BH66" s="242"/>
      <c r="BI66" s="242"/>
      <c r="BJ66" s="242"/>
      <c r="BK66" s="242"/>
      <c r="BL66" s="242"/>
      <c r="BM66" s="242"/>
      <c r="BN66" s="242"/>
      <c r="BO66" s="242"/>
      <c r="BP66" s="242"/>
      <c r="BQ66" s="242"/>
      <c r="BR66" s="242"/>
      <c r="BS66" s="242"/>
      <c r="BT66" s="242"/>
      <c r="BU66" s="242"/>
      <c r="BV66" s="242"/>
      <c r="BW66" s="242"/>
      <c r="BX66" s="242"/>
      <c r="BY66" s="242"/>
      <c r="BZ66" s="242"/>
      <c r="CA66" s="242"/>
      <c r="CB66" s="242"/>
      <c r="CC66" s="243"/>
      <c r="CD66" s="243"/>
      <c r="CE66" s="242"/>
      <c r="CF66" s="242"/>
      <c r="CG66" s="242"/>
      <c r="CH66" s="242"/>
      <c r="CI66" s="242"/>
      <c r="CJ66" s="242"/>
      <c r="CK66" s="242"/>
      <c r="CL66" s="242"/>
      <c r="CM66" s="242"/>
      <c r="CN66" s="242"/>
      <c r="CO66" s="242"/>
      <c r="CP66" s="242"/>
      <c r="CQ66" s="242"/>
      <c r="CR66" s="243"/>
      <c r="CS66" s="242"/>
      <c r="CT66" s="242"/>
      <c r="CU66" s="242"/>
      <c r="CV66" s="242"/>
      <c r="CW66" s="242"/>
      <c r="CX66" s="243"/>
      <c r="CY66" s="242"/>
      <c r="CZ66" s="242"/>
      <c r="DA66" s="242"/>
      <c r="DB66" s="242"/>
      <c r="DC66" s="242"/>
      <c r="DD66" s="242"/>
      <c r="DE66" s="242"/>
      <c r="DF66" s="242"/>
      <c r="DG66" s="242"/>
      <c r="DH66" s="242"/>
      <c r="DI66" s="242"/>
      <c r="DJ66" s="242"/>
      <c r="DK66" s="242"/>
      <c r="DL66" s="242"/>
      <c r="DM66" s="242"/>
      <c r="DN66" s="242"/>
      <c r="DO66" s="242"/>
      <c r="DP66" s="242"/>
      <c r="DQ66" s="242"/>
      <c r="DR66" s="242"/>
      <c r="DS66" s="242"/>
      <c r="DT66" s="242"/>
      <c r="DU66" s="242"/>
      <c r="DV66" s="242"/>
      <c r="DW66" s="242"/>
      <c r="DX66" s="242"/>
      <c r="DY66" s="242"/>
      <c r="DZ66" s="242"/>
      <c r="EA66" s="242"/>
      <c r="EB66" s="242"/>
      <c r="EC66" s="242"/>
      <c r="ED66" s="242"/>
      <c r="EE66" s="242"/>
      <c r="EF66" s="242"/>
      <c r="EG66" s="242"/>
      <c r="EH66" s="242"/>
      <c r="EI66" s="242"/>
      <c r="EJ66" s="242"/>
      <c r="EK66" s="242"/>
      <c r="EL66" s="242"/>
      <c r="EM66" s="242"/>
      <c r="EN66" s="242"/>
      <c r="EO66" s="242"/>
      <c r="EP66" s="242"/>
      <c r="EQ66" s="242"/>
      <c r="ER66" s="242"/>
      <c r="ES66" s="242"/>
      <c r="ET66" s="242"/>
      <c r="EU66" s="242"/>
      <c r="EV66" s="242"/>
      <c r="EW66" s="242"/>
      <c r="EX66" s="242"/>
      <c r="EY66" s="242"/>
      <c r="EZ66" s="242"/>
      <c r="FA66" s="242"/>
      <c r="FB66" s="242"/>
      <c r="FC66" s="242"/>
      <c r="FD66" s="242"/>
      <c r="FE66" s="242"/>
      <c r="FF66" s="242"/>
      <c r="FG66" s="242"/>
      <c r="FH66" s="242"/>
      <c r="FI66" s="242"/>
      <c r="FJ66" s="242"/>
      <c r="FK66" s="242"/>
      <c r="FL66" s="242"/>
      <c r="FM66" s="242"/>
      <c r="FN66" s="242"/>
      <c r="FO66" s="242"/>
      <c r="FP66" s="242"/>
      <c r="FQ66" s="243"/>
      <c r="FR66" s="243"/>
      <c r="FS66" s="242"/>
      <c r="FT66" s="242"/>
      <c r="FU66" s="242"/>
      <c r="FV66" s="242"/>
      <c r="FW66" s="242"/>
      <c r="FX66" s="242"/>
      <c r="FY66" s="242"/>
      <c r="FZ66" s="242"/>
      <c r="GA66" s="242"/>
      <c r="GB66" s="242"/>
      <c r="GC66" s="242"/>
      <c r="GD66" s="242"/>
      <c r="GE66" s="242"/>
      <c r="GF66" s="242"/>
      <c r="GG66" s="242"/>
      <c r="GH66" s="242"/>
      <c r="GI66" s="242"/>
      <c r="GJ66" s="242"/>
      <c r="GK66" s="242"/>
      <c r="GL66" s="242"/>
      <c r="GM66" s="242"/>
      <c r="GN66" s="242"/>
      <c r="GO66" s="242"/>
      <c r="GP66" s="242"/>
      <c r="GQ66" s="242"/>
      <c r="GR66" s="242"/>
      <c r="GS66" s="242"/>
      <c r="GT66" s="242"/>
      <c r="GU66" s="242"/>
      <c r="GV66" s="242"/>
      <c r="GW66" s="243"/>
      <c r="GX66" s="242"/>
      <c r="GY66" s="242"/>
      <c r="GZ66" s="242"/>
      <c r="HA66" s="242"/>
      <c r="HB66" s="242"/>
      <c r="HC66" s="242"/>
      <c r="HD66" s="242"/>
      <c r="HE66" s="242"/>
      <c r="HF66" s="242"/>
      <c r="HG66" s="242"/>
      <c r="HH66" s="242"/>
      <c r="HI66" s="242"/>
      <c r="HJ66" s="242"/>
      <c r="HK66" s="242"/>
      <c r="HL66" s="242"/>
      <c r="HM66" s="242"/>
      <c r="HN66" s="242"/>
      <c r="HO66" s="242"/>
      <c r="HP66" s="242"/>
      <c r="HQ66" s="242"/>
      <c r="HR66" s="242"/>
      <c r="HS66" s="242"/>
      <c r="HT66" s="242"/>
      <c r="HU66" s="242"/>
      <c r="HV66" s="242"/>
      <c r="HW66" s="242"/>
      <c r="HX66" s="242"/>
      <c r="HY66" s="242"/>
      <c r="HZ66" s="242"/>
      <c r="IA66" s="242"/>
      <c r="IB66" s="242"/>
      <c r="IC66" s="242"/>
      <c r="ID66" s="242"/>
      <c r="IE66" s="242"/>
      <c r="IF66" s="242"/>
      <c r="IG66" s="242"/>
      <c r="IH66" s="242"/>
      <c r="II66" s="242"/>
      <c r="IJ66" s="242"/>
      <c r="IK66" s="242"/>
      <c r="IL66" s="242"/>
      <c r="IM66" s="242"/>
      <c r="IN66" s="242"/>
      <c r="IO66" s="242"/>
      <c r="IP66" s="242"/>
      <c r="IQ66" s="242"/>
      <c r="IR66" s="242"/>
      <c r="IS66" s="242"/>
      <c r="IT66" s="242"/>
      <c r="IU66" s="242"/>
      <c r="IV66" s="243"/>
      <c r="IW66" s="242"/>
      <c r="IX66" s="242"/>
      <c r="IY66" s="242"/>
      <c r="IZ66" s="242"/>
      <c r="JA66" s="242">
        <v>1</v>
      </c>
      <c r="JB66" s="242">
        <v>1</v>
      </c>
      <c r="JC66" s="242">
        <v>1</v>
      </c>
      <c r="JD66" s="242">
        <v>1</v>
      </c>
      <c r="JE66" s="242">
        <v>1</v>
      </c>
      <c r="JF66" s="242">
        <v>1</v>
      </c>
      <c r="JG66" s="242">
        <v>1</v>
      </c>
      <c r="JH66" s="242">
        <v>1</v>
      </c>
      <c r="JI66" s="242">
        <v>2</v>
      </c>
      <c r="JJ66" s="242">
        <v>2</v>
      </c>
      <c r="JK66" s="242">
        <v>2</v>
      </c>
      <c r="JL66" s="242">
        <v>2</v>
      </c>
      <c r="JM66" s="242">
        <f>+JG66+1</f>
        <v>2</v>
      </c>
      <c r="JN66" s="242">
        <f>+JH66+1</f>
        <v>2</v>
      </c>
      <c r="JO66" s="242">
        <v>2</v>
      </c>
      <c r="JP66" s="243"/>
      <c r="JQ66" s="242">
        <v>2</v>
      </c>
      <c r="JR66" s="242">
        <f>+JI66+1</f>
        <v>3</v>
      </c>
      <c r="JS66" s="242">
        <f>+JJ66+1</f>
        <v>3</v>
      </c>
      <c r="JT66" s="243"/>
      <c r="JU66" s="243"/>
      <c r="JV66" s="242">
        <f>+JK66+1</f>
        <v>3</v>
      </c>
      <c r="JW66" s="242">
        <f>+JL66+1</f>
        <v>3</v>
      </c>
      <c r="JX66" s="242">
        <f>+JM66+1</f>
        <v>3</v>
      </c>
      <c r="JY66" s="242">
        <f>+JN66+1</f>
        <v>3</v>
      </c>
      <c r="JZ66" s="242">
        <f>+JO66+1</f>
        <v>3</v>
      </c>
      <c r="KA66" s="242">
        <f>+JQ66+1</f>
        <v>3</v>
      </c>
      <c r="KB66" s="243"/>
      <c r="KC66" s="242">
        <f>+JR66+1</f>
        <v>4</v>
      </c>
      <c r="KD66" s="242">
        <f>+JS66+1</f>
        <v>4</v>
      </c>
      <c r="KE66" s="242">
        <f t="shared" ref="KE66:KJ66" si="147">+JV66+1</f>
        <v>4</v>
      </c>
      <c r="KF66" s="242">
        <f t="shared" si="147"/>
        <v>4</v>
      </c>
      <c r="KG66" s="242">
        <f t="shared" si="147"/>
        <v>4</v>
      </c>
      <c r="KH66" s="242">
        <f t="shared" si="147"/>
        <v>4</v>
      </c>
      <c r="KI66" s="242">
        <f t="shared" si="147"/>
        <v>4</v>
      </c>
      <c r="KJ66" s="242">
        <f t="shared" si="147"/>
        <v>4</v>
      </c>
      <c r="KK66" s="242">
        <f t="shared" si="124"/>
        <v>5</v>
      </c>
      <c r="KL66" s="242">
        <f t="shared" si="124"/>
        <v>5</v>
      </c>
      <c r="KM66" s="242">
        <f t="shared" si="124"/>
        <v>5</v>
      </c>
      <c r="KN66" s="242">
        <f t="shared" si="124"/>
        <v>5</v>
      </c>
      <c r="KO66" s="242">
        <f t="shared" si="124"/>
        <v>5</v>
      </c>
      <c r="KP66" s="242">
        <f t="shared" si="124"/>
        <v>5</v>
      </c>
      <c r="KQ66" s="242">
        <f t="shared" si="124"/>
        <v>5</v>
      </c>
      <c r="KR66" s="242">
        <f t="shared" si="124"/>
        <v>5</v>
      </c>
      <c r="KS66" s="242">
        <f t="shared" si="124"/>
        <v>6</v>
      </c>
      <c r="KT66" s="242">
        <f t="shared" si="139"/>
        <v>6</v>
      </c>
      <c r="KU66" s="242">
        <f t="shared" si="139"/>
        <v>6</v>
      </c>
      <c r="KV66" s="243"/>
      <c r="KW66" s="242">
        <f t="shared" ref="KW66:LD66" si="148">+KN66+1</f>
        <v>6</v>
      </c>
      <c r="KX66" s="242">
        <f t="shared" si="148"/>
        <v>6</v>
      </c>
      <c r="KY66" s="242">
        <f t="shared" si="148"/>
        <v>6</v>
      </c>
      <c r="KZ66" s="242">
        <f t="shared" si="148"/>
        <v>6</v>
      </c>
      <c r="LA66" s="242">
        <f t="shared" si="148"/>
        <v>6</v>
      </c>
      <c r="LB66" s="242">
        <f t="shared" si="148"/>
        <v>7</v>
      </c>
      <c r="LC66" s="242">
        <f t="shared" si="148"/>
        <v>7</v>
      </c>
      <c r="LD66" s="242">
        <f t="shared" si="148"/>
        <v>7</v>
      </c>
      <c r="LE66" s="242">
        <f t="shared" si="139"/>
        <v>7</v>
      </c>
      <c r="LF66" s="242">
        <f t="shared" si="126"/>
        <v>7</v>
      </c>
      <c r="LG66" s="242">
        <f t="shared" si="126"/>
        <v>7</v>
      </c>
      <c r="LH66" s="242">
        <f t="shared" si="126"/>
        <v>7</v>
      </c>
      <c r="LI66" s="242">
        <f t="shared" si="126"/>
        <v>7</v>
      </c>
      <c r="LJ66" s="242">
        <f t="shared" si="126"/>
        <v>8</v>
      </c>
      <c r="LK66" s="242">
        <f t="shared" si="126"/>
        <v>8</v>
      </c>
      <c r="LL66" s="242">
        <f t="shared" si="126"/>
        <v>8</v>
      </c>
      <c r="LM66" s="242">
        <f t="shared" si="126"/>
        <v>8</v>
      </c>
      <c r="LN66" s="242">
        <f t="shared" si="126"/>
        <v>8</v>
      </c>
      <c r="LO66" s="242">
        <f t="shared" si="126"/>
        <v>8</v>
      </c>
      <c r="LP66" s="242">
        <f t="shared" si="126"/>
        <v>8</v>
      </c>
      <c r="LQ66" s="242">
        <f t="shared" si="126"/>
        <v>8</v>
      </c>
      <c r="LR66" s="242">
        <f t="shared" si="126"/>
        <v>9</v>
      </c>
      <c r="LS66" s="242">
        <f t="shared" si="126"/>
        <v>9</v>
      </c>
      <c r="LT66" s="242">
        <f t="shared" si="126"/>
        <v>9</v>
      </c>
      <c r="LU66" s="242">
        <f t="shared" si="127"/>
        <v>9</v>
      </c>
      <c r="LV66" s="242">
        <f t="shared" si="127"/>
        <v>9</v>
      </c>
      <c r="LW66" s="242">
        <f t="shared" si="127"/>
        <v>9</v>
      </c>
      <c r="LX66" s="242">
        <f t="shared" si="127"/>
        <v>9</v>
      </c>
      <c r="LY66" s="242">
        <f t="shared" si="127"/>
        <v>9</v>
      </c>
      <c r="LZ66" s="242">
        <f t="shared" si="127"/>
        <v>10</v>
      </c>
      <c r="MA66" s="242">
        <f t="shared" si="127"/>
        <v>10</v>
      </c>
      <c r="MB66" s="242">
        <f t="shared" si="127"/>
        <v>10</v>
      </c>
      <c r="MC66" s="242">
        <f t="shared" si="131"/>
        <v>10</v>
      </c>
      <c r="MD66" s="243"/>
      <c r="ME66" s="242">
        <f t="shared" ref="ME66:ML66" si="149">+LV66+1</f>
        <v>10</v>
      </c>
      <c r="MF66" s="242">
        <f t="shared" si="149"/>
        <v>10</v>
      </c>
      <c r="MG66" s="242">
        <f t="shared" si="149"/>
        <v>10</v>
      </c>
      <c r="MH66" s="242">
        <f t="shared" si="149"/>
        <v>10</v>
      </c>
      <c r="MI66" s="242">
        <f t="shared" si="149"/>
        <v>11</v>
      </c>
      <c r="MJ66" s="242">
        <f t="shared" si="149"/>
        <v>11</v>
      </c>
      <c r="MK66" s="242">
        <f t="shared" si="149"/>
        <v>11</v>
      </c>
      <c r="ML66" s="242">
        <f t="shared" si="149"/>
        <v>11</v>
      </c>
      <c r="MM66" s="242">
        <f t="shared" si="132"/>
        <v>11</v>
      </c>
      <c r="MN66" s="242">
        <f t="shared" si="132"/>
        <v>11</v>
      </c>
      <c r="MO66" s="242">
        <f t="shared" si="132"/>
        <v>11</v>
      </c>
      <c r="MP66" s="242">
        <f t="shared" si="132"/>
        <v>11</v>
      </c>
      <c r="MQ66" s="242">
        <f t="shared" si="132"/>
        <v>12</v>
      </c>
      <c r="MR66" s="242">
        <f t="shared" si="132"/>
        <v>12</v>
      </c>
      <c r="MS66" s="242">
        <f t="shared" si="132"/>
        <v>12</v>
      </c>
      <c r="MT66" s="242">
        <f t="shared" si="132"/>
        <v>12</v>
      </c>
      <c r="MU66" s="242">
        <f t="shared" si="132"/>
        <v>12</v>
      </c>
      <c r="MV66" s="242">
        <f t="shared" si="132"/>
        <v>12</v>
      </c>
      <c r="MW66" s="242">
        <f t="shared" si="132"/>
        <v>12</v>
      </c>
      <c r="MX66" s="243"/>
      <c r="MY66" s="242">
        <f t="shared" ref="MY66:NF66" si="150">+MP66+1</f>
        <v>12</v>
      </c>
      <c r="MZ66" s="242">
        <f t="shared" si="150"/>
        <v>13</v>
      </c>
      <c r="NA66" s="242">
        <f t="shared" si="150"/>
        <v>13</v>
      </c>
      <c r="NB66" s="242">
        <f t="shared" si="150"/>
        <v>13</v>
      </c>
      <c r="NC66" s="242">
        <f t="shared" si="150"/>
        <v>13</v>
      </c>
      <c r="ND66" s="242">
        <f t="shared" si="150"/>
        <v>13</v>
      </c>
      <c r="NE66" s="242">
        <f t="shared" si="150"/>
        <v>13</v>
      </c>
      <c r="NF66" s="242">
        <f t="shared" si="150"/>
        <v>13</v>
      </c>
      <c r="NG66" s="242">
        <f t="shared" si="142"/>
        <v>13</v>
      </c>
      <c r="NH66" s="242">
        <f t="shared" si="142"/>
        <v>14</v>
      </c>
      <c r="NI66" s="242">
        <f t="shared" si="142"/>
        <v>14</v>
      </c>
      <c r="NJ66" s="242">
        <f t="shared" si="142"/>
        <v>14</v>
      </c>
      <c r="NK66" s="242">
        <f t="shared" si="142"/>
        <v>14</v>
      </c>
      <c r="NL66" s="242">
        <f t="shared" si="143"/>
        <v>14</v>
      </c>
      <c r="NM66" s="242">
        <f t="shared" si="143"/>
        <v>14</v>
      </c>
      <c r="NN66" s="242">
        <f t="shared" si="143"/>
        <v>14</v>
      </c>
      <c r="NO66" s="242">
        <f t="shared" si="143"/>
        <v>14</v>
      </c>
      <c r="NP66" s="242">
        <f t="shared" si="143"/>
        <v>15</v>
      </c>
      <c r="NQ66" s="242">
        <f t="shared" si="143"/>
        <v>15</v>
      </c>
      <c r="NR66" s="242">
        <f t="shared" si="143"/>
        <v>15</v>
      </c>
      <c r="NS66" s="242">
        <f t="shared" si="143"/>
        <v>15</v>
      </c>
      <c r="NT66" s="242">
        <f t="shared" si="143"/>
        <v>15</v>
      </c>
      <c r="NU66" s="242">
        <f t="shared" si="143"/>
        <v>15</v>
      </c>
      <c r="NV66" s="242">
        <f t="shared" si="143"/>
        <v>15</v>
      </c>
      <c r="NW66" s="242">
        <f t="shared" si="143"/>
        <v>15</v>
      </c>
      <c r="NX66" s="242">
        <f t="shared" si="144"/>
        <v>16</v>
      </c>
      <c r="NY66" s="242">
        <f t="shared" si="144"/>
        <v>16</v>
      </c>
      <c r="NZ66" s="242">
        <f t="shared" si="144"/>
        <v>16</v>
      </c>
      <c r="OA66" s="242">
        <f t="shared" si="144"/>
        <v>16</v>
      </c>
      <c r="OB66" s="242">
        <f t="shared" si="144"/>
        <v>16</v>
      </c>
      <c r="OC66" s="242">
        <f t="shared" si="144"/>
        <v>16</v>
      </c>
      <c r="OD66" s="243"/>
      <c r="OE66" s="243"/>
      <c r="OF66" s="242">
        <f t="shared" ref="OF66:OM66" si="151">+NV66+1</f>
        <v>16</v>
      </c>
      <c r="OG66" s="242">
        <f t="shared" si="151"/>
        <v>16</v>
      </c>
      <c r="OH66" s="242">
        <f t="shared" si="151"/>
        <v>17</v>
      </c>
      <c r="OI66" s="242">
        <f t="shared" si="151"/>
        <v>17</v>
      </c>
      <c r="OJ66" s="242">
        <f t="shared" si="151"/>
        <v>17</v>
      </c>
      <c r="OK66" s="242">
        <f t="shared" si="151"/>
        <v>17</v>
      </c>
      <c r="OL66" s="242">
        <f t="shared" si="151"/>
        <v>17</v>
      </c>
      <c r="OM66" s="242">
        <f t="shared" si="151"/>
        <v>17</v>
      </c>
      <c r="ON66" s="242">
        <f>+OF66+1</f>
        <v>17</v>
      </c>
      <c r="OO66" s="242">
        <f t="shared" ref="OO66" si="152">+OG66+1</f>
        <v>17</v>
      </c>
      <c r="OP66" s="242">
        <f>+OH66+1</f>
        <v>18</v>
      </c>
      <c r="OQ66" s="242">
        <f t="shared" ref="OQ66:OR66" si="153">+OI66+1</f>
        <v>18</v>
      </c>
      <c r="OR66" s="242">
        <f t="shared" si="153"/>
        <v>18</v>
      </c>
      <c r="OS66" s="243"/>
      <c r="OT66" s="242">
        <f>+OK66+1</f>
        <v>18</v>
      </c>
      <c r="OU66" s="242"/>
      <c r="OV66" s="242"/>
      <c r="OW66" s="242"/>
      <c r="OX66" s="242"/>
      <c r="OY66" s="243"/>
      <c r="OZ66" s="242"/>
      <c r="PA66" s="242"/>
      <c r="PB66" s="242"/>
      <c r="PC66" s="242"/>
      <c r="PD66" s="242"/>
      <c r="PE66" s="242"/>
      <c r="PF66" s="242"/>
      <c r="PG66" s="242"/>
      <c r="PH66" s="242"/>
      <c r="PI66" s="242"/>
      <c r="PJ66" s="242"/>
      <c r="PK66" s="242"/>
      <c r="PL66" s="242"/>
      <c r="PM66" s="242"/>
      <c r="PN66" s="242"/>
      <c r="PO66" s="242"/>
      <c r="PP66" s="242"/>
      <c r="PQ66" s="242"/>
      <c r="PR66" s="242"/>
      <c r="PS66" s="242"/>
      <c r="PT66" s="242"/>
      <c r="PU66" s="242"/>
      <c r="PV66" s="242"/>
      <c r="PW66" s="242"/>
      <c r="PX66" s="242"/>
      <c r="PY66" s="242"/>
      <c r="PZ66" s="242"/>
      <c r="QA66" s="242"/>
      <c r="QB66" s="242"/>
      <c r="QC66" s="242"/>
      <c r="QD66" s="242"/>
      <c r="QE66" s="242"/>
      <c r="QF66" s="242"/>
      <c r="QG66" s="242"/>
      <c r="QH66" s="242"/>
      <c r="QI66" s="244"/>
    </row>
    <row r="67" spans="1:451" ht="18" customHeight="1" x14ac:dyDescent="0.2">
      <c r="A67" s="239"/>
      <c r="B67" s="245"/>
      <c r="C67" s="242"/>
      <c r="D67" s="242"/>
      <c r="E67" s="242"/>
      <c r="F67" s="242"/>
      <c r="G67" s="242"/>
      <c r="H67" s="242"/>
      <c r="I67" s="242"/>
      <c r="J67" s="242"/>
      <c r="K67" s="242"/>
      <c r="L67" s="242"/>
      <c r="M67" s="242"/>
      <c r="N67" s="242"/>
      <c r="O67" s="242"/>
      <c r="P67" s="242"/>
      <c r="Q67" s="242"/>
      <c r="R67" s="242"/>
      <c r="S67" s="242"/>
      <c r="T67" s="242"/>
      <c r="U67" s="242"/>
      <c r="V67" s="242"/>
      <c r="W67" s="242"/>
      <c r="X67" s="242"/>
      <c r="Y67" s="242"/>
      <c r="Z67" s="242"/>
      <c r="AA67" s="242"/>
      <c r="AB67" s="242"/>
      <c r="AC67" s="243"/>
      <c r="AD67" s="242"/>
      <c r="AE67" s="242"/>
      <c r="AF67" s="242"/>
      <c r="AG67" s="242"/>
      <c r="AH67" s="242"/>
      <c r="AI67" s="242"/>
      <c r="AJ67" s="242"/>
      <c r="AK67" s="242"/>
      <c r="AL67" s="242"/>
      <c r="AM67" s="242"/>
      <c r="AN67" s="242"/>
      <c r="AO67" s="242"/>
      <c r="AP67" s="242"/>
      <c r="AQ67" s="242"/>
      <c r="AR67" s="243"/>
      <c r="AS67" s="242"/>
      <c r="AT67" s="242"/>
      <c r="AU67" s="242"/>
      <c r="AV67" s="242"/>
      <c r="AW67" s="242"/>
      <c r="AX67" s="242"/>
      <c r="AY67" s="242"/>
      <c r="AZ67" s="242"/>
      <c r="BA67" s="242"/>
      <c r="BB67" s="242"/>
      <c r="BC67" s="242"/>
      <c r="BD67" s="242"/>
      <c r="BE67" s="242"/>
      <c r="BF67" s="242"/>
      <c r="BG67" s="242"/>
      <c r="BH67" s="242"/>
      <c r="BI67" s="242"/>
      <c r="BJ67" s="242"/>
      <c r="BK67" s="242"/>
      <c r="BL67" s="242"/>
      <c r="BM67" s="242"/>
      <c r="BN67" s="242"/>
      <c r="BO67" s="242"/>
      <c r="BP67" s="242"/>
      <c r="BQ67" s="242"/>
      <c r="BR67" s="242"/>
      <c r="BS67" s="242"/>
      <c r="BT67" s="242"/>
      <c r="BU67" s="242"/>
      <c r="BV67" s="242"/>
      <c r="BW67" s="242"/>
      <c r="BX67" s="242"/>
      <c r="BY67" s="242"/>
      <c r="BZ67" s="242"/>
      <c r="CA67" s="242"/>
      <c r="CB67" s="242"/>
      <c r="CC67" s="243"/>
      <c r="CD67" s="243"/>
      <c r="CE67" s="242"/>
      <c r="CF67" s="242"/>
      <c r="CG67" s="242"/>
      <c r="CH67" s="242"/>
      <c r="CI67" s="242"/>
      <c r="CJ67" s="242"/>
      <c r="CK67" s="242"/>
      <c r="CL67" s="242"/>
      <c r="CM67" s="242"/>
      <c r="CN67" s="242"/>
      <c r="CO67" s="242"/>
      <c r="CP67" s="242"/>
      <c r="CQ67" s="242"/>
      <c r="CR67" s="243"/>
      <c r="CS67" s="242"/>
      <c r="CT67" s="242"/>
      <c r="CU67" s="242"/>
      <c r="CV67" s="242"/>
      <c r="CW67" s="242"/>
      <c r="CX67" s="243"/>
      <c r="CY67" s="242"/>
      <c r="CZ67" s="242"/>
      <c r="DA67" s="242"/>
      <c r="DB67" s="242"/>
      <c r="DC67" s="242"/>
      <c r="DD67" s="242"/>
      <c r="DE67" s="242"/>
      <c r="DF67" s="242"/>
      <c r="DG67" s="242"/>
      <c r="DH67" s="242"/>
      <c r="DI67" s="242"/>
      <c r="DJ67" s="242"/>
      <c r="DK67" s="242"/>
      <c r="DL67" s="242"/>
      <c r="DM67" s="242"/>
      <c r="DN67" s="242"/>
      <c r="DO67" s="242"/>
      <c r="DP67" s="242"/>
      <c r="DQ67" s="242"/>
      <c r="DR67" s="242"/>
      <c r="DS67" s="242"/>
      <c r="DT67" s="242"/>
      <c r="DU67" s="242"/>
      <c r="DV67" s="242"/>
      <c r="DW67" s="242"/>
      <c r="DX67" s="242"/>
      <c r="DY67" s="242"/>
      <c r="DZ67" s="242"/>
      <c r="EA67" s="242"/>
      <c r="EB67" s="242"/>
      <c r="EC67" s="242"/>
      <c r="ED67" s="242"/>
      <c r="EE67" s="242"/>
      <c r="EF67" s="242"/>
      <c r="EG67" s="242"/>
      <c r="EH67" s="242"/>
      <c r="EI67" s="242"/>
      <c r="EJ67" s="242"/>
      <c r="EK67" s="242"/>
      <c r="EL67" s="242"/>
      <c r="EM67" s="242"/>
      <c r="EN67" s="242"/>
      <c r="EO67" s="242"/>
      <c r="EP67" s="242"/>
      <c r="EQ67" s="242"/>
      <c r="ER67" s="242"/>
      <c r="ES67" s="242"/>
      <c r="ET67" s="242"/>
      <c r="EU67" s="242"/>
      <c r="EV67" s="242"/>
      <c r="EW67" s="242"/>
      <c r="EX67" s="242"/>
      <c r="EY67" s="242"/>
      <c r="EZ67" s="242"/>
      <c r="FA67" s="242"/>
      <c r="FB67" s="242"/>
      <c r="FC67" s="242"/>
      <c r="FD67" s="242"/>
      <c r="FE67" s="242"/>
      <c r="FF67" s="242"/>
      <c r="FG67" s="242"/>
      <c r="FH67" s="242"/>
      <c r="FI67" s="242"/>
      <c r="FJ67" s="242"/>
      <c r="FK67" s="242"/>
      <c r="FL67" s="242"/>
      <c r="FM67" s="242"/>
      <c r="FN67" s="242"/>
      <c r="FO67" s="242"/>
      <c r="FP67" s="242"/>
      <c r="FQ67" s="243"/>
      <c r="FR67" s="243"/>
      <c r="FS67" s="242"/>
      <c r="FT67" s="242"/>
      <c r="FU67" s="242"/>
      <c r="FV67" s="242"/>
      <c r="FW67" s="242"/>
      <c r="FX67" s="242"/>
      <c r="FY67" s="242"/>
      <c r="FZ67" s="242"/>
      <c r="GA67" s="242"/>
      <c r="GB67" s="242"/>
      <c r="GC67" s="242"/>
      <c r="GD67" s="242"/>
      <c r="GE67" s="242"/>
      <c r="GF67" s="242"/>
      <c r="GG67" s="242"/>
      <c r="GH67" s="242"/>
      <c r="GI67" s="242"/>
      <c r="GJ67" s="242"/>
      <c r="GK67" s="242"/>
      <c r="GL67" s="242"/>
      <c r="GM67" s="242"/>
      <c r="GN67" s="242"/>
      <c r="GO67" s="242"/>
      <c r="GP67" s="242"/>
      <c r="GQ67" s="242"/>
      <c r="GR67" s="242"/>
      <c r="GS67" s="242"/>
      <c r="GT67" s="242"/>
      <c r="GU67" s="242"/>
      <c r="GV67" s="242"/>
      <c r="GW67" s="243"/>
      <c r="GX67" s="242"/>
      <c r="GY67" s="242"/>
      <c r="GZ67" s="242"/>
      <c r="HA67" s="242"/>
      <c r="HB67" s="242"/>
      <c r="HC67" s="242"/>
      <c r="HD67" s="242"/>
      <c r="HE67" s="242"/>
      <c r="HF67" s="242"/>
      <c r="HG67" s="242"/>
      <c r="HH67" s="242"/>
      <c r="HI67" s="242"/>
      <c r="HJ67" s="242"/>
      <c r="HK67" s="242"/>
      <c r="HL67" s="242"/>
      <c r="HM67" s="242"/>
      <c r="HN67" s="242"/>
      <c r="HO67" s="242"/>
      <c r="HP67" s="242"/>
      <c r="HQ67" s="242"/>
      <c r="HR67" s="242"/>
      <c r="HS67" s="242"/>
      <c r="HT67" s="242"/>
      <c r="HU67" s="242"/>
      <c r="HV67" s="242"/>
      <c r="HW67" s="242"/>
      <c r="HX67" s="242"/>
      <c r="HY67" s="242"/>
      <c r="HZ67" s="242"/>
      <c r="IA67" s="242"/>
      <c r="IB67" s="242"/>
      <c r="IC67" s="242"/>
      <c r="ID67" s="242"/>
      <c r="IE67" s="242"/>
      <c r="IF67" s="242"/>
      <c r="IG67" s="242"/>
      <c r="IH67" s="242"/>
      <c r="II67" s="242"/>
      <c r="IJ67" s="242"/>
      <c r="IK67" s="242"/>
      <c r="IL67" s="242"/>
      <c r="IM67" s="242"/>
      <c r="IN67" s="242"/>
      <c r="IO67" s="242"/>
      <c r="IP67" s="242"/>
      <c r="IQ67" s="242"/>
      <c r="IR67" s="242"/>
      <c r="IS67" s="242"/>
      <c r="IT67" s="242"/>
      <c r="IU67" s="242"/>
      <c r="IV67" s="243"/>
      <c r="IW67" s="242"/>
      <c r="IX67" s="242"/>
      <c r="IY67" s="242"/>
      <c r="IZ67" s="242"/>
      <c r="JA67" s="242"/>
      <c r="JB67" s="242"/>
      <c r="JC67" s="242"/>
      <c r="JD67" s="242"/>
      <c r="JE67" s="242"/>
      <c r="JF67" s="242"/>
      <c r="JG67" s="242"/>
      <c r="JH67" s="242"/>
      <c r="JI67" s="242"/>
      <c r="JJ67" s="242"/>
      <c r="JK67" s="242"/>
      <c r="JL67" s="242"/>
      <c r="JM67" s="242"/>
      <c r="JN67" s="242"/>
      <c r="JO67" s="242"/>
      <c r="JP67" s="243"/>
      <c r="JQ67" s="242"/>
      <c r="JR67" s="242"/>
      <c r="JS67" s="242"/>
      <c r="JT67" s="243"/>
      <c r="JU67" s="243"/>
      <c r="JV67" s="242"/>
      <c r="JW67" s="242"/>
      <c r="JX67" s="242"/>
      <c r="JY67" s="242"/>
      <c r="JZ67" s="242"/>
      <c r="KA67" s="242"/>
      <c r="KB67" s="243"/>
      <c r="KC67" s="242"/>
      <c r="KD67" s="242"/>
      <c r="KE67" s="242"/>
      <c r="KF67" s="242"/>
      <c r="KG67" s="242"/>
      <c r="KH67" s="242"/>
      <c r="KI67" s="242"/>
      <c r="KJ67" s="242"/>
      <c r="KK67" s="242"/>
      <c r="KL67" s="242"/>
      <c r="KM67" s="242"/>
      <c r="KN67" s="242"/>
      <c r="KO67" s="242"/>
      <c r="KP67" s="242"/>
      <c r="KQ67" s="242"/>
      <c r="KR67" s="242"/>
      <c r="KS67" s="242"/>
      <c r="KT67" s="242"/>
      <c r="KU67" s="242"/>
      <c r="KV67" s="243"/>
      <c r="KW67" s="242"/>
      <c r="KX67" s="242"/>
      <c r="KY67" s="242"/>
      <c r="KZ67" s="242"/>
      <c r="LA67" s="242"/>
      <c r="LB67" s="242"/>
      <c r="LC67" s="242"/>
      <c r="LD67" s="242"/>
      <c r="LE67" s="242"/>
      <c r="LF67" s="242"/>
      <c r="LG67" s="242"/>
      <c r="LH67" s="242"/>
      <c r="LI67" s="242"/>
      <c r="LJ67" s="242"/>
      <c r="LK67" s="242"/>
      <c r="LL67" s="242"/>
      <c r="LM67" s="242"/>
      <c r="LN67" s="242"/>
      <c r="LO67" s="242"/>
      <c r="LP67" s="242"/>
      <c r="LQ67" s="242"/>
      <c r="LR67" s="242"/>
      <c r="LS67" s="242"/>
      <c r="LT67" s="242"/>
      <c r="LU67" s="242"/>
      <c r="LV67" s="242"/>
      <c r="LW67" s="242"/>
      <c r="LX67" s="242"/>
      <c r="LY67" s="242"/>
      <c r="LZ67" s="242"/>
      <c r="MA67" s="242"/>
      <c r="MB67" s="242"/>
      <c r="MC67" s="242"/>
      <c r="MD67" s="243"/>
      <c r="ME67" s="242"/>
      <c r="MF67" s="242"/>
      <c r="MG67" s="242"/>
      <c r="MH67" s="242"/>
      <c r="MI67" s="242"/>
      <c r="MJ67" s="242"/>
      <c r="MK67" s="242"/>
      <c r="ML67" s="242"/>
      <c r="MM67" s="242"/>
      <c r="MN67" s="242"/>
      <c r="MO67" s="242"/>
      <c r="MP67" s="242"/>
      <c r="MQ67" s="242"/>
      <c r="MR67" s="242"/>
      <c r="MS67" s="242"/>
      <c r="MT67" s="242"/>
      <c r="MU67" s="242"/>
      <c r="MV67" s="242"/>
      <c r="MW67" s="242"/>
      <c r="MX67" s="243"/>
      <c r="MY67" s="242"/>
      <c r="MZ67" s="242"/>
      <c r="NA67" s="242"/>
      <c r="NB67" s="242"/>
      <c r="NC67" s="242"/>
      <c r="ND67" s="242"/>
      <c r="NE67" s="242"/>
      <c r="NF67" s="242"/>
      <c r="NG67" s="242"/>
      <c r="NH67" s="242"/>
      <c r="NI67" s="242"/>
      <c r="NJ67" s="242"/>
      <c r="NK67" s="242"/>
      <c r="NL67" s="242"/>
      <c r="NM67" s="242"/>
      <c r="NN67" s="242"/>
      <c r="NO67" s="242"/>
      <c r="NP67" s="242"/>
      <c r="NQ67" s="242"/>
      <c r="NR67" s="242"/>
      <c r="NS67" s="242"/>
      <c r="NT67" s="242"/>
      <c r="NU67" s="242"/>
      <c r="NV67" s="242"/>
      <c r="NW67" s="242"/>
      <c r="NX67" s="242"/>
      <c r="NY67" s="242"/>
      <c r="NZ67" s="242"/>
      <c r="OA67" s="242"/>
      <c r="OB67" s="242"/>
      <c r="OC67" s="242"/>
      <c r="OD67" s="243"/>
      <c r="OE67" s="243"/>
      <c r="OF67" s="242"/>
      <c r="OG67" s="242"/>
      <c r="OH67" s="242"/>
      <c r="OI67" s="242"/>
      <c r="OJ67" s="242"/>
      <c r="OK67" s="242"/>
      <c r="OL67" s="242"/>
      <c r="OM67" s="242"/>
      <c r="ON67" s="242"/>
      <c r="OO67" s="242"/>
      <c r="OP67" s="242"/>
      <c r="OQ67" s="242"/>
      <c r="OR67" s="242"/>
      <c r="OS67" s="243"/>
      <c r="OT67" s="242"/>
      <c r="OU67" s="242"/>
      <c r="OV67" s="242"/>
      <c r="OW67" s="242"/>
      <c r="OX67" s="242"/>
      <c r="OY67" s="243"/>
      <c r="OZ67" s="242"/>
      <c r="PA67" s="242"/>
      <c r="PB67" s="242"/>
      <c r="PC67" s="242"/>
      <c r="PD67" s="242"/>
      <c r="PE67" s="242"/>
      <c r="PF67" s="242"/>
      <c r="PG67" s="242"/>
      <c r="PH67" s="242"/>
      <c r="PI67" s="242"/>
      <c r="PJ67" s="242"/>
      <c r="PK67" s="242"/>
      <c r="PL67" s="242"/>
      <c r="PM67" s="242"/>
      <c r="PN67" s="242"/>
      <c r="PO67" s="242"/>
      <c r="PP67" s="242"/>
      <c r="PQ67" s="242"/>
      <c r="PR67" s="242"/>
      <c r="PS67" s="242"/>
      <c r="PT67" s="242"/>
      <c r="PU67" s="242"/>
      <c r="PV67" s="242"/>
      <c r="PW67" s="242"/>
      <c r="PX67" s="242"/>
      <c r="PY67" s="242"/>
      <c r="PZ67" s="242"/>
      <c r="QA67" s="242"/>
      <c r="QB67" s="242"/>
      <c r="QC67" s="242"/>
      <c r="QD67" s="242"/>
      <c r="QE67" s="242"/>
      <c r="QF67" s="242"/>
      <c r="QG67" s="242"/>
      <c r="QH67" s="242"/>
      <c r="QI67" s="244"/>
    </row>
    <row r="68" spans="1:451" ht="18" customHeight="1" x14ac:dyDescent="0.2">
      <c r="A68" s="239" t="s">
        <v>456</v>
      </c>
      <c r="B68" s="245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  <c r="Y68" s="242"/>
      <c r="Z68" s="242"/>
      <c r="AA68" s="242"/>
      <c r="AB68" s="242"/>
      <c r="AC68" s="243"/>
      <c r="AD68" s="242"/>
      <c r="AE68" s="242"/>
      <c r="AF68" s="242"/>
      <c r="AG68" s="242"/>
      <c r="AH68" s="242"/>
      <c r="AI68" s="242"/>
      <c r="AJ68" s="242"/>
      <c r="AK68" s="242"/>
      <c r="AL68" s="242"/>
      <c r="AM68" s="242"/>
      <c r="AN68" s="242"/>
      <c r="AO68" s="242"/>
      <c r="AP68" s="242"/>
      <c r="AQ68" s="242"/>
      <c r="AR68" s="243"/>
      <c r="AS68" s="242"/>
      <c r="AT68" s="242"/>
      <c r="AU68" s="242"/>
      <c r="AV68" s="242"/>
      <c r="AW68" s="242"/>
      <c r="AX68" s="242"/>
      <c r="AY68" s="242"/>
      <c r="AZ68" s="242"/>
      <c r="BA68" s="242"/>
      <c r="BB68" s="242"/>
      <c r="BC68" s="242"/>
      <c r="BD68" s="242"/>
      <c r="BE68" s="242"/>
      <c r="BF68" s="242"/>
      <c r="BG68" s="242"/>
      <c r="BH68" s="242"/>
      <c r="BI68" s="242"/>
      <c r="BJ68" s="242"/>
      <c r="BK68" s="242"/>
      <c r="BL68" s="242"/>
      <c r="BM68" s="242"/>
      <c r="BN68" s="242"/>
      <c r="BO68" s="242"/>
      <c r="BP68" s="242"/>
      <c r="BQ68" s="242"/>
      <c r="BR68" s="242"/>
      <c r="BS68" s="242"/>
      <c r="BT68" s="242"/>
      <c r="BU68" s="242"/>
      <c r="BV68" s="242"/>
      <c r="BW68" s="242"/>
      <c r="BX68" s="242"/>
      <c r="BY68" s="242"/>
      <c r="BZ68" s="242"/>
      <c r="CA68" s="242"/>
      <c r="CB68" s="242"/>
      <c r="CC68" s="243"/>
      <c r="CD68" s="243"/>
      <c r="CE68" s="242"/>
      <c r="CF68" s="242"/>
      <c r="CG68" s="242"/>
      <c r="CH68" s="242"/>
      <c r="CI68" s="242"/>
      <c r="CJ68" s="242"/>
      <c r="CK68" s="242"/>
      <c r="CL68" s="242"/>
      <c r="CM68" s="242"/>
      <c r="CN68" s="242"/>
      <c r="CO68" s="242"/>
      <c r="CP68" s="242"/>
      <c r="CQ68" s="242"/>
      <c r="CR68" s="243"/>
      <c r="CS68" s="242"/>
      <c r="CT68" s="242"/>
      <c r="CU68" s="242"/>
      <c r="CV68" s="242"/>
      <c r="CW68" s="242"/>
      <c r="CX68" s="243"/>
      <c r="CY68" s="242"/>
      <c r="CZ68" s="242"/>
      <c r="DA68" s="242"/>
      <c r="DB68" s="242"/>
      <c r="DC68" s="242"/>
      <c r="DD68" s="242"/>
      <c r="DE68" s="242"/>
      <c r="DF68" s="242"/>
      <c r="DG68" s="242"/>
      <c r="DH68" s="242"/>
      <c r="DI68" s="242"/>
      <c r="DJ68" s="242"/>
      <c r="DK68" s="242"/>
      <c r="DL68" s="242"/>
      <c r="DM68" s="242"/>
      <c r="DN68" s="242"/>
      <c r="DO68" s="242"/>
      <c r="DP68" s="242"/>
      <c r="DQ68" s="242"/>
      <c r="DR68" s="242"/>
      <c r="DS68" s="242"/>
      <c r="DT68" s="242"/>
      <c r="DU68" s="242"/>
      <c r="DV68" s="242"/>
      <c r="DW68" s="242"/>
      <c r="DX68" s="242"/>
      <c r="DY68" s="242"/>
      <c r="DZ68" s="242"/>
      <c r="EA68" s="242"/>
      <c r="EB68" s="242"/>
      <c r="EC68" s="242"/>
      <c r="ED68" s="242"/>
      <c r="EE68" s="242"/>
      <c r="EF68" s="242"/>
      <c r="EG68" s="242"/>
      <c r="EH68" s="242"/>
      <c r="EI68" s="242"/>
      <c r="EJ68" s="242"/>
      <c r="EK68" s="242"/>
      <c r="EL68" s="242"/>
      <c r="EM68" s="242"/>
      <c r="EN68" s="242"/>
      <c r="EO68" s="242"/>
      <c r="EP68" s="242"/>
      <c r="EQ68" s="242"/>
      <c r="ER68" s="242"/>
      <c r="ES68" s="242"/>
      <c r="ET68" s="242"/>
      <c r="EU68" s="242"/>
      <c r="EV68" s="242"/>
      <c r="EW68" s="242"/>
      <c r="EX68" s="242"/>
      <c r="EY68" s="242"/>
      <c r="EZ68" s="242"/>
      <c r="FA68" s="242"/>
      <c r="FB68" s="242"/>
      <c r="FC68" s="242"/>
      <c r="FD68" s="242"/>
      <c r="FE68" s="242"/>
      <c r="FF68" s="242"/>
      <c r="FG68" s="242"/>
      <c r="FH68" s="242"/>
      <c r="FI68" s="242"/>
      <c r="FJ68" s="242"/>
      <c r="FK68" s="242"/>
      <c r="FL68" s="242"/>
      <c r="FM68" s="242"/>
      <c r="FN68" s="242"/>
      <c r="FO68" s="242"/>
      <c r="FP68" s="242"/>
      <c r="FQ68" s="243"/>
      <c r="FR68" s="243"/>
      <c r="FS68" s="242"/>
      <c r="FT68" s="242"/>
      <c r="FU68" s="242"/>
      <c r="FV68" s="242"/>
      <c r="FW68" s="242"/>
      <c r="FX68" s="242"/>
      <c r="FY68" s="242"/>
      <c r="FZ68" s="242"/>
      <c r="GA68" s="242"/>
      <c r="GB68" s="242"/>
      <c r="GC68" s="242"/>
      <c r="GD68" s="242"/>
      <c r="GE68" s="242"/>
      <c r="GF68" s="242"/>
      <c r="GG68" s="242"/>
      <c r="GH68" s="242"/>
      <c r="GI68" s="242"/>
      <c r="GJ68" s="242"/>
      <c r="GK68" s="242"/>
      <c r="GL68" s="242"/>
      <c r="GM68" s="242"/>
      <c r="GN68" s="242"/>
      <c r="GO68" s="242"/>
      <c r="GP68" s="242"/>
      <c r="GQ68" s="242"/>
      <c r="GR68" s="242"/>
      <c r="GS68" s="242"/>
      <c r="GT68" s="242"/>
      <c r="GU68" s="242"/>
      <c r="GV68" s="242"/>
      <c r="GW68" s="243"/>
      <c r="GX68" s="242"/>
      <c r="GY68" s="242"/>
      <c r="GZ68" s="242"/>
      <c r="HA68" s="242"/>
      <c r="HB68" s="242"/>
      <c r="HC68" s="242"/>
      <c r="HD68" s="242"/>
      <c r="HE68" s="242"/>
      <c r="HF68" s="242"/>
      <c r="HG68" s="242"/>
      <c r="HH68" s="242"/>
      <c r="HI68" s="242"/>
      <c r="HJ68" s="242"/>
      <c r="HK68" s="242"/>
      <c r="HL68" s="242"/>
      <c r="HM68" s="242"/>
      <c r="HN68" s="242"/>
      <c r="HO68" s="242"/>
      <c r="HP68" s="242"/>
      <c r="HQ68" s="242"/>
      <c r="HR68" s="242"/>
      <c r="HS68" s="242"/>
      <c r="HT68" s="242"/>
      <c r="HU68" s="242"/>
      <c r="HV68" s="242"/>
      <c r="HW68" s="242">
        <v>1</v>
      </c>
      <c r="HX68" s="242">
        <v>1</v>
      </c>
      <c r="HY68" s="242">
        <v>1</v>
      </c>
      <c r="HZ68" s="242">
        <v>1</v>
      </c>
      <c r="IA68" s="242">
        <v>1</v>
      </c>
      <c r="IB68" s="242">
        <v>1</v>
      </c>
      <c r="IC68" s="242">
        <v>1</v>
      </c>
      <c r="ID68" s="242">
        <v>1</v>
      </c>
      <c r="IE68" s="242">
        <v>2</v>
      </c>
      <c r="IF68" s="242">
        <v>2</v>
      </c>
      <c r="IG68" s="242">
        <v>2</v>
      </c>
      <c r="IH68" s="242">
        <v>2</v>
      </c>
      <c r="II68" s="242">
        <f>+IC68+1</f>
        <v>2</v>
      </c>
      <c r="IJ68" s="242">
        <f t="shared" ref="IJ68:IJ69" si="154">+ID68+1</f>
        <v>2</v>
      </c>
      <c r="IK68" s="242">
        <v>2</v>
      </c>
      <c r="IL68" s="242">
        <v>2</v>
      </c>
      <c r="IM68" s="242">
        <f>+IE68+1</f>
        <v>3</v>
      </c>
      <c r="IN68" s="242">
        <f t="shared" ref="IN68:IU69" si="155">+IF68+1</f>
        <v>3</v>
      </c>
      <c r="IO68" s="242">
        <f t="shared" si="155"/>
        <v>3</v>
      </c>
      <c r="IP68" s="242">
        <f t="shared" si="155"/>
        <v>3</v>
      </c>
      <c r="IQ68" s="242">
        <f t="shared" si="155"/>
        <v>3</v>
      </c>
      <c r="IR68" s="242">
        <f t="shared" si="155"/>
        <v>3</v>
      </c>
      <c r="IS68" s="242">
        <f t="shared" si="155"/>
        <v>3</v>
      </c>
      <c r="IT68" s="242">
        <f t="shared" si="155"/>
        <v>3</v>
      </c>
      <c r="IU68" s="242">
        <f t="shared" si="155"/>
        <v>4</v>
      </c>
      <c r="IV68" s="243"/>
      <c r="IW68" s="242">
        <f t="shared" ref="IW68:JD69" si="156">+IN68+1</f>
        <v>4</v>
      </c>
      <c r="IX68" s="242">
        <f t="shared" si="156"/>
        <v>4</v>
      </c>
      <c r="IY68" s="242">
        <f t="shared" si="156"/>
        <v>4</v>
      </c>
      <c r="IZ68" s="242">
        <f t="shared" si="156"/>
        <v>4</v>
      </c>
      <c r="JA68" s="242">
        <f t="shared" si="156"/>
        <v>4</v>
      </c>
      <c r="JB68" s="242">
        <f t="shared" si="156"/>
        <v>4</v>
      </c>
      <c r="JC68" s="242">
        <f t="shared" si="156"/>
        <v>4</v>
      </c>
      <c r="JD68" s="242">
        <f t="shared" si="156"/>
        <v>5</v>
      </c>
      <c r="JE68" s="242">
        <f t="shared" ref="JE68:JO69" si="157">+IW68+1</f>
        <v>5</v>
      </c>
      <c r="JF68" s="242">
        <f t="shared" si="157"/>
        <v>5</v>
      </c>
      <c r="JG68" s="242">
        <f t="shared" si="157"/>
        <v>5</v>
      </c>
      <c r="JH68" s="242">
        <f t="shared" si="157"/>
        <v>5</v>
      </c>
      <c r="JI68" s="242">
        <f t="shared" si="157"/>
        <v>5</v>
      </c>
      <c r="JJ68" s="242">
        <f t="shared" si="157"/>
        <v>5</v>
      </c>
      <c r="JK68" s="242">
        <f t="shared" si="157"/>
        <v>5</v>
      </c>
      <c r="JL68" s="242">
        <f t="shared" si="157"/>
        <v>6</v>
      </c>
      <c r="JM68" s="242">
        <f t="shared" si="157"/>
        <v>6</v>
      </c>
      <c r="JN68" s="242">
        <f t="shared" si="157"/>
        <v>6</v>
      </c>
      <c r="JO68" s="242">
        <f t="shared" si="157"/>
        <v>6</v>
      </c>
      <c r="JP68" s="243"/>
      <c r="JQ68" s="242">
        <f t="shared" ref="JQ68:JS69" si="158">+JH68+1</f>
        <v>6</v>
      </c>
      <c r="JR68" s="242">
        <f t="shared" si="158"/>
        <v>6</v>
      </c>
      <c r="JS68" s="242">
        <f t="shared" si="158"/>
        <v>6</v>
      </c>
      <c r="JT68" s="243"/>
      <c r="JU68" s="243"/>
      <c r="JV68" s="242">
        <f t="shared" ref="JV68:JZ69" si="159">+JK68+1</f>
        <v>6</v>
      </c>
      <c r="JW68" s="242">
        <f t="shared" si="159"/>
        <v>7</v>
      </c>
      <c r="JX68" s="242">
        <f t="shared" si="159"/>
        <v>7</v>
      </c>
      <c r="JY68" s="242">
        <f t="shared" si="159"/>
        <v>7</v>
      </c>
      <c r="JZ68" s="242">
        <f t="shared" si="159"/>
        <v>7</v>
      </c>
      <c r="KA68" s="242">
        <f>+JQ68+1</f>
        <v>7</v>
      </c>
      <c r="KB68" s="243"/>
      <c r="KC68" s="242">
        <f>+JR68+1</f>
        <v>7</v>
      </c>
      <c r="KD68" s="242">
        <f>+JS68+1</f>
        <v>7</v>
      </c>
      <c r="KE68" s="242">
        <f t="shared" ref="KE68:KJ69" si="160">+JV68+1</f>
        <v>7</v>
      </c>
      <c r="KF68" s="242">
        <f t="shared" si="160"/>
        <v>8</v>
      </c>
      <c r="KG68" s="242">
        <f t="shared" si="160"/>
        <v>8</v>
      </c>
      <c r="KH68" s="242">
        <f t="shared" si="160"/>
        <v>8</v>
      </c>
      <c r="KI68" s="242">
        <f t="shared" si="160"/>
        <v>8</v>
      </c>
      <c r="KJ68" s="242">
        <f t="shared" si="160"/>
        <v>8</v>
      </c>
      <c r="KK68" s="242">
        <f t="shared" si="124"/>
        <v>8</v>
      </c>
      <c r="KL68" s="242">
        <f t="shared" si="124"/>
        <v>8</v>
      </c>
      <c r="KM68" s="242">
        <f t="shared" si="124"/>
        <v>8</v>
      </c>
      <c r="KN68" s="242">
        <f t="shared" si="124"/>
        <v>9</v>
      </c>
      <c r="KO68" s="242">
        <f t="shared" si="124"/>
        <v>9</v>
      </c>
      <c r="KP68" s="242">
        <f t="shared" si="124"/>
        <v>9</v>
      </c>
      <c r="KQ68" s="242">
        <f t="shared" si="124"/>
        <v>9</v>
      </c>
      <c r="KR68" s="242">
        <f t="shared" si="124"/>
        <v>9</v>
      </c>
      <c r="KS68" s="242">
        <f t="shared" si="124"/>
        <v>9</v>
      </c>
      <c r="KT68" s="242">
        <f t="shared" si="139"/>
        <v>9</v>
      </c>
      <c r="KU68" s="242">
        <f t="shared" si="139"/>
        <v>9</v>
      </c>
      <c r="KV68" s="243"/>
      <c r="KW68" s="242">
        <f t="shared" ref="KW68:LD69" si="161">+KN68+1</f>
        <v>10</v>
      </c>
      <c r="KX68" s="242">
        <f t="shared" si="161"/>
        <v>10</v>
      </c>
      <c r="KY68" s="242">
        <f t="shared" si="161"/>
        <v>10</v>
      </c>
      <c r="KZ68" s="242">
        <f t="shared" si="161"/>
        <v>10</v>
      </c>
      <c r="LA68" s="242">
        <f t="shared" si="161"/>
        <v>10</v>
      </c>
      <c r="LB68" s="242">
        <f t="shared" si="161"/>
        <v>10</v>
      </c>
      <c r="LC68" s="242">
        <f t="shared" si="161"/>
        <v>10</v>
      </c>
      <c r="LD68" s="242">
        <f t="shared" si="161"/>
        <v>10</v>
      </c>
      <c r="LE68" s="242">
        <f t="shared" si="139"/>
        <v>11</v>
      </c>
      <c r="LF68" s="242">
        <f t="shared" si="126"/>
        <v>11</v>
      </c>
      <c r="LG68" s="242">
        <f t="shared" si="126"/>
        <v>11</v>
      </c>
      <c r="LH68" s="242">
        <f t="shared" si="126"/>
        <v>11</v>
      </c>
      <c r="LI68" s="242">
        <f t="shared" si="126"/>
        <v>11</v>
      </c>
      <c r="LJ68" s="242">
        <f t="shared" si="126"/>
        <v>11</v>
      </c>
      <c r="LK68" s="242">
        <f t="shared" si="126"/>
        <v>11</v>
      </c>
      <c r="LL68" s="242">
        <f t="shared" si="126"/>
        <v>11</v>
      </c>
      <c r="LM68" s="242">
        <f t="shared" si="126"/>
        <v>12</v>
      </c>
      <c r="LN68" s="242">
        <f t="shared" si="126"/>
        <v>12</v>
      </c>
      <c r="LO68" s="242">
        <f t="shared" si="126"/>
        <v>12</v>
      </c>
      <c r="LP68" s="242">
        <f t="shared" si="126"/>
        <v>12</v>
      </c>
      <c r="LQ68" s="242">
        <f t="shared" si="126"/>
        <v>12</v>
      </c>
      <c r="LR68" s="242">
        <f t="shared" si="126"/>
        <v>12</v>
      </c>
      <c r="LS68" s="242">
        <f t="shared" si="126"/>
        <v>12</v>
      </c>
      <c r="LT68" s="242">
        <f t="shared" si="126"/>
        <v>12</v>
      </c>
      <c r="LU68" s="242">
        <f t="shared" si="127"/>
        <v>13</v>
      </c>
      <c r="LV68" s="242">
        <f t="shared" si="127"/>
        <v>13</v>
      </c>
      <c r="LW68" s="242">
        <f t="shared" si="127"/>
        <v>13</v>
      </c>
      <c r="LX68" s="242">
        <f t="shared" si="127"/>
        <v>13</v>
      </c>
      <c r="LY68" s="242">
        <f t="shared" si="127"/>
        <v>13</v>
      </c>
      <c r="LZ68" s="242">
        <f t="shared" si="127"/>
        <v>13</v>
      </c>
      <c r="MA68" s="242">
        <f t="shared" si="127"/>
        <v>13</v>
      </c>
      <c r="MB68" s="242">
        <f t="shared" si="127"/>
        <v>13</v>
      </c>
      <c r="MC68" s="242">
        <f t="shared" si="131"/>
        <v>14</v>
      </c>
      <c r="MD68" s="243"/>
      <c r="ME68" s="242">
        <f t="shared" ref="ME68:ML69" si="162">+LV68+1</f>
        <v>14</v>
      </c>
      <c r="MF68" s="242">
        <f t="shared" si="162"/>
        <v>14</v>
      </c>
      <c r="MG68" s="242">
        <f t="shared" si="162"/>
        <v>14</v>
      </c>
      <c r="MH68" s="242">
        <f t="shared" si="162"/>
        <v>14</v>
      </c>
      <c r="MI68" s="242">
        <f t="shared" si="162"/>
        <v>14</v>
      </c>
      <c r="MJ68" s="242">
        <f t="shared" si="162"/>
        <v>14</v>
      </c>
      <c r="MK68" s="242">
        <f t="shared" si="162"/>
        <v>14</v>
      </c>
      <c r="ML68" s="242">
        <f t="shared" si="162"/>
        <v>15</v>
      </c>
      <c r="MM68" s="242">
        <f t="shared" si="132"/>
        <v>15</v>
      </c>
      <c r="MN68" s="242">
        <f t="shared" si="132"/>
        <v>15</v>
      </c>
      <c r="MO68" s="242">
        <f>+MG68+1</f>
        <v>15</v>
      </c>
      <c r="MP68" s="242">
        <f t="shared" si="132"/>
        <v>15</v>
      </c>
      <c r="MQ68" s="242">
        <f t="shared" si="132"/>
        <v>15</v>
      </c>
      <c r="MR68" s="242">
        <f t="shared" si="132"/>
        <v>15</v>
      </c>
      <c r="MS68" s="242">
        <f t="shared" si="132"/>
        <v>15</v>
      </c>
      <c r="MT68" s="242">
        <f t="shared" si="132"/>
        <v>16</v>
      </c>
      <c r="MU68" s="242">
        <f t="shared" si="132"/>
        <v>16</v>
      </c>
      <c r="MV68" s="242">
        <f t="shared" si="132"/>
        <v>16</v>
      </c>
      <c r="MW68" s="242">
        <f t="shared" si="132"/>
        <v>16</v>
      </c>
      <c r="MX68" s="243"/>
      <c r="MY68" s="242">
        <f t="shared" ref="MY68:NF69" si="163">+MP68+1</f>
        <v>16</v>
      </c>
      <c r="MZ68" s="242">
        <f t="shared" si="163"/>
        <v>16</v>
      </c>
      <c r="NA68" s="242">
        <f t="shared" si="163"/>
        <v>16</v>
      </c>
      <c r="NB68" s="242">
        <f t="shared" si="163"/>
        <v>16</v>
      </c>
      <c r="NC68" s="242">
        <f t="shared" si="163"/>
        <v>17</v>
      </c>
      <c r="ND68" s="242">
        <f t="shared" si="163"/>
        <v>17</v>
      </c>
      <c r="NE68" s="242">
        <f t="shared" si="163"/>
        <v>17</v>
      </c>
      <c r="NF68" s="242">
        <f t="shared" si="163"/>
        <v>17</v>
      </c>
      <c r="NG68" s="242">
        <f t="shared" si="142"/>
        <v>17</v>
      </c>
      <c r="NH68" s="242">
        <f t="shared" si="142"/>
        <v>17</v>
      </c>
      <c r="NI68" s="242">
        <f>+NA68+1</f>
        <v>17</v>
      </c>
      <c r="NJ68" s="242">
        <f t="shared" si="142"/>
        <v>17</v>
      </c>
      <c r="NK68" s="242">
        <f>+NC68+1</f>
        <v>18</v>
      </c>
      <c r="NL68" s="242">
        <f t="shared" si="143"/>
        <v>18</v>
      </c>
      <c r="NM68" s="242">
        <f t="shared" si="143"/>
        <v>18</v>
      </c>
      <c r="NN68" s="242">
        <f t="shared" si="143"/>
        <v>18</v>
      </c>
      <c r="NO68" s="242"/>
      <c r="NP68" s="242"/>
      <c r="NQ68" s="242"/>
      <c r="NR68" s="242"/>
      <c r="NS68" s="242"/>
      <c r="NT68" s="242"/>
      <c r="NU68" s="242"/>
      <c r="NV68" s="242"/>
      <c r="NW68" s="242"/>
      <c r="NX68" s="242"/>
      <c r="NY68" s="242"/>
      <c r="NZ68" s="242"/>
      <c r="OA68" s="242"/>
      <c r="OB68" s="242"/>
      <c r="OC68" s="242"/>
      <c r="OD68" s="243"/>
      <c r="OE68" s="243"/>
      <c r="OF68" s="242"/>
      <c r="OG68" s="242"/>
      <c r="OH68" s="242"/>
      <c r="OI68" s="242"/>
      <c r="OJ68" s="242"/>
      <c r="OK68" s="242"/>
      <c r="OL68" s="242"/>
      <c r="OM68" s="242"/>
      <c r="ON68" s="242"/>
      <c r="OO68" s="242"/>
      <c r="OP68" s="242"/>
      <c r="OQ68" s="242"/>
      <c r="OR68" s="242"/>
      <c r="OS68" s="243"/>
      <c r="OT68" s="242"/>
      <c r="OU68" s="242"/>
      <c r="OV68" s="242"/>
      <c r="OW68" s="242"/>
      <c r="OX68" s="242"/>
      <c r="OY68" s="243"/>
      <c r="OZ68" s="242"/>
      <c r="PA68" s="242"/>
      <c r="PB68" s="242"/>
      <c r="PC68" s="242"/>
      <c r="PD68" s="242"/>
      <c r="PE68" s="242"/>
      <c r="PF68" s="242"/>
      <c r="PG68" s="242"/>
      <c r="PH68" s="242"/>
      <c r="PI68" s="242"/>
      <c r="PJ68" s="242"/>
      <c r="PK68" s="242"/>
      <c r="PL68" s="242"/>
      <c r="PM68" s="242"/>
      <c r="PN68" s="242"/>
      <c r="PO68" s="242"/>
      <c r="PP68" s="242"/>
      <c r="PQ68" s="242"/>
      <c r="PR68" s="242"/>
      <c r="PS68" s="242"/>
      <c r="PT68" s="242"/>
      <c r="PU68" s="242"/>
      <c r="PV68" s="242"/>
      <c r="PW68" s="242"/>
      <c r="PX68" s="242"/>
      <c r="PY68" s="242"/>
      <c r="PZ68" s="242"/>
      <c r="QA68" s="242"/>
      <c r="QB68" s="242"/>
      <c r="QC68" s="242"/>
      <c r="QD68" s="242"/>
      <c r="QE68" s="242"/>
      <c r="QF68" s="242"/>
      <c r="QG68" s="242"/>
      <c r="QH68" s="242"/>
      <c r="QI68" s="244"/>
    </row>
    <row r="69" spans="1:451" ht="18" customHeight="1" x14ac:dyDescent="0.2">
      <c r="A69" s="239" t="s">
        <v>457</v>
      </c>
      <c r="B69" s="245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242"/>
      <c r="Q69" s="242"/>
      <c r="R69" s="242"/>
      <c r="S69" s="242"/>
      <c r="T69" s="242"/>
      <c r="U69" s="242"/>
      <c r="V69" s="242"/>
      <c r="W69" s="242"/>
      <c r="X69" s="242"/>
      <c r="Y69" s="242"/>
      <c r="Z69" s="242"/>
      <c r="AA69" s="242"/>
      <c r="AB69" s="242"/>
      <c r="AC69" s="243"/>
      <c r="AD69" s="242"/>
      <c r="AE69" s="242"/>
      <c r="AF69" s="242"/>
      <c r="AG69" s="242"/>
      <c r="AH69" s="242"/>
      <c r="AI69" s="242"/>
      <c r="AJ69" s="242"/>
      <c r="AK69" s="242"/>
      <c r="AL69" s="242"/>
      <c r="AM69" s="242"/>
      <c r="AN69" s="242"/>
      <c r="AO69" s="242"/>
      <c r="AP69" s="242"/>
      <c r="AQ69" s="242"/>
      <c r="AR69" s="243"/>
      <c r="AS69" s="242"/>
      <c r="AT69" s="242"/>
      <c r="AU69" s="242"/>
      <c r="AV69" s="242"/>
      <c r="AW69" s="242"/>
      <c r="AX69" s="242"/>
      <c r="AY69" s="242"/>
      <c r="AZ69" s="242"/>
      <c r="BA69" s="242"/>
      <c r="BB69" s="242"/>
      <c r="BC69" s="242"/>
      <c r="BD69" s="242"/>
      <c r="BE69" s="242"/>
      <c r="BF69" s="242"/>
      <c r="BG69" s="242"/>
      <c r="BH69" s="242"/>
      <c r="BI69" s="242"/>
      <c r="BJ69" s="242"/>
      <c r="BK69" s="242"/>
      <c r="BL69" s="242"/>
      <c r="BM69" s="242"/>
      <c r="BN69" s="242"/>
      <c r="BO69" s="242"/>
      <c r="BP69" s="242"/>
      <c r="BQ69" s="242"/>
      <c r="BR69" s="242"/>
      <c r="BS69" s="242"/>
      <c r="BT69" s="242"/>
      <c r="BU69" s="242"/>
      <c r="BV69" s="242"/>
      <c r="BW69" s="242"/>
      <c r="BX69" s="242"/>
      <c r="BY69" s="242"/>
      <c r="BZ69" s="242"/>
      <c r="CA69" s="242"/>
      <c r="CB69" s="242"/>
      <c r="CC69" s="243"/>
      <c r="CD69" s="243"/>
      <c r="CE69" s="242"/>
      <c r="CF69" s="242"/>
      <c r="CG69" s="242"/>
      <c r="CH69" s="242"/>
      <c r="CI69" s="242"/>
      <c r="CJ69" s="242"/>
      <c r="CK69" s="242"/>
      <c r="CL69" s="242"/>
      <c r="CM69" s="242"/>
      <c r="CN69" s="242"/>
      <c r="CO69" s="242"/>
      <c r="CP69" s="242"/>
      <c r="CQ69" s="242"/>
      <c r="CR69" s="243"/>
      <c r="CS69" s="242"/>
      <c r="CT69" s="242"/>
      <c r="CU69" s="242"/>
      <c r="CV69" s="242"/>
      <c r="CW69" s="242"/>
      <c r="CX69" s="243"/>
      <c r="CY69" s="242"/>
      <c r="CZ69" s="242"/>
      <c r="DA69" s="242"/>
      <c r="DB69" s="242"/>
      <c r="DC69" s="242"/>
      <c r="DD69" s="242"/>
      <c r="DE69" s="242"/>
      <c r="DF69" s="242"/>
      <c r="DG69" s="242"/>
      <c r="DH69" s="242"/>
      <c r="DI69" s="242"/>
      <c r="DJ69" s="242"/>
      <c r="DK69" s="242"/>
      <c r="DL69" s="242"/>
      <c r="DM69" s="242"/>
      <c r="DN69" s="242"/>
      <c r="DO69" s="242"/>
      <c r="DP69" s="242"/>
      <c r="DQ69" s="242"/>
      <c r="DR69" s="242"/>
      <c r="DS69" s="242"/>
      <c r="DT69" s="242"/>
      <c r="DU69" s="242"/>
      <c r="DV69" s="242"/>
      <c r="DW69" s="242"/>
      <c r="DX69" s="242"/>
      <c r="DY69" s="242"/>
      <c r="DZ69" s="242"/>
      <c r="EA69" s="242"/>
      <c r="EB69" s="242"/>
      <c r="EC69" s="242"/>
      <c r="ED69" s="242"/>
      <c r="EE69" s="242"/>
      <c r="EF69" s="242"/>
      <c r="EG69" s="242"/>
      <c r="EH69" s="242"/>
      <c r="EI69" s="242"/>
      <c r="EJ69" s="242"/>
      <c r="EK69" s="242"/>
      <c r="EL69" s="242"/>
      <c r="EM69" s="242"/>
      <c r="EN69" s="242"/>
      <c r="EO69" s="242"/>
      <c r="EP69" s="242"/>
      <c r="EQ69" s="242"/>
      <c r="ER69" s="242"/>
      <c r="ES69" s="242"/>
      <c r="ET69" s="242"/>
      <c r="EU69" s="242"/>
      <c r="EV69" s="242"/>
      <c r="EW69" s="242"/>
      <c r="EX69" s="242"/>
      <c r="EY69" s="242"/>
      <c r="EZ69" s="242"/>
      <c r="FA69" s="242"/>
      <c r="FB69" s="242"/>
      <c r="FC69" s="242"/>
      <c r="FD69" s="242"/>
      <c r="FE69" s="242"/>
      <c r="FF69" s="242"/>
      <c r="FG69" s="242"/>
      <c r="FH69" s="242"/>
      <c r="FI69" s="242"/>
      <c r="FJ69" s="242"/>
      <c r="FK69" s="242"/>
      <c r="FL69" s="242"/>
      <c r="FM69" s="242"/>
      <c r="FN69" s="242"/>
      <c r="FO69" s="242"/>
      <c r="FP69" s="242"/>
      <c r="FQ69" s="243"/>
      <c r="FR69" s="243"/>
      <c r="FS69" s="242"/>
      <c r="FT69" s="242"/>
      <c r="FU69" s="242"/>
      <c r="FV69" s="242"/>
      <c r="FW69" s="242"/>
      <c r="FX69" s="242"/>
      <c r="FY69" s="242"/>
      <c r="FZ69" s="242"/>
      <c r="GA69" s="242"/>
      <c r="GB69" s="242"/>
      <c r="GC69" s="242"/>
      <c r="GD69" s="242"/>
      <c r="GE69" s="242"/>
      <c r="GF69" s="242"/>
      <c r="GG69" s="242"/>
      <c r="GH69" s="242"/>
      <c r="GI69" s="242"/>
      <c r="GJ69" s="242"/>
      <c r="GK69" s="242"/>
      <c r="GL69" s="242"/>
      <c r="GM69" s="242"/>
      <c r="GN69" s="242"/>
      <c r="GO69" s="242"/>
      <c r="GP69" s="242"/>
      <c r="GQ69" s="242"/>
      <c r="GR69" s="242"/>
      <c r="GS69" s="242"/>
      <c r="GT69" s="242"/>
      <c r="GU69" s="242"/>
      <c r="GV69" s="242"/>
      <c r="GW69" s="243"/>
      <c r="GX69" s="242"/>
      <c r="GY69" s="242"/>
      <c r="GZ69" s="242"/>
      <c r="HA69" s="242"/>
      <c r="HB69" s="242"/>
      <c r="HC69" s="242"/>
      <c r="HD69" s="242"/>
      <c r="HE69" s="242"/>
      <c r="HF69" s="242"/>
      <c r="HG69" s="242"/>
      <c r="HH69" s="242"/>
      <c r="HI69" s="242"/>
      <c r="HJ69" s="242"/>
      <c r="HK69" s="242"/>
      <c r="HL69" s="242"/>
      <c r="HM69" s="242"/>
      <c r="HN69" s="242"/>
      <c r="HO69" s="242"/>
      <c r="HP69" s="242"/>
      <c r="HQ69" s="242"/>
      <c r="HR69" s="242"/>
      <c r="HS69" s="242"/>
      <c r="HT69" s="242"/>
      <c r="HU69" s="242"/>
      <c r="HV69" s="242"/>
      <c r="HW69" s="242">
        <v>1</v>
      </c>
      <c r="HX69" s="242">
        <v>1</v>
      </c>
      <c r="HY69" s="242">
        <v>1</v>
      </c>
      <c r="HZ69" s="242">
        <v>1</v>
      </c>
      <c r="IA69" s="242">
        <v>1</v>
      </c>
      <c r="IB69" s="242">
        <v>1</v>
      </c>
      <c r="IC69" s="242">
        <v>1</v>
      </c>
      <c r="ID69" s="242">
        <v>1</v>
      </c>
      <c r="IE69" s="242">
        <v>2</v>
      </c>
      <c r="IF69" s="242">
        <v>2</v>
      </c>
      <c r="IG69" s="242">
        <v>2</v>
      </c>
      <c r="IH69" s="242">
        <v>2</v>
      </c>
      <c r="II69" s="242">
        <f>+IC69+1</f>
        <v>2</v>
      </c>
      <c r="IJ69" s="242">
        <f t="shared" si="154"/>
        <v>2</v>
      </c>
      <c r="IK69" s="242">
        <v>2</v>
      </c>
      <c r="IL69" s="242">
        <v>2</v>
      </c>
      <c r="IM69" s="242">
        <f>+IE69+1</f>
        <v>3</v>
      </c>
      <c r="IN69" s="242">
        <f t="shared" si="155"/>
        <v>3</v>
      </c>
      <c r="IO69" s="242">
        <f t="shared" si="155"/>
        <v>3</v>
      </c>
      <c r="IP69" s="242">
        <f t="shared" si="155"/>
        <v>3</v>
      </c>
      <c r="IQ69" s="242">
        <f t="shared" si="155"/>
        <v>3</v>
      </c>
      <c r="IR69" s="242">
        <f t="shared" si="155"/>
        <v>3</v>
      </c>
      <c r="IS69" s="242">
        <f t="shared" si="155"/>
        <v>3</v>
      </c>
      <c r="IT69" s="242">
        <f t="shared" si="155"/>
        <v>3</v>
      </c>
      <c r="IU69" s="242">
        <f t="shared" si="155"/>
        <v>4</v>
      </c>
      <c r="IV69" s="243"/>
      <c r="IW69" s="242">
        <f t="shared" si="156"/>
        <v>4</v>
      </c>
      <c r="IX69" s="242">
        <f t="shared" si="156"/>
        <v>4</v>
      </c>
      <c r="IY69" s="242">
        <f t="shared" si="156"/>
        <v>4</v>
      </c>
      <c r="IZ69" s="242">
        <f t="shared" si="156"/>
        <v>4</v>
      </c>
      <c r="JA69" s="242">
        <f t="shared" si="156"/>
        <v>4</v>
      </c>
      <c r="JB69" s="242">
        <f t="shared" si="156"/>
        <v>4</v>
      </c>
      <c r="JC69" s="242">
        <f t="shared" si="156"/>
        <v>4</v>
      </c>
      <c r="JD69" s="242">
        <f t="shared" si="156"/>
        <v>5</v>
      </c>
      <c r="JE69" s="242">
        <f t="shared" si="157"/>
        <v>5</v>
      </c>
      <c r="JF69" s="242">
        <f t="shared" si="157"/>
        <v>5</v>
      </c>
      <c r="JG69" s="242">
        <f t="shared" si="157"/>
        <v>5</v>
      </c>
      <c r="JH69" s="242">
        <f t="shared" si="157"/>
        <v>5</v>
      </c>
      <c r="JI69" s="242">
        <f t="shared" si="157"/>
        <v>5</v>
      </c>
      <c r="JJ69" s="242">
        <f t="shared" si="157"/>
        <v>5</v>
      </c>
      <c r="JK69" s="242">
        <f t="shared" si="157"/>
        <v>5</v>
      </c>
      <c r="JL69" s="242">
        <f t="shared" si="157"/>
        <v>6</v>
      </c>
      <c r="JM69" s="242">
        <f t="shared" si="157"/>
        <v>6</v>
      </c>
      <c r="JN69" s="242">
        <f t="shared" si="157"/>
        <v>6</v>
      </c>
      <c r="JO69" s="242">
        <f t="shared" si="157"/>
        <v>6</v>
      </c>
      <c r="JP69" s="243"/>
      <c r="JQ69" s="242">
        <f t="shared" si="158"/>
        <v>6</v>
      </c>
      <c r="JR69" s="242">
        <f t="shared" si="158"/>
        <v>6</v>
      </c>
      <c r="JS69" s="242">
        <f t="shared" si="158"/>
        <v>6</v>
      </c>
      <c r="JT69" s="243"/>
      <c r="JU69" s="243"/>
      <c r="JV69" s="242">
        <f t="shared" si="159"/>
        <v>6</v>
      </c>
      <c r="JW69" s="242">
        <f t="shared" si="159"/>
        <v>7</v>
      </c>
      <c r="JX69" s="242">
        <f t="shared" si="159"/>
        <v>7</v>
      </c>
      <c r="JY69" s="242">
        <f t="shared" si="159"/>
        <v>7</v>
      </c>
      <c r="JZ69" s="242">
        <f t="shared" si="159"/>
        <v>7</v>
      </c>
      <c r="KA69" s="242">
        <f>+JQ69+1</f>
        <v>7</v>
      </c>
      <c r="KB69" s="243"/>
      <c r="KC69" s="242">
        <f>+JR69+1</f>
        <v>7</v>
      </c>
      <c r="KD69" s="242">
        <f>+JS69+1</f>
        <v>7</v>
      </c>
      <c r="KE69" s="242">
        <f t="shared" si="160"/>
        <v>7</v>
      </c>
      <c r="KF69" s="242">
        <f t="shared" si="160"/>
        <v>8</v>
      </c>
      <c r="KG69" s="242">
        <f t="shared" si="160"/>
        <v>8</v>
      </c>
      <c r="KH69" s="242">
        <f t="shared" si="160"/>
        <v>8</v>
      </c>
      <c r="KI69" s="242">
        <f t="shared" si="160"/>
        <v>8</v>
      </c>
      <c r="KJ69" s="242">
        <f t="shared" si="160"/>
        <v>8</v>
      </c>
      <c r="KK69" s="242">
        <f t="shared" si="124"/>
        <v>8</v>
      </c>
      <c r="KL69" s="242">
        <f t="shared" si="124"/>
        <v>8</v>
      </c>
      <c r="KM69" s="242">
        <f t="shared" si="124"/>
        <v>8</v>
      </c>
      <c r="KN69" s="242">
        <f t="shared" si="124"/>
        <v>9</v>
      </c>
      <c r="KO69" s="242">
        <f t="shared" si="124"/>
        <v>9</v>
      </c>
      <c r="KP69" s="242">
        <f t="shared" si="124"/>
        <v>9</v>
      </c>
      <c r="KQ69" s="242">
        <f t="shared" si="124"/>
        <v>9</v>
      </c>
      <c r="KR69" s="242">
        <f t="shared" si="124"/>
        <v>9</v>
      </c>
      <c r="KS69" s="242">
        <f t="shared" si="124"/>
        <v>9</v>
      </c>
      <c r="KT69" s="242">
        <f t="shared" si="139"/>
        <v>9</v>
      </c>
      <c r="KU69" s="242">
        <f t="shared" si="139"/>
        <v>9</v>
      </c>
      <c r="KV69" s="243"/>
      <c r="KW69" s="242">
        <f t="shared" si="161"/>
        <v>10</v>
      </c>
      <c r="KX69" s="242">
        <f t="shared" si="161"/>
        <v>10</v>
      </c>
      <c r="KY69" s="242">
        <f t="shared" si="161"/>
        <v>10</v>
      </c>
      <c r="KZ69" s="242">
        <f t="shared" si="161"/>
        <v>10</v>
      </c>
      <c r="LA69" s="242">
        <f t="shared" si="161"/>
        <v>10</v>
      </c>
      <c r="LB69" s="242">
        <f t="shared" si="161"/>
        <v>10</v>
      </c>
      <c r="LC69" s="242">
        <f t="shared" si="161"/>
        <v>10</v>
      </c>
      <c r="LD69" s="242">
        <f t="shared" si="161"/>
        <v>10</v>
      </c>
      <c r="LE69" s="242">
        <f t="shared" si="139"/>
        <v>11</v>
      </c>
      <c r="LF69" s="242">
        <f t="shared" si="126"/>
        <v>11</v>
      </c>
      <c r="LG69" s="242">
        <f t="shared" si="126"/>
        <v>11</v>
      </c>
      <c r="LH69" s="242">
        <f t="shared" si="126"/>
        <v>11</v>
      </c>
      <c r="LI69" s="242">
        <f t="shared" si="126"/>
        <v>11</v>
      </c>
      <c r="LJ69" s="242">
        <f t="shared" si="126"/>
        <v>11</v>
      </c>
      <c r="LK69" s="242">
        <f t="shared" si="126"/>
        <v>11</v>
      </c>
      <c r="LL69" s="242">
        <f t="shared" si="126"/>
        <v>11</v>
      </c>
      <c r="LM69" s="242">
        <f t="shared" si="126"/>
        <v>12</v>
      </c>
      <c r="LN69" s="242">
        <f t="shared" si="126"/>
        <v>12</v>
      </c>
      <c r="LO69" s="242">
        <f t="shared" si="126"/>
        <v>12</v>
      </c>
      <c r="LP69" s="242">
        <f t="shared" si="126"/>
        <v>12</v>
      </c>
      <c r="LQ69" s="242">
        <f t="shared" si="126"/>
        <v>12</v>
      </c>
      <c r="LR69" s="242">
        <f t="shared" si="126"/>
        <v>12</v>
      </c>
      <c r="LS69" s="242">
        <f t="shared" si="126"/>
        <v>12</v>
      </c>
      <c r="LT69" s="242">
        <f t="shared" si="126"/>
        <v>12</v>
      </c>
      <c r="LU69" s="242">
        <f t="shared" si="127"/>
        <v>13</v>
      </c>
      <c r="LV69" s="242">
        <f t="shared" si="127"/>
        <v>13</v>
      </c>
      <c r="LW69" s="242">
        <f t="shared" si="127"/>
        <v>13</v>
      </c>
      <c r="LX69" s="242">
        <f t="shared" si="127"/>
        <v>13</v>
      </c>
      <c r="LY69" s="242">
        <f t="shared" si="127"/>
        <v>13</v>
      </c>
      <c r="LZ69" s="242">
        <f t="shared" si="127"/>
        <v>13</v>
      </c>
      <c r="MA69" s="242">
        <f t="shared" si="127"/>
        <v>13</v>
      </c>
      <c r="MB69" s="242">
        <f t="shared" si="127"/>
        <v>13</v>
      </c>
      <c r="MC69" s="242">
        <f t="shared" si="131"/>
        <v>14</v>
      </c>
      <c r="MD69" s="243"/>
      <c r="ME69" s="242">
        <f t="shared" si="162"/>
        <v>14</v>
      </c>
      <c r="MF69" s="242">
        <f t="shared" si="162"/>
        <v>14</v>
      </c>
      <c r="MG69" s="242">
        <f t="shared" si="162"/>
        <v>14</v>
      </c>
      <c r="MH69" s="242">
        <f t="shared" si="162"/>
        <v>14</v>
      </c>
      <c r="MI69" s="242">
        <f t="shared" si="162"/>
        <v>14</v>
      </c>
      <c r="MJ69" s="242">
        <f t="shared" si="162"/>
        <v>14</v>
      </c>
      <c r="MK69" s="242">
        <f t="shared" si="162"/>
        <v>14</v>
      </c>
      <c r="ML69" s="242">
        <f t="shared" si="162"/>
        <v>15</v>
      </c>
      <c r="MM69" s="242">
        <f t="shared" si="132"/>
        <v>15</v>
      </c>
      <c r="MN69" s="242">
        <f t="shared" si="132"/>
        <v>15</v>
      </c>
      <c r="MO69" s="242">
        <f>+MG69+1</f>
        <v>15</v>
      </c>
      <c r="MP69" s="242">
        <f t="shared" si="132"/>
        <v>15</v>
      </c>
      <c r="MQ69" s="242">
        <f t="shared" si="132"/>
        <v>15</v>
      </c>
      <c r="MR69" s="242">
        <f t="shared" si="132"/>
        <v>15</v>
      </c>
      <c r="MS69" s="242">
        <f t="shared" si="132"/>
        <v>15</v>
      </c>
      <c r="MT69" s="242">
        <f t="shared" si="132"/>
        <v>16</v>
      </c>
      <c r="MU69" s="242">
        <f t="shared" si="132"/>
        <v>16</v>
      </c>
      <c r="MV69" s="242">
        <f t="shared" si="132"/>
        <v>16</v>
      </c>
      <c r="MW69" s="242">
        <f t="shared" si="132"/>
        <v>16</v>
      </c>
      <c r="MX69" s="243"/>
      <c r="MY69" s="242">
        <f t="shared" si="163"/>
        <v>16</v>
      </c>
      <c r="MZ69" s="242">
        <f t="shared" si="163"/>
        <v>16</v>
      </c>
      <c r="NA69" s="242">
        <f t="shared" si="163"/>
        <v>16</v>
      </c>
      <c r="NB69" s="242">
        <f t="shared" si="163"/>
        <v>16</v>
      </c>
      <c r="NC69" s="242">
        <f t="shared" si="163"/>
        <v>17</v>
      </c>
      <c r="ND69" s="242">
        <f t="shared" si="163"/>
        <v>17</v>
      </c>
      <c r="NE69" s="242">
        <f t="shared" si="163"/>
        <v>17</v>
      </c>
      <c r="NF69" s="242">
        <f t="shared" si="163"/>
        <v>17</v>
      </c>
      <c r="NG69" s="242">
        <f t="shared" si="142"/>
        <v>17</v>
      </c>
      <c r="NH69" s="242">
        <f t="shared" si="142"/>
        <v>17</v>
      </c>
      <c r="NI69" s="242">
        <f>+NA69+1</f>
        <v>17</v>
      </c>
      <c r="NJ69" s="242">
        <f t="shared" si="142"/>
        <v>17</v>
      </c>
      <c r="NK69" s="242">
        <f>+NC69+1</f>
        <v>18</v>
      </c>
      <c r="NL69" s="242">
        <f t="shared" si="143"/>
        <v>18</v>
      </c>
      <c r="NM69" s="242">
        <f t="shared" si="143"/>
        <v>18</v>
      </c>
      <c r="NN69" s="242">
        <f t="shared" si="143"/>
        <v>18</v>
      </c>
      <c r="NO69" s="242"/>
      <c r="NP69" s="242"/>
      <c r="NQ69" s="242"/>
      <c r="NR69" s="242"/>
      <c r="NS69" s="242"/>
      <c r="NT69" s="242"/>
      <c r="NU69" s="242"/>
      <c r="NV69" s="242"/>
      <c r="NW69" s="242"/>
      <c r="NX69" s="242"/>
      <c r="NY69" s="242"/>
      <c r="NZ69" s="242"/>
      <c r="OA69" s="242"/>
      <c r="OB69" s="242"/>
      <c r="OC69" s="242"/>
      <c r="OD69" s="243"/>
      <c r="OE69" s="243"/>
      <c r="OF69" s="242"/>
      <c r="OG69" s="242"/>
      <c r="OH69" s="242"/>
      <c r="OI69" s="242"/>
      <c r="OJ69" s="242"/>
      <c r="OK69" s="242"/>
      <c r="OL69" s="242"/>
      <c r="OM69" s="242"/>
      <c r="ON69" s="242"/>
      <c r="OO69" s="242"/>
      <c r="OP69" s="242"/>
      <c r="OQ69" s="242"/>
      <c r="OR69" s="242"/>
      <c r="OS69" s="243"/>
      <c r="OT69" s="242"/>
      <c r="OU69" s="242"/>
      <c r="OV69" s="242"/>
      <c r="OW69" s="242"/>
      <c r="OX69" s="242"/>
      <c r="OY69" s="243"/>
      <c r="OZ69" s="242"/>
      <c r="PA69" s="242"/>
      <c r="PB69" s="242"/>
      <c r="PC69" s="242"/>
      <c r="PD69" s="242"/>
      <c r="PE69" s="242"/>
      <c r="PF69" s="242"/>
      <c r="PG69" s="242"/>
      <c r="PH69" s="242"/>
      <c r="PI69" s="242"/>
      <c r="PJ69" s="242"/>
      <c r="PK69" s="242"/>
      <c r="PL69" s="242"/>
      <c r="PM69" s="242"/>
      <c r="PN69" s="242"/>
      <c r="PO69" s="242"/>
      <c r="PP69" s="242"/>
      <c r="PQ69" s="242"/>
      <c r="PR69" s="242"/>
      <c r="PS69" s="242"/>
      <c r="PT69" s="242"/>
      <c r="PU69" s="242"/>
      <c r="PV69" s="242"/>
      <c r="PW69" s="242"/>
      <c r="PX69" s="242"/>
      <c r="PY69" s="242"/>
      <c r="PZ69" s="242"/>
      <c r="QA69" s="242"/>
      <c r="QB69" s="242"/>
      <c r="QC69" s="242"/>
      <c r="QD69" s="242"/>
      <c r="QE69" s="242"/>
      <c r="QF69" s="242"/>
      <c r="QG69" s="242"/>
      <c r="QH69" s="242"/>
      <c r="QI69" s="244"/>
    </row>
    <row r="70" spans="1:451" ht="18" customHeight="1" x14ac:dyDescent="0.2">
      <c r="A70" s="239"/>
      <c r="B70" s="245"/>
      <c r="C70" s="242"/>
      <c r="D70" s="242"/>
      <c r="E70" s="242"/>
      <c r="F70" s="242"/>
      <c r="G70" s="242"/>
      <c r="H70" s="242"/>
      <c r="I70" s="242"/>
      <c r="J70" s="242"/>
      <c r="K70" s="242"/>
      <c r="L70" s="242"/>
      <c r="M70" s="242"/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  <c r="Y70" s="242"/>
      <c r="Z70" s="242"/>
      <c r="AA70" s="242"/>
      <c r="AB70" s="242"/>
      <c r="AC70" s="243"/>
      <c r="AD70" s="242"/>
      <c r="AE70" s="242"/>
      <c r="AF70" s="242"/>
      <c r="AG70" s="242"/>
      <c r="AH70" s="242"/>
      <c r="AI70" s="242"/>
      <c r="AJ70" s="242"/>
      <c r="AK70" s="242"/>
      <c r="AL70" s="242"/>
      <c r="AM70" s="242"/>
      <c r="AN70" s="242"/>
      <c r="AO70" s="242"/>
      <c r="AP70" s="242"/>
      <c r="AQ70" s="242"/>
      <c r="AR70" s="243"/>
      <c r="AS70" s="242"/>
      <c r="AT70" s="242"/>
      <c r="AU70" s="242"/>
      <c r="AV70" s="242"/>
      <c r="AW70" s="242"/>
      <c r="AX70" s="242"/>
      <c r="AY70" s="242"/>
      <c r="AZ70" s="242"/>
      <c r="BA70" s="242"/>
      <c r="BB70" s="242"/>
      <c r="BC70" s="242"/>
      <c r="BD70" s="242"/>
      <c r="BE70" s="242"/>
      <c r="BF70" s="242"/>
      <c r="BG70" s="242"/>
      <c r="BH70" s="242"/>
      <c r="BI70" s="242"/>
      <c r="BJ70" s="242"/>
      <c r="BK70" s="242"/>
      <c r="BL70" s="242"/>
      <c r="BM70" s="242"/>
      <c r="BN70" s="242"/>
      <c r="BO70" s="242"/>
      <c r="BP70" s="242"/>
      <c r="BQ70" s="242"/>
      <c r="BR70" s="242"/>
      <c r="BS70" s="242"/>
      <c r="BT70" s="242"/>
      <c r="BU70" s="242"/>
      <c r="BV70" s="242"/>
      <c r="BW70" s="242"/>
      <c r="BX70" s="242"/>
      <c r="BY70" s="242"/>
      <c r="BZ70" s="242"/>
      <c r="CA70" s="242"/>
      <c r="CB70" s="242"/>
      <c r="CC70" s="243"/>
      <c r="CD70" s="243"/>
      <c r="CE70" s="242"/>
      <c r="CF70" s="242"/>
      <c r="CG70" s="242"/>
      <c r="CH70" s="242"/>
      <c r="CI70" s="242"/>
      <c r="CJ70" s="242"/>
      <c r="CK70" s="242"/>
      <c r="CL70" s="242"/>
      <c r="CM70" s="242"/>
      <c r="CN70" s="242"/>
      <c r="CO70" s="242"/>
      <c r="CP70" s="242"/>
      <c r="CQ70" s="242"/>
      <c r="CR70" s="243"/>
      <c r="CS70" s="242"/>
      <c r="CT70" s="242"/>
      <c r="CU70" s="242"/>
      <c r="CV70" s="242"/>
      <c r="CW70" s="242"/>
      <c r="CX70" s="243"/>
      <c r="CY70" s="242"/>
      <c r="CZ70" s="242"/>
      <c r="DA70" s="242"/>
      <c r="DB70" s="242"/>
      <c r="DC70" s="242"/>
      <c r="DD70" s="242"/>
      <c r="DE70" s="242"/>
      <c r="DF70" s="242"/>
      <c r="DG70" s="242"/>
      <c r="DH70" s="242"/>
      <c r="DI70" s="242"/>
      <c r="DJ70" s="242"/>
      <c r="DK70" s="242"/>
      <c r="DL70" s="242"/>
      <c r="DM70" s="242"/>
      <c r="DN70" s="242"/>
      <c r="DO70" s="242"/>
      <c r="DP70" s="242"/>
      <c r="DQ70" s="242"/>
      <c r="DR70" s="242"/>
      <c r="DS70" s="242"/>
      <c r="DT70" s="242"/>
      <c r="DU70" s="242"/>
      <c r="DV70" s="242"/>
      <c r="DW70" s="242"/>
      <c r="DX70" s="242"/>
      <c r="DY70" s="242"/>
      <c r="DZ70" s="242"/>
      <c r="EA70" s="242"/>
      <c r="EB70" s="242"/>
      <c r="EC70" s="242"/>
      <c r="ED70" s="242"/>
      <c r="EE70" s="242"/>
      <c r="EF70" s="242"/>
      <c r="EG70" s="242"/>
      <c r="EH70" s="242"/>
      <c r="EI70" s="242"/>
      <c r="EJ70" s="242"/>
      <c r="EK70" s="242"/>
      <c r="EL70" s="242"/>
      <c r="EM70" s="242"/>
      <c r="EN70" s="242"/>
      <c r="EO70" s="242"/>
      <c r="EP70" s="242"/>
      <c r="EQ70" s="242"/>
      <c r="ER70" s="242"/>
      <c r="ES70" s="242"/>
      <c r="ET70" s="242"/>
      <c r="EU70" s="242"/>
      <c r="EV70" s="242"/>
      <c r="EW70" s="242"/>
      <c r="EX70" s="242"/>
      <c r="EY70" s="242"/>
      <c r="EZ70" s="242"/>
      <c r="FA70" s="242"/>
      <c r="FB70" s="242"/>
      <c r="FC70" s="242"/>
      <c r="FD70" s="242"/>
      <c r="FE70" s="242"/>
      <c r="FF70" s="242"/>
      <c r="FG70" s="242"/>
      <c r="FH70" s="242"/>
      <c r="FI70" s="242"/>
      <c r="FJ70" s="242"/>
      <c r="FK70" s="242"/>
      <c r="FL70" s="242"/>
      <c r="FM70" s="242"/>
      <c r="FN70" s="242"/>
      <c r="FO70" s="242"/>
      <c r="FP70" s="242"/>
      <c r="FQ70" s="243"/>
      <c r="FR70" s="243"/>
      <c r="FS70" s="242"/>
      <c r="FT70" s="242"/>
      <c r="FU70" s="242"/>
      <c r="FV70" s="242"/>
      <c r="FW70" s="242"/>
      <c r="FX70" s="242"/>
      <c r="FY70" s="242"/>
      <c r="FZ70" s="242"/>
      <c r="GA70" s="242"/>
      <c r="GB70" s="242"/>
      <c r="GC70" s="242"/>
      <c r="GD70" s="242"/>
      <c r="GE70" s="242"/>
      <c r="GF70" s="242"/>
      <c r="GG70" s="242"/>
      <c r="GH70" s="242"/>
      <c r="GI70" s="242"/>
      <c r="GJ70" s="242"/>
      <c r="GK70" s="242"/>
      <c r="GL70" s="242"/>
      <c r="GM70" s="242"/>
      <c r="GN70" s="242"/>
      <c r="GO70" s="242"/>
      <c r="GP70" s="242"/>
      <c r="GQ70" s="242"/>
      <c r="GR70" s="242"/>
      <c r="GS70" s="242"/>
      <c r="GT70" s="242"/>
      <c r="GU70" s="242"/>
      <c r="GV70" s="242"/>
      <c r="GW70" s="243"/>
      <c r="GX70" s="242"/>
      <c r="GY70" s="242"/>
      <c r="GZ70" s="242"/>
      <c r="HA70" s="242"/>
      <c r="HB70" s="242"/>
      <c r="HC70" s="242"/>
      <c r="HD70" s="242"/>
      <c r="HE70" s="242"/>
      <c r="HF70" s="242"/>
      <c r="HG70" s="242"/>
      <c r="HH70" s="242"/>
      <c r="HI70" s="242"/>
      <c r="HJ70" s="242"/>
      <c r="HK70" s="242"/>
      <c r="HL70" s="242"/>
      <c r="HM70" s="242"/>
      <c r="HN70" s="242"/>
      <c r="HO70" s="242"/>
      <c r="HP70" s="242"/>
      <c r="HQ70" s="242"/>
      <c r="HR70" s="242"/>
      <c r="HS70" s="242"/>
      <c r="HT70" s="242"/>
      <c r="HU70" s="242"/>
      <c r="HV70" s="242"/>
      <c r="HW70" s="242"/>
      <c r="HX70" s="242"/>
      <c r="HY70" s="242"/>
      <c r="HZ70" s="242"/>
      <c r="IA70" s="242"/>
      <c r="IB70" s="242"/>
      <c r="IC70" s="242"/>
      <c r="ID70" s="242"/>
      <c r="IE70" s="242"/>
      <c r="IF70" s="242"/>
      <c r="IG70" s="242"/>
      <c r="IH70" s="242"/>
      <c r="II70" s="242"/>
      <c r="IJ70" s="242"/>
      <c r="IK70" s="242"/>
      <c r="IL70" s="242"/>
      <c r="IM70" s="242"/>
      <c r="IN70" s="242"/>
      <c r="IO70" s="242"/>
      <c r="IP70" s="242"/>
      <c r="IQ70" s="242"/>
      <c r="IR70" s="242"/>
      <c r="IS70" s="242"/>
      <c r="IT70" s="242"/>
      <c r="IU70" s="242"/>
      <c r="IV70" s="243"/>
      <c r="IW70" s="242"/>
      <c r="IX70" s="242"/>
      <c r="IY70" s="242"/>
      <c r="IZ70" s="242"/>
      <c r="JA70" s="242"/>
      <c r="JB70" s="242"/>
      <c r="JC70" s="242"/>
      <c r="JD70" s="242"/>
      <c r="JE70" s="242"/>
      <c r="JF70" s="242"/>
      <c r="JG70" s="242"/>
      <c r="JH70" s="242"/>
      <c r="JI70" s="242"/>
      <c r="JJ70" s="242"/>
      <c r="JK70" s="242"/>
      <c r="JL70" s="242"/>
      <c r="JM70" s="242"/>
      <c r="JN70" s="242"/>
      <c r="JO70" s="242"/>
      <c r="JP70" s="243"/>
      <c r="JQ70" s="242"/>
      <c r="JR70" s="242"/>
      <c r="JS70" s="242"/>
      <c r="JT70" s="243"/>
      <c r="JU70" s="243"/>
      <c r="JV70" s="242"/>
      <c r="JW70" s="242"/>
      <c r="JX70" s="242"/>
      <c r="JY70" s="242"/>
      <c r="JZ70" s="242"/>
      <c r="KA70" s="242"/>
      <c r="KB70" s="243"/>
      <c r="KC70" s="242"/>
      <c r="KD70" s="242"/>
      <c r="KE70" s="242"/>
      <c r="KF70" s="242"/>
      <c r="KG70" s="242"/>
      <c r="KH70" s="242"/>
      <c r="KI70" s="242"/>
      <c r="KJ70" s="242"/>
      <c r="KK70" s="242"/>
      <c r="KL70" s="242"/>
      <c r="KM70" s="242"/>
      <c r="KN70" s="242"/>
      <c r="KO70" s="242"/>
      <c r="KP70" s="242"/>
      <c r="KQ70" s="242"/>
      <c r="KR70" s="242"/>
      <c r="KS70" s="242"/>
      <c r="KT70" s="242"/>
      <c r="KU70" s="242"/>
      <c r="KV70" s="243"/>
      <c r="KW70" s="242"/>
      <c r="KX70" s="242"/>
      <c r="KY70" s="242"/>
      <c r="KZ70" s="242"/>
      <c r="LA70" s="242"/>
      <c r="LB70" s="242"/>
      <c r="LC70" s="242"/>
      <c r="LD70" s="242"/>
      <c r="LE70" s="242"/>
      <c r="LF70" s="242"/>
      <c r="LG70" s="242"/>
      <c r="LH70" s="242"/>
      <c r="LI70" s="242"/>
      <c r="LJ70" s="242"/>
      <c r="LK70" s="242"/>
      <c r="LL70" s="242"/>
      <c r="LM70" s="242"/>
      <c r="LN70" s="242"/>
      <c r="LO70" s="242"/>
      <c r="LP70" s="242"/>
      <c r="LQ70" s="242"/>
      <c r="LR70" s="242"/>
      <c r="LS70" s="242"/>
      <c r="LT70" s="242"/>
      <c r="LU70" s="242"/>
      <c r="LV70" s="242"/>
      <c r="LW70" s="242"/>
      <c r="LX70" s="242"/>
      <c r="LY70" s="242"/>
      <c r="LZ70" s="242"/>
      <c r="MA70" s="242"/>
      <c r="MB70" s="242"/>
      <c r="MC70" s="242"/>
      <c r="MD70" s="243"/>
      <c r="ME70" s="242"/>
      <c r="MF70" s="242"/>
      <c r="MG70" s="242"/>
      <c r="MH70" s="242"/>
      <c r="MI70" s="242"/>
      <c r="MJ70" s="242"/>
      <c r="MK70" s="242"/>
      <c r="ML70" s="242"/>
      <c r="MM70" s="242"/>
      <c r="MN70" s="242"/>
      <c r="MO70" s="242"/>
      <c r="MP70" s="242"/>
      <c r="MQ70" s="242"/>
      <c r="MR70" s="242"/>
      <c r="MS70" s="242"/>
      <c r="MT70" s="242"/>
      <c r="MU70" s="242"/>
      <c r="MV70" s="242"/>
      <c r="MW70" s="242"/>
      <c r="MX70" s="243"/>
      <c r="MY70" s="242"/>
      <c r="MZ70" s="242"/>
      <c r="NA70" s="242"/>
      <c r="NB70" s="242"/>
      <c r="NC70" s="242"/>
      <c r="ND70" s="242"/>
      <c r="NE70" s="242"/>
      <c r="NF70" s="242"/>
      <c r="NG70" s="242"/>
      <c r="NH70" s="242"/>
      <c r="NI70" s="242"/>
      <c r="NJ70" s="242"/>
      <c r="NK70" s="242"/>
      <c r="NL70" s="242"/>
      <c r="NM70" s="242"/>
      <c r="NN70" s="242"/>
      <c r="NO70" s="242"/>
      <c r="NP70" s="242"/>
      <c r="NQ70" s="242"/>
      <c r="NR70" s="242"/>
      <c r="NS70" s="242"/>
      <c r="NT70" s="242"/>
      <c r="NU70" s="242"/>
      <c r="NV70" s="242"/>
      <c r="NW70" s="242"/>
      <c r="NX70" s="242"/>
      <c r="NY70" s="242"/>
      <c r="NZ70" s="242"/>
      <c r="OA70" s="242"/>
      <c r="OB70" s="242"/>
      <c r="OC70" s="242"/>
      <c r="OD70" s="243"/>
      <c r="OE70" s="243"/>
      <c r="OF70" s="242"/>
      <c r="OG70" s="242"/>
      <c r="OH70" s="242"/>
      <c r="OI70" s="242"/>
      <c r="OJ70" s="242"/>
      <c r="OK70" s="242"/>
      <c r="OL70" s="242"/>
      <c r="OM70" s="242"/>
      <c r="ON70" s="242"/>
      <c r="OO70" s="242"/>
      <c r="OP70" s="242"/>
      <c r="OQ70" s="242"/>
      <c r="OR70" s="242"/>
      <c r="OS70" s="243"/>
      <c r="OT70" s="242"/>
      <c r="OU70" s="242"/>
      <c r="OV70" s="242"/>
      <c r="OW70" s="242"/>
      <c r="OX70" s="242"/>
      <c r="OY70" s="243"/>
      <c r="OZ70" s="242"/>
      <c r="PA70" s="242"/>
      <c r="PB70" s="242"/>
      <c r="PC70" s="242"/>
      <c r="PD70" s="242"/>
      <c r="PE70" s="242"/>
      <c r="PF70" s="242"/>
      <c r="PG70" s="242"/>
      <c r="PH70" s="242"/>
      <c r="PI70" s="242"/>
      <c r="PJ70" s="242"/>
      <c r="PK70" s="242"/>
      <c r="PL70" s="242"/>
      <c r="PM70" s="242"/>
      <c r="PN70" s="242"/>
      <c r="PO70" s="242"/>
      <c r="PP70" s="242"/>
      <c r="PQ70" s="242"/>
      <c r="PR70" s="242"/>
      <c r="PS70" s="242"/>
      <c r="PT70" s="242"/>
      <c r="PU70" s="242"/>
      <c r="PV70" s="242"/>
      <c r="PW70" s="242"/>
      <c r="PX70" s="242"/>
      <c r="PY70" s="242"/>
      <c r="PZ70" s="242"/>
      <c r="QA70" s="242"/>
      <c r="QB70" s="242"/>
      <c r="QC70" s="242"/>
      <c r="QD70" s="242"/>
      <c r="QE70" s="242"/>
      <c r="QF70" s="242"/>
      <c r="QG70" s="242"/>
      <c r="QH70" s="242"/>
      <c r="QI70" s="244"/>
    </row>
    <row r="71" spans="1:451" ht="18" customHeight="1" x14ac:dyDescent="0.2">
      <c r="A71" s="239" t="s">
        <v>458</v>
      </c>
      <c r="B71" s="245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2"/>
      <c r="Q71" s="242"/>
      <c r="R71" s="242"/>
      <c r="S71" s="242"/>
      <c r="T71" s="242"/>
      <c r="U71" s="242"/>
      <c r="V71" s="242"/>
      <c r="W71" s="242"/>
      <c r="X71" s="242"/>
      <c r="Y71" s="242"/>
      <c r="Z71" s="242"/>
      <c r="AA71" s="242"/>
      <c r="AB71" s="242"/>
      <c r="AC71" s="243"/>
      <c r="AD71" s="242"/>
      <c r="AE71" s="242"/>
      <c r="AF71" s="242"/>
      <c r="AG71" s="242"/>
      <c r="AH71" s="242"/>
      <c r="AI71" s="242"/>
      <c r="AJ71" s="242"/>
      <c r="AK71" s="242"/>
      <c r="AL71" s="242"/>
      <c r="AM71" s="242"/>
      <c r="AN71" s="242"/>
      <c r="AO71" s="242"/>
      <c r="AP71" s="242"/>
      <c r="AQ71" s="242"/>
      <c r="AR71" s="243"/>
      <c r="AS71" s="242"/>
      <c r="AT71" s="242"/>
      <c r="AU71" s="242"/>
      <c r="AV71" s="242"/>
      <c r="AW71" s="242"/>
      <c r="AX71" s="242"/>
      <c r="AY71" s="242"/>
      <c r="AZ71" s="242"/>
      <c r="BA71" s="242"/>
      <c r="BB71" s="242"/>
      <c r="BC71" s="242"/>
      <c r="BD71" s="242"/>
      <c r="BE71" s="242"/>
      <c r="BF71" s="242"/>
      <c r="BG71" s="242"/>
      <c r="BH71" s="242"/>
      <c r="BI71" s="242"/>
      <c r="BJ71" s="242"/>
      <c r="BK71" s="242"/>
      <c r="BL71" s="242"/>
      <c r="BM71" s="242"/>
      <c r="BN71" s="242"/>
      <c r="BO71" s="242"/>
      <c r="BP71" s="242"/>
      <c r="BQ71" s="242"/>
      <c r="BR71" s="242"/>
      <c r="BS71" s="242"/>
      <c r="BT71" s="242"/>
      <c r="BU71" s="242"/>
      <c r="BV71" s="242"/>
      <c r="BW71" s="242"/>
      <c r="BX71" s="242"/>
      <c r="BY71" s="242"/>
      <c r="BZ71" s="242"/>
      <c r="CA71" s="242"/>
      <c r="CB71" s="242"/>
      <c r="CC71" s="243"/>
      <c r="CD71" s="243"/>
      <c r="CE71" s="242"/>
      <c r="CF71" s="242"/>
      <c r="CG71" s="242"/>
      <c r="CH71" s="242"/>
      <c r="CI71" s="242"/>
      <c r="CJ71" s="242"/>
      <c r="CK71" s="242"/>
      <c r="CL71" s="242"/>
      <c r="CM71" s="242"/>
      <c r="CN71" s="242"/>
      <c r="CO71" s="242"/>
      <c r="CP71" s="242"/>
      <c r="CQ71" s="242"/>
      <c r="CR71" s="243"/>
      <c r="CS71" s="242"/>
      <c r="CT71" s="242"/>
      <c r="CU71" s="242"/>
      <c r="CV71" s="242"/>
      <c r="CW71" s="242"/>
      <c r="CX71" s="243"/>
      <c r="CY71" s="242"/>
      <c r="CZ71" s="242"/>
      <c r="DA71" s="242"/>
      <c r="DB71" s="242"/>
      <c r="DC71" s="242"/>
      <c r="DD71" s="242"/>
      <c r="DE71" s="242"/>
      <c r="DF71" s="242"/>
      <c r="DG71" s="242"/>
      <c r="DH71" s="242"/>
      <c r="DI71" s="242"/>
      <c r="DJ71" s="242"/>
      <c r="DK71" s="242"/>
      <c r="DL71" s="242"/>
      <c r="DM71" s="242"/>
      <c r="DN71" s="242"/>
      <c r="DO71" s="242"/>
      <c r="DP71" s="242"/>
      <c r="DQ71" s="242"/>
      <c r="DR71" s="242"/>
      <c r="DS71" s="242"/>
      <c r="DT71" s="242"/>
      <c r="DU71" s="242"/>
      <c r="DV71" s="242"/>
      <c r="DW71" s="242"/>
      <c r="DX71" s="242"/>
      <c r="DY71" s="242"/>
      <c r="DZ71" s="242"/>
      <c r="EA71" s="242"/>
      <c r="EB71" s="242"/>
      <c r="EC71" s="242"/>
      <c r="ED71" s="242"/>
      <c r="EE71" s="242"/>
      <c r="EF71" s="242"/>
      <c r="EG71" s="242"/>
      <c r="EH71" s="242"/>
      <c r="EI71" s="242"/>
      <c r="EJ71" s="242"/>
      <c r="EK71" s="242"/>
      <c r="EL71" s="242"/>
      <c r="EM71" s="242"/>
      <c r="EN71" s="242"/>
      <c r="EO71" s="242"/>
      <c r="EP71" s="242"/>
      <c r="EQ71" s="242"/>
      <c r="ER71" s="242"/>
      <c r="ES71" s="242"/>
      <c r="ET71" s="242"/>
      <c r="EU71" s="242"/>
      <c r="EV71" s="242"/>
      <c r="EW71" s="242"/>
      <c r="EX71" s="242"/>
      <c r="EY71" s="242"/>
      <c r="EZ71" s="242"/>
      <c r="FA71" s="242"/>
      <c r="FB71" s="242"/>
      <c r="FC71" s="242"/>
      <c r="FD71" s="242"/>
      <c r="FE71" s="242"/>
      <c r="FF71" s="242"/>
      <c r="FG71" s="242"/>
      <c r="FH71" s="242"/>
      <c r="FI71" s="242"/>
      <c r="FJ71" s="242"/>
      <c r="FK71" s="242"/>
      <c r="FL71" s="242"/>
      <c r="FM71" s="242"/>
      <c r="FN71" s="242"/>
      <c r="FO71" s="242"/>
      <c r="FP71" s="242"/>
      <c r="FQ71" s="243"/>
      <c r="FR71" s="243"/>
      <c r="FS71" s="242"/>
      <c r="FT71" s="242"/>
      <c r="FU71" s="242"/>
      <c r="FV71" s="242"/>
      <c r="FW71" s="242"/>
      <c r="FX71" s="242"/>
      <c r="FY71" s="242"/>
      <c r="FZ71" s="242"/>
      <c r="GA71" s="242"/>
      <c r="GB71" s="242"/>
      <c r="GC71" s="242"/>
      <c r="GD71" s="242"/>
      <c r="GE71" s="242"/>
      <c r="GF71" s="242"/>
      <c r="GG71" s="242"/>
      <c r="GH71" s="242"/>
      <c r="GI71" s="242"/>
      <c r="GJ71" s="242"/>
      <c r="GK71" s="242"/>
      <c r="GL71" s="242"/>
      <c r="GM71" s="242"/>
      <c r="GN71" s="242"/>
      <c r="GO71" s="242"/>
      <c r="GP71" s="242"/>
      <c r="GQ71" s="242"/>
      <c r="GR71" s="242"/>
      <c r="GS71" s="242"/>
      <c r="GT71" s="242"/>
      <c r="GU71" s="242"/>
      <c r="GV71" s="242"/>
      <c r="GW71" s="243"/>
      <c r="GX71" s="242"/>
      <c r="GY71" s="242"/>
      <c r="GZ71" s="242"/>
      <c r="HA71" s="242"/>
      <c r="HB71" s="242"/>
      <c r="HC71" s="242"/>
      <c r="HD71" s="242"/>
      <c r="HE71" s="242"/>
      <c r="HF71" s="242"/>
      <c r="HG71" s="242"/>
      <c r="HH71" s="242"/>
      <c r="HI71" s="242"/>
      <c r="HJ71" s="242"/>
      <c r="HK71" s="242"/>
      <c r="HL71" s="242"/>
      <c r="HM71" s="242"/>
      <c r="HN71" s="242"/>
      <c r="HO71" s="242"/>
      <c r="HP71" s="242"/>
      <c r="HQ71" s="242"/>
      <c r="HR71" s="242"/>
      <c r="HS71" s="242"/>
      <c r="HT71" s="242"/>
      <c r="HU71" s="242"/>
      <c r="HV71" s="242"/>
      <c r="HW71" s="242"/>
      <c r="HX71" s="242"/>
      <c r="HY71" s="242"/>
      <c r="HZ71" s="242"/>
      <c r="IA71" s="242"/>
      <c r="IB71" s="242"/>
      <c r="IC71" s="242"/>
      <c r="ID71" s="242"/>
      <c r="IE71" s="242"/>
      <c r="IF71" s="242"/>
      <c r="IG71" s="242"/>
      <c r="IH71" s="242"/>
      <c r="II71" s="242"/>
      <c r="IJ71" s="242"/>
      <c r="IK71" s="242"/>
      <c r="IL71" s="242"/>
      <c r="IM71" s="242"/>
      <c r="IN71" s="242"/>
      <c r="IO71" s="242"/>
      <c r="IP71" s="242"/>
      <c r="IQ71" s="242"/>
      <c r="IR71" s="242"/>
      <c r="IS71" s="242"/>
      <c r="IT71" s="242"/>
      <c r="IU71" s="242"/>
      <c r="IV71" s="243"/>
      <c r="IW71" s="242"/>
      <c r="IX71" s="242"/>
      <c r="IY71" s="242">
        <v>1</v>
      </c>
      <c r="IZ71" s="242">
        <v>1</v>
      </c>
      <c r="JA71" s="242">
        <v>1</v>
      </c>
      <c r="JB71" s="242">
        <v>1</v>
      </c>
      <c r="JC71" s="242">
        <v>1</v>
      </c>
      <c r="JD71" s="242">
        <v>1</v>
      </c>
      <c r="JE71" s="242">
        <v>1</v>
      </c>
      <c r="JF71" s="242">
        <v>1</v>
      </c>
      <c r="JG71" s="242">
        <v>2</v>
      </c>
      <c r="JH71" s="242">
        <v>2</v>
      </c>
      <c r="JI71" s="242">
        <v>2</v>
      </c>
      <c r="JJ71" s="242">
        <v>2</v>
      </c>
      <c r="JK71" s="242">
        <f>+JE71+1</f>
        <v>2</v>
      </c>
      <c r="JL71" s="242">
        <f>+JF71+1</f>
        <v>2</v>
      </c>
      <c r="JM71" s="242">
        <v>2</v>
      </c>
      <c r="JN71" s="242">
        <v>2</v>
      </c>
      <c r="JO71" s="242">
        <f>+JG71+1</f>
        <v>3</v>
      </c>
      <c r="JP71" s="243"/>
      <c r="JQ71" s="242">
        <f t="shared" ref="JQ71:JS72" si="164">+JH71+1</f>
        <v>3</v>
      </c>
      <c r="JR71" s="242">
        <f t="shared" si="164"/>
        <v>3</v>
      </c>
      <c r="JS71" s="242">
        <f t="shared" si="164"/>
        <v>3</v>
      </c>
      <c r="JT71" s="243"/>
      <c r="JU71" s="243"/>
      <c r="JV71" s="242">
        <f t="shared" ref="JV71:JZ72" si="165">+JK71+1</f>
        <v>3</v>
      </c>
      <c r="JW71" s="242">
        <f t="shared" si="165"/>
        <v>3</v>
      </c>
      <c r="JX71" s="242">
        <f t="shared" si="165"/>
        <v>3</v>
      </c>
      <c r="JY71" s="242">
        <f t="shared" si="165"/>
        <v>3</v>
      </c>
      <c r="JZ71" s="242">
        <f t="shared" si="165"/>
        <v>4</v>
      </c>
      <c r="KA71" s="242">
        <f>+JQ71+1</f>
        <v>4</v>
      </c>
      <c r="KB71" s="243"/>
      <c r="KC71" s="242">
        <f>+JR71+1</f>
        <v>4</v>
      </c>
      <c r="KD71" s="242">
        <f>+JS71+1</f>
        <v>4</v>
      </c>
      <c r="KE71" s="242">
        <f t="shared" ref="KE71:KJ72" si="166">+JV71+1</f>
        <v>4</v>
      </c>
      <c r="KF71" s="242">
        <f t="shared" si="166"/>
        <v>4</v>
      </c>
      <c r="KG71" s="242">
        <f t="shared" si="166"/>
        <v>4</v>
      </c>
      <c r="KH71" s="242">
        <f t="shared" si="166"/>
        <v>4</v>
      </c>
      <c r="KI71" s="242">
        <f t="shared" si="166"/>
        <v>5</v>
      </c>
      <c r="KJ71" s="242">
        <f t="shared" si="166"/>
        <v>5</v>
      </c>
      <c r="KK71" s="242">
        <f t="shared" si="124"/>
        <v>5</v>
      </c>
      <c r="KL71" s="242">
        <f t="shared" si="124"/>
        <v>5</v>
      </c>
      <c r="KM71" s="242">
        <f t="shared" si="124"/>
        <v>5</v>
      </c>
      <c r="KN71" s="242">
        <f t="shared" si="124"/>
        <v>5</v>
      </c>
      <c r="KO71" s="242">
        <f t="shared" si="124"/>
        <v>5</v>
      </c>
      <c r="KP71" s="242">
        <f t="shared" si="124"/>
        <v>5</v>
      </c>
      <c r="KQ71" s="242">
        <f t="shared" si="124"/>
        <v>6</v>
      </c>
      <c r="KR71" s="242">
        <f t="shared" si="124"/>
        <v>6</v>
      </c>
      <c r="KS71" s="242">
        <f t="shared" si="124"/>
        <v>6</v>
      </c>
      <c r="KT71" s="242">
        <f t="shared" si="139"/>
        <v>6</v>
      </c>
      <c r="KU71" s="242">
        <f t="shared" si="139"/>
        <v>6</v>
      </c>
      <c r="KV71" s="243"/>
      <c r="KW71" s="242">
        <f t="shared" ref="KW71:LD74" si="167">+KN71+1</f>
        <v>6</v>
      </c>
      <c r="KX71" s="242">
        <f t="shared" si="167"/>
        <v>6</v>
      </c>
      <c r="KY71" s="242">
        <f t="shared" si="167"/>
        <v>6</v>
      </c>
      <c r="KZ71" s="242">
        <f t="shared" si="167"/>
        <v>7</v>
      </c>
      <c r="LA71" s="242">
        <f t="shared" si="167"/>
        <v>7</v>
      </c>
      <c r="LB71" s="242">
        <f t="shared" si="167"/>
        <v>7</v>
      </c>
      <c r="LC71" s="242">
        <f t="shared" si="167"/>
        <v>7</v>
      </c>
      <c r="LD71" s="242">
        <f t="shared" si="167"/>
        <v>7</v>
      </c>
      <c r="LE71" s="242">
        <f t="shared" si="139"/>
        <v>7</v>
      </c>
      <c r="LF71" s="242">
        <f t="shared" si="126"/>
        <v>7</v>
      </c>
      <c r="LG71" s="242">
        <f t="shared" si="126"/>
        <v>7</v>
      </c>
      <c r="LH71" s="242">
        <f t="shared" si="126"/>
        <v>8</v>
      </c>
      <c r="LI71" s="242">
        <f t="shared" si="126"/>
        <v>8</v>
      </c>
      <c r="LJ71" s="242">
        <f t="shared" si="126"/>
        <v>8</v>
      </c>
      <c r="LK71" s="242">
        <f t="shared" si="126"/>
        <v>8</v>
      </c>
      <c r="LL71" s="242">
        <f t="shared" si="126"/>
        <v>8</v>
      </c>
      <c r="LM71" s="242">
        <f t="shared" si="126"/>
        <v>8</v>
      </c>
      <c r="LN71" s="242">
        <f t="shared" si="126"/>
        <v>8</v>
      </c>
      <c r="LO71" s="242">
        <f t="shared" si="126"/>
        <v>8</v>
      </c>
      <c r="LP71" s="242">
        <f t="shared" si="126"/>
        <v>9</v>
      </c>
      <c r="LQ71" s="242">
        <f t="shared" si="126"/>
        <v>9</v>
      </c>
      <c r="LR71" s="242">
        <f t="shared" si="126"/>
        <v>9</v>
      </c>
      <c r="LS71" s="242">
        <f t="shared" si="126"/>
        <v>9</v>
      </c>
      <c r="LT71" s="242">
        <f t="shared" si="126"/>
        <v>9</v>
      </c>
      <c r="LU71" s="242">
        <f t="shared" si="127"/>
        <v>9</v>
      </c>
      <c r="LV71" s="242">
        <f t="shared" si="127"/>
        <v>9</v>
      </c>
      <c r="LW71" s="242">
        <f t="shared" si="127"/>
        <v>9</v>
      </c>
      <c r="LX71" s="242">
        <f t="shared" si="127"/>
        <v>10</v>
      </c>
      <c r="LY71" s="242">
        <f t="shared" si="127"/>
        <v>10</v>
      </c>
      <c r="LZ71" s="242">
        <f t="shared" si="127"/>
        <v>10</v>
      </c>
      <c r="MA71" s="242">
        <f t="shared" si="127"/>
        <v>10</v>
      </c>
      <c r="MB71" s="242">
        <f t="shared" si="127"/>
        <v>10</v>
      </c>
      <c r="MC71" s="242">
        <f t="shared" si="131"/>
        <v>10</v>
      </c>
      <c r="MD71" s="243"/>
      <c r="ME71" s="242">
        <f t="shared" ref="ME71:ML74" si="168">+LV71+1</f>
        <v>10</v>
      </c>
      <c r="MF71" s="242">
        <f t="shared" si="168"/>
        <v>10</v>
      </c>
      <c r="MG71" s="242">
        <f t="shared" si="168"/>
        <v>11</v>
      </c>
      <c r="MH71" s="242">
        <f t="shared" si="168"/>
        <v>11</v>
      </c>
      <c r="MI71" s="242">
        <f t="shared" si="168"/>
        <v>11</v>
      </c>
      <c r="MJ71" s="242">
        <f t="shared" si="168"/>
        <v>11</v>
      </c>
      <c r="MK71" s="242">
        <f t="shared" si="168"/>
        <v>11</v>
      </c>
      <c r="ML71" s="242">
        <f t="shared" si="168"/>
        <v>11</v>
      </c>
      <c r="MM71" s="242">
        <f t="shared" si="132"/>
        <v>11</v>
      </c>
      <c r="MN71" s="242">
        <f t="shared" si="132"/>
        <v>11</v>
      </c>
      <c r="MO71" s="242">
        <f t="shared" si="132"/>
        <v>12</v>
      </c>
      <c r="MP71" s="242">
        <f t="shared" si="132"/>
        <v>12</v>
      </c>
      <c r="MQ71" s="242">
        <f t="shared" si="132"/>
        <v>12</v>
      </c>
      <c r="MR71" s="242">
        <f t="shared" si="132"/>
        <v>12</v>
      </c>
      <c r="MS71" s="242">
        <f t="shared" si="132"/>
        <v>12</v>
      </c>
      <c r="MT71" s="242">
        <f t="shared" si="132"/>
        <v>12</v>
      </c>
      <c r="MU71" s="242">
        <f t="shared" si="132"/>
        <v>12</v>
      </c>
      <c r="MV71" s="242">
        <f t="shared" si="132"/>
        <v>12</v>
      </c>
      <c r="MW71" s="242">
        <f t="shared" si="132"/>
        <v>13</v>
      </c>
      <c r="MX71" s="243"/>
      <c r="MY71" s="242">
        <f t="shared" ref="MY71:NF74" si="169">+MP71+1</f>
        <v>13</v>
      </c>
      <c r="MZ71" s="242">
        <f t="shared" si="169"/>
        <v>13</v>
      </c>
      <c r="NA71" s="242">
        <f t="shared" si="169"/>
        <v>13</v>
      </c>
      <c r="NB71" s="242">
        <f t="shared" si="169"/>
        <v>13</v>
      </c>
      <c r="NC71" s="242">
        <f t="shared" si="169"/>
        <v>13</v>
      </c>
      <c r="ND71" s="242">
        <f t="shared" si="169"/>
        <v>13</v>
      </c>
      <c r="NE71" s="242">
        <f t="shared" si="169"/>
        <v>13</v>
      </c>
      <c r="NF71" s="242">
        <f t="shared" si="169"/>
        <v>14</v>
      </c>
      <c r="NG71" s="242">
        <f t="shared" si="142"/>
        <v>14</v>
      </c>
      <c r="NH71" s="242">
        <f t="shared" si="142"/>
        <v>14</v>
      </c>
      <c r="NI71" s="242">
        <f t="shared" si="142"/>
        <v>14</v>
      </c>
      <c r="NJ71" s="242">
        <f t="shared" si="142"/>
        <v>14</v>
      </c>
      <c r="NK71" s="242">
        <f t="shared" si="142"/>
        <v>14</v>
      </c>
      <c r="NL71" s="242">
        <f t="shared" si="143"/>
        <v>14</v>
      </c>
      <c r="NM71" s="242">
        <f t="shared" si="143"/>
        <v>14</v>
      </c>
      <c r="NN71" s="242">
        <f t="shared" si="143"/>
        <v>15</v>
      </c>
      <c r="NO71" s="242">
        <f t="shared" si="143"/>
        <v>15</v>
      </c>
      <c r="NP71" s="242">
        <f t="shared" si="143"/>
        <v>15</v>
      </c>
      <c r="NQ71" s="242">
        <f t="shared" si="143"/>
        <v>15</v>
      </c>
      <c r="NR71" s="242">
        <f t="shared" si="143"/>
        <v>15</v>
      </c>
      <c r="NS71" s="242">
        <f t="shared" si="143"/>
        <v>15</v>
      </c>
      <c r="NT71" s="242">
        <f t="shared" si="143"/>
        <v>15</v>
      </c>
      <c r="NU71" s="242">
        <f t="shared" si="143"/>
        <v>15</v>
      </c>
      <c r="NV71" s="242">
        <f t="shared" si="143"/>
        <v>16</v>
      </c>
      <c r="NW71" s="242">
        <f t="shared" si="143"/>
        <v>16</v>
      </c>
      <c r="NX71" s="242">
        <f t="shared" si="143"/>
        <v>16</v>
      </c>
      <c r="NY71" s="242">
        <f t="shared" si="143"/>
        <v>16</v>
      </c>
      <c r="NZ71" s="242">
        <f t="shared" si="143"/>
        <v>16</v>
      </c>
      <c r="OA71" s="242">
        <f t="shared" si="143"/>
        <v>16</v>
      </c>
      <c r="OB71" s="242">
        <f t="shared" ref="NX71:OC77" si="170">+NT71+1</f>
        <v>16</v>
      </c>
      <c r="OC71" s="242">
        <f>+NU71+1</f>
        <v>16</v>
      </c>
      <c r="OD71" s="243"/>
      <c r="OE71" s="243"/>
      <c r="OF71" s="242">
        <f t="shared" ref="OF71:OM74" si="171">+NV71+1</f>
        <v>17</v>
      </c>
      <c r="OG71" s="242">
        <f t="shared" si="171"/>
        <v>17</v>
      </c>
      <c r="OH71" s="242">
        <f t="shared" si="171"/>
        <v>17</v>
      </c>
      <c r="OI71" s="242">
        <f t="shared" si="171"/>
        <v>17</v>
      </c>
      <c r="OJ71" s="242">
        <f t="shared" si="171"/>
        <v>17</v>
      </c>
      <c r="OK71" s="242">
        <f t="shared" si="171"/>
        <v>17</v>
      </c>
      <c r="OL71" s="242">
        <f t="shared" si="171"/>
        <v>17</v>
      </c>
      <c r="OM71" s="242">
        <f t="shared" si="171"/>
        <v>17</v>
      </c>
      <c r="ON71" s="242">
        <f>+OF71+1</f>
        <v>18</v>
      </c>
      <c r="OO71" s="242">
        <f t="shared" ref="OC71:OR80" si="172">+OG71+1</f>
        <v>18</v>
      </c>
      <c r="OP71" s="242">
        <f t="shared" si="172"/>
        <v>18</v>
      </c>
      <c r="OQ71" s="242">
        <f t="shared" si="172"/>
        <v>18</v>
      </c>
      <c r="OR71" s="242"/>
      <c r="OS71" s="243"/>
      <c r="OT71" s="242"/>
      <c r="OU71" s="242"/>
      <c r="OV71" s="242"/>
      <c r="OW71" s="242"/>
      <c r="OX71" s="242"/>
      <c r="OY71" s="243"/>
      <c r="OZ71" s="242"/>
      <c r="PA71" s="242"/>
      <c r="PB71" s="242"/>
      <c r="PC71" s="242"/>
      <c r="PD71" s="242"/>
      <c r="PE71" s="242"/>
      <c r="PF71" s="242"/>
      <c r="PG71" s="242"/>
      <c r="PH71" s="242"/>
      <c r="PI71" s="242"/>
      <c r="PJ71" s="242"/>
      <c r="PK71" s="242"/>
      <c r="PL71" s="242"/>
      <c r="PM71" s="242"/>
      <c r="PN71" s="242"/>
      <c r="PO71" s="242"/>
      <c r="PP71" s="242"/>
      <c r="PQ71" s="242"/>
      <c r="PR71" s="242"/>
      <c r="PS71" s="242"/>
      <c r="PT71" s="242"/>
      <c r="PU71" s="242"/>
      <c r="PV71" s="242"/>
      <c r="PW71" s="242"/>
      <c r="PX71" s="242"/>
      <c r="PY71" s="242"/>
      <c r="PZ71" s="242"/>
      <c r="QA71" s="242"/>
      <c r="QB71" s="242"/>
      <c r="QC71" s="242"/>
      <c r="QD71" s="242"/>
      <c r="QE71" s="242"/>
      <c r="QF71" s="242"/>
      <c r="QG71" s="242"/>
      <c r="QH71" s="242"/>
      <c r="QI71" s="244"/>
    </row>
    <row r="72" spans="1:451" ht="18" customHeight="1" x14ac:dyDescent="0.2">
      <c r="A72" s="239" t="s">
        <v>459</v>
      </c>
      <c r="B72" s="245"/>
      <c r="C72" s="242"/>
      <c r="D72" s="242"/>
      <c r="E72" s="242"/>
      <c r="F72" s="242"/>
      <c r="G72" s="242"/>
      <c r="H72" s="242"/>
      <c r="I72" s="242"/>
      <c r="J72" s="242"/>
      <c r="K72" s="242"/>
      <c r="L72" s="242"/>
      <c r="M72" s="242"/>
      <c r="N72" s="242"/>
      <c r="O72" s="242"/>
      <c r="P72" s="242"/>
      <c r="Q72" s="242"/>
      <c r="R72" s="242"/>
      <c r="S72" s="242"/>
      <c r="T72" s="242"/>
      <c r="U72" s="242"/>
      <c r="V72" s="242"/>
      <c r="W72" s="242"/>
      <c r="X72" s="242"/>
      <c r="Y72" s="242"/>
      <c r="Z72" s="242"/>
      <c r="AA72" s="242"/>
      <c r="AB72" s="242"/>
      <c r="AC72" s="243"/>
      <c r="AD72" s="242"/>
      <c r="AE72" s="242"/>
      <c r="AF72" s="242"/>
      <c r="AG72" s="242"/>
      <c r="AH72" s="242"/>
      <c r="AI72" s="242"/>
      <c r="AJ72" s="242"/>
      <c r="AK72" s="242"/>
      <c r="AL72" s="242"/>
      <c r="AM72" s="242"/>
      <c r="AN72" s="242"/>
      <c r="AO72" s="242"/>
      <c r="AP72" s="242"/>
      <c r="AQ72" s="242"/>
      <c r="AR72" s="243"/>
      <c r="AS72" s="242"/>
      <c r="AT72" s="242"/>
      <c r="AU72" s="242"/>
      <c r="AV72" s="242"/>
      <c r="AW72" s="242"/>
      <c r="AX72" s="242"/>
      <c r="AY72" s="242"/>
      <c r="AZ72" s="242"/>
      <c r="BA72" s="242"/>
      <c r="BB72" s="242"/>
      <c r="BC72" s="242"/>
      <c r="BD72" s="242"/>
      <c r="BE72" s="242"/>
      <c r="BF72" s="242"/>
      <c r="BG72" s="242"/>
      <c r="BH72" s="242"/>
      <c r="BI72" s="242"/>
      <c r="BJ72" s="242"/>
      <c r="BK72" s="242"/>
      <c r="BL72" s="242"/>
      <c r="BM72" s="242"/>
      <c r="BN72" s="242"/>
      <c r="BO72" s="242"/>
      <c r="BP72" s="242"/>
      <c r="BQ72" s="242"/>
      <c r="BR72" s="242"/>
      <c r="BS72" s="242"/>
      <c r="BT72" s="242"/>
      <c r="BU72" s="242"/>
      <c r="BV72" s="242"/>
      <c r="BW72" s="242"/>
      <c r="BX72" s="242"/>
      <c r="BY72" s="242"/>
      <c r="BZ72" s="242"/>
      <c r="CA72" s="242"/>
      <c r="CB72" s="242"/>
      <c r="CC72" s="243"/>
      <c r="CD72" s="243"/>
      <c r="CE72" s="242"/>
      <c r="CF72" s="242"/>
      <c r="CG72" s="242"/>
      <c r="CH72" s="242"/>
      <c r="CI72" s="242"/>
      <c r="CJ72" s="242"/>
      <c r="CK72" s="242"/>
      <c r="CL72" s="242"/>
      <c r="CM72" s="242"/>
      <c r="CN72" s="242"/>
      <c r="CO72" s="242"/>
      <c r="CP72" s="242"/>
      <c r="CQ72" s="242"/>
      <c r="CR72" s="243"/>
      <c r="CS72" s="242"/>
      <c r="CT72" s="242"/>
      <c r="CU72" s="242"/>
      <c r="CV72" s="242"/>
      <c r="CW72" s="242"/>
      <c r="CX72" s="243"/>
      <c r="CY72" s="242"/>
      <c r="CZ72" s="242"/>
      <c r="DA72" s="242"/>
      <c r="DB72" s="242"/>
      <c r="DC72" s="242"/>
      <c r="DD72" s="242"/>
      <c r="DE72" s="242"/>
      <c r="DF72" s="242"/>
      <c r="DG72" s="242"/>
      <c r="DH72" s="242"/>
      <c r="DI72" s="242"/>
      <c r="DJ72" s="242"/>
      <c r="DK72" s="242"/>
      <c r="DL72" s="242"/>
      <c r="DM72" s="242"/>
      <c r="DN72" s="242"/>
      <c r="DO72" s="242"/>
      <c r="DP72" s="242"/>
      <c r="DQ72" s="242"/>
      <c r="DR72" s="242"/>
      <c r="DS72" s="242"/>
      <c r="DT72" s="242"/>
      <c r="DU72" s="242"/>
      <c r="DV72" s="242"/>
      <c r="DW72" s="242"/>
      <c r="DX72" s="242"/>
      <c r="DY72" s="242"/>
      <c r="DZ72" s="242"/>
      <c r="EA72" s="242"/>
      <c r="EB72" s="242"/>
      <c r="EC72" s="242"/>
      <c r="ED72" s="242"/>
      <c r="EE72" s="242"/>
      <c r="EF72" s="242"/>
      <c r="EG72" s="242"/>
      <c r="EH72" s="242"/>
      <c r="EI72" s="242"/>
      <c r="EJ72" s="242"/>
      <c r="EK72" s="242"/>
      <c r="EL72" s="242"/>
      <c r="EM72" s="242"/>
      <c r="EN72" s="242"/>
      <c r="EO72" s="242"/>
      <c r="EP72" s="242"/>
      <c r="EQ72" s="242"/>
      <c r="ER72" s="242"/>
      <c r="ES72" s="242"/>
      <c r="ET72" s="242"/>
      <c r="EU72" s="242"/>
      <c r="EV72" s="242"/>
      <c r="EW72" s="242"/>
      <c r="EX72" s="242"/>
      <c r="EY72" s="242"/>
      <c r="EZ72" s="242"/>
      <c r="FA72" s="242"/>
      <c r="FB72" s="242"/>
      <c r="FC72" s="242"/>
      <c r="FD72" s="242"/>
      <c r="FE72" s="242"/>
      <c r="FF72" s="242"/>
      <c r="FG72" s="242"/>
      <c r="FH72" s="242"/>
      <c r="FI72" s="242"/>
      <c r="FJ72" s="242"/>
      <c r="FK72" s="242"/>
      <c r="FL72" s="242"/>
      <c r="FM72" s="242"/>
      <c r="FN72" s="242"/>
      <c r="FO72" s="242"/>
      <c r="FP72" s="242"/>
      <c r="FQ72" s="243"/>
      <c r="FR72" s="243"/>
      <c r="FS72" s="242"/>
      <c r="FT72" s="242"/>
      <c r="FU72" s="242"/>
      <c r="FV72" s="242"/>
      <c r="FW72" s="242"/>
      <c r="FX72" s="242"/>
      <c r="FY72" s="242"/>
      <c r="FZ72" s="242"/>
      <c r="GA72" s="242"/>
      <c r="GB72" s="242"/>
      <c r="GC72" s="242"/>
      <c r="GD72" s="242"/>
      <c r="GE72" s="242"/>
      <c r="GF72" s="242"/>
      <c r="GG72" s="242"/>
      <c r="GH72" s="242"/>
      <c r="GI72" s="242"/>
      <c r="GJ72" s="242"/>
      <c r="GK72" s="242"/>
      <c r="GL72" s="242"/>
      <c r="GM72" s="242"/>
      <c r="GN72" s="242"/>
      <c r="GO72" s="242"/>
      <c r="GP72" s="242"/>
      <c r="GQ72" s="242"/>
      <c r="GR72" s="242"/>
      <c r="GS72" s="242"/>
      <c r="GT72" s="242"/>
      <c r="GU72" s="242"/>
      <c r="GV72" s="242"/>
      <c r="GW72" s="243"/>
      <c r="GX72" s="242"/>
      <c r="GY72" s="242"/>
      <c r="GZ72" s="242"/>
      <c r="HA72" s="242"/>
      <c r="HB72" s="242"/>
      <c r="HC72" s="242"/>
      <c r="HD72" s="242"/>
      <c r="HE72" s="242"/>
      <c r="HF72" s="242"/>
      <c r="HG72" s="242"/>
      <c r="HH72" s="242"/>
      <c r="HI72" s="242"/>
      <c r="HJ72" s="242"/>
      <c r="HK72" s="242"/>
      <c r="HL72" s="242"/>
      <c r="HM72" s="242"/>
      <c r="HN72" s="242"/>
      <c r="HO72" s="242"/>
      <c r="HP72" s="242"/>
      <c r="HQ72" s="242"/>
      <c r="HR72" s="242"/>
      <c r="HS72" s="242"/>
      <c r="HT72" s="242"/>
      <c r="HU72" s="242"/>
      <c r="HV72" s="242"/>
      <c r="HW72" s="242"/>
      <c r="HX72" s="242"/>
      <c r="HY72" s="242"/>
      <c r="HZ72" s="242"/>
      <c r="IA72" s="242"/>
      <c r="IB72" s="242"/>
      <c r="IC72" s="242"/>
      <c r="ID72" s="242"/>
      <c r="IE72" s="242"/>
      <c r="IF72" s="242"/>
      <c r="IG72" s="242"/>
      <c r="IH72" s="242"/>
      <c r="II72" s="242"/>
      <c r="IJ72" s="242"/>
      <c r="IK72" s="242"/>
      <c r="IL72" s="242"/>
      <c r="IM72" s="242"/>
      <c r="IN72" s="242"/>
      <c r="IO72" s="242"/>
      <c r="IP72" s="242"/>
      <c r="IQ72" s="242"/>
      <c r="IR72" s="242"/>
      <c r="IS72" s="242"/>
      <c r="IT72" s="242"/>
      <c r="IU72" s="242"/>
      <c r="IV72" s="243"/>
      <c r="IW72" s="242"/>
      <c r="IX72" s="242"/>
      <c r="IY72" s="242"/>
      <c r="IZ72" s="242">
        <v>1</v>
      </c>
      <c r="JA72" s="242">
        <v>1</v>
      </c>
      <c r="JB72" s="242">
        <v>1</v>
      </c>
      <c r="JC72" s="242">
        <v>1</v>
      </c>
      <c r="JD72" s="242">
        <v>1</v>
      </c>
      <c r="JE72" s="242">
        <v>1</v>
      </c>
      <c r="JF72" s="242">
        <v>1</v>
      </c>
      <c r="JG72" s="242">
        <v>1</v>
      </c>
      <c r="JH72" s="242">
        <v>2</v>
      </c>
      <c r="JI72" s="242">
        <v>2</v>
      </c>
      <c r="JJ72" s="242">
        <v>2</v>
      </c>
      <c r="JK72" s="242">
        <v>2</v>
      </c>
      <c r="JL72" s="242">
        <f>+JF72+1</f>
        <v>2</v>
      </c>
      <c r="JM72" s="242">
        <f>+JG72+1</f>
        <v>2</v>
      </c>
      <c r="JN72" s="242">
        <v>2</v>
      </c>
      <c r="JO72" s="242">
        <v>2</v>
      </c>
      <c r="JP72" s="243"/>
      <c r="JQ72" s="242">
        <f t="shared" si="164"/>
        <v>3</v>
      </c>
      <c r="JR72" s="242">
        <f t="shared" si="164"/>
        <v>3</v>
      </c>
      <c r="JS72" s="242">
        <f t="shared" si="164"/>
        <v>3</v>
      </c>
      <c r="JT72" s="243"/>
      <c r="JU72" s="243"/>
      <c r="JV72" s="242">
        <f t="shared" si="165"/>
        <v>3</v>
      </c>
      <c r="JW72" s="242">
        <f t="shared" si="165"/>
        <v>3</v>
      </c>
      <c r="JX72" s="242">
        <f t="shared" si="165"/>
        <v>3</v>
      </c>
      <c r="JY72" s="242">
        <f t="shared" si="165"/>
        <v>3</v>
      </c>
      <c r="JZ72" s="242">
        <f t="shared" si="165"/>
        <v>3</v>
      </c>
      <c r="KA72" s="242">
        <f>+JQ72+1</f>
        <v>4</v>
      </c>
      <c r="KB72" s="243"/>
      <c r="KC72" s="242">
        <f>+JR72+1</f>
        <v>4</v>
      </c>
      <c r="KD72" s="242">
        <f>+JS72+1</f>
        <v>4</v>
      </c>
      <c r="KE72" s="242">
        <f t="shared" si="166"/>
        <v>4</v>
      </c>
      <c r="KF72" s="242">
        <f t="shared" si="166"/>
        <v>4</v>
      </c>
      <c r="KG72" s="242">
        <f t="shared" si="166"/>
        <v>4</v>
      </c>
      <c r="KH72" s="242">
        <f t="shared" si="166"/>
        <v>4</v>
      </c>
      <c r="KI72" s="242">
        <f t="shared" si="166"/>
        <v>4</v>
      </c>
      <c r="KJ72" s="242">
        <f t="shared" si="166"/>
        <v>5</v>
      </c>
      <c r="KK72" s="242">
        <f t="shared" si="124"/>
        <v>5</v>
      </c>
      <c r="KL72" s="242">
        <f t="shared" si="124"/>
        <v>5</v>
      </c>
      <c r="KM72" s="242">
        <f t="shared" si="124"/>
        <v>5</v>
      </c>
      <c r="KN72" s="242">
        <f t="shared" si="124"/>
        <v>5</v>
      </c>
      <c r="KO72" s="242">
        <f t="shared" si="124"/>
        <v>5</v>
      </c>
      <c r="KP72" s="242">
        <f t="shared" si="124"/>
        <v>5</v>
      </c>
      <c r="KQ72" s="242">
        <f t="shared" si="124"/>
        <v>5</v>
      </c>
      <c r="KR72" s="242">
        <f t="shared" si="124"/>
        <v>6</v>
      </c>
      <c r="KS72" s="242">
        <f t="shared" si="124"/>
        <v>6</v>
      </c>
      <c r="KT72" s="242">
        <f t="shared" si="139"/>
        <v>6</v>
      </c>
      <c r="KU72" s="242">
        <f t="shared" si="139"/>
        <v>6</v>
      </c>
      <c r="KV72" s="243"/>
      <c r="KW72" s="242">
        <f t="shared" si="167"/>
        <v>6</v>
      </c>
      <c r="KX72" s="242">
        <f t="shared" si="167"/>
        <v>6</v>
      </c>
      <c r="KY72" s="242">
        <f t="shared" si="167"/>
        <v>6</v>
      </c>
      <c r="KZ72" s="242">
        <f t="shared" si="167"/>
        <v>6</v>
      </c>
      <c r="LA72" s="242">
        <f t="shared" si="167"/>
        <v>7</v>
      </c>
      <c r="LB72" s="242">
        <f t="shared" si="167"/>
        <v>7</v>
      </c>
      <c r="LC72" s="242">
        <f t="shared" si="167"/>
        <v>7</v>
      </c>
      <c r="LD72" s="242">
        <f t="shared" si="167"/>
        <v>7</v>
      </c>
      <c r="LE72" s="242">
        <f t="shared" si="139"/>
        <v>7</v>
      </c>
      <c r="LF72" s="242">
        <f t="shared" si="126"/>
        <v>7</v>
      </c>
      <c r="LG72" s="242">
        <f t="shared" si="126"/>
        <v>7</v>
      </c>
      <c r="LH72" s="242">
        <f t="shared" si="126"/>
        <v>7</v>
      </c>
      <c r="LI72" s="242">
        <f t="shared" si="126"/>
        <v>8</v>
      </c>
      <c r="LJ72" s="242">
        <f t="shared" si="126"/>
        <v>8</v>
      </c>
      <c r="LK72" s="242">
        <f t="shared" si="126"/>
        <v>8</v>
      </c>
      <c r="LL72" s="242">
        <f t="shared" si="126"/>
        <v>8</v>
      </c>
      <c r="LM72" s="242">
        <f t="shared" si="126"/>
        <v>8</v>
      </c>
      <c r="LN72" s="242">
        <f t="shared" si="126"/>
        <v>8</v>
      </c>
      <c r="LO72" s="242">
        <f t="shared" si="126"/>
        <v>8</v>
      </c>
      <c r="LP72" s="242">
        <f t="shared" si="126"/>
        <v>8</v>
      </c>
      <c r="LQ72" s="242">
        <f t="shared" si="126"/>
        <v>9</v>
      </c>
      <c r="LR72" s="242">
        <f t="shared" si="126"/>
        <v>9</v>
      </c>
      <c r="LS72" s="242">
        <f t="shared" si="126"/>
        <v>9</v>
      </c>
      <c r="LT72" s="242">
        <f t="shared" si="126"/>
        <v>9</v>
      </c>
      <c r="LU72" s="242">
        <f t="shared" si="127"/>
        <v>9</v>
      </c>
      <c r="LV72" s="242">
        <f t="shared" si="127"/>
        <v>9</v>
      </c>
      <c r="LW72" s="242">
        <f t="shared" si="127"/>
        <v>9</v>
      </c>
      <c r="LX72" s="242">
        <f t="shared" si="127"/>
        <v>9</v>
      </c>
      <c r="LY72" s="242">
        <f t="shared" si="127"/>
        <v>10</v>
      </c>
      <c r="LZ72" s="242">
        <f t="shared" si="127"/>
        <v>10</v>
      </c>
      <c r="MA72" s="242">
        <f t="shared" si="127"/>
        <v>10</v>
      </c>
      <c r="MB72" s="242">
        <f t="shared" si="127"/>
        <v>10</v>
      </c>
      <c r="MC72" s="242">
        <f t="shared" si="131"/>
        <v>10</v>
      </c>
      <c r="MD72" s="243"/>
      <c r="ME72" s="242">
        <f t="shared" si="168"/>
        <v>10</v>
      </c>
      <c r="MF72" s="242">
        <f t="shared" si="168"/>
        <v>10</v>
      </c>
      <c r="MG72" s="242">
        <f t="shared" si="168"/>
        <v>10</v>
      </c>
      <c r="MH72" s="242">
        <f t="shared" si="168"/>
        <v>11</v>
      </c>
      <c r="MI72" s="242">
        <f t="shared" si="168"/>
        <v>11</v>
      </c>
      <c r="MJ72" s="242">
        <f t="shared" si="168"/>
        <v>11</v>
      </c>
      <c r="MK72" s="242">
        <f t="shared" si="168"/>
        <v>11</v>
      </c>
      <c r="ML72" s="242">
        <f t="shared" si="168"/>
        <v>11</v>
      </c>
      <c r="MM72" s="242">
        <f t="shared" si="132"/>
        <v>11</v>
      </c>
      <c r="MN72" s="242">
        <f t="shared" si="132"/>
        <v>11</v>
      </c>
      <c r="MO72" s="242">
        <f t="shared" si="132"/>
        <v>11</v>
      </c>
      <c r="MP72" s="242">
        <f t="shared" si="132"/>
        <v>12</v>
      </c>
      <c r="MQ72" s="242">
        <f t="shared" si="132"/>
        <v>12</v>
      </c>
      <c r="MR72" s="242">
        <f t="shared" si="132"/>
        <v>12</v>
      </c>
      <c r="MS72" s="242">
        <f t="shared" si="132"/>
        <v>12</v>
      </c>
      <c r="MT72" s="242">
        <f t="shared" si="132"/>
        <v>12</v>
      </c>
      <c r="MU72" s="242">
        <f t="shared" si="132"/>
        <v>12</v>
      </c>
      <c r="MV72" s="242">
        <f t="shared" si="132"/>
        <v>12</v>
      </c>
      <c r="MW72" s="242">
        <f t="shared" si="132"/>
        <v>12</v>
      </c>
      <c r="MX72" s="243"/>
      <c r="MY72" s="242">
        <f t="shared" si="169"/>
        <v>13</v>
      </c>
      <c r="MZ72" s="242">
        <f t="shared" si="169"/>
        <v>13</v>
      </c>
      <c r="NA72" s="242">
        <f t="shared" si="169"/>
        <v>13</v>
      </c>
      <c r="NB72" s="242">
        <f t="shared" si="169"/>
        <v>13</v>
      </c>
      <c r="NC72" s="242">
        <f t="shared" si="169"/>
        <v>13</v>
      </c>
      <c r="ND72" s="242">
        <f t="shared" si="169"/>
        <v>13</v>
      </c>
      <c r="NE72" s="242">
        <f t="shared" si="169"/>
        <v>13</v>
      </c>
      <c r="NF72" s="242">
        <f t="shared" si="169"/>
        <v>13</v>
      </c>
      <c r="NG72" s="242">
        <f t="shared" si="142"/>
        <v>14</v>
      </c>
      <c r="NH72" s="242">
        <f t="shared" si="142"/>
        <v>14</v>
      </c>
      <c r="NI72" s="242">
        <f t="shared" si="142"/>
        <v>14</v>
      </c>
      <c r="NJ72" s="242">
        <f t="shared" si="142"/>
        <v>14</v>
      </c>
      <c r="NK72" s="242">
        <f t="shared" si="142"/>
        <v>14</v>
      </c>
      <c r="NL72" s="242">
        <f t="shared" si="143"/>
        <v>14</v>
      </c>
      <c r="NM72" s="242">
        <f t="shared" si="143"/>
        <v>14</v>
      </c>
      <c r="NN72" s="242">
        <f t="shared" si="143"/>
        <v>14</v>
      </c>
      <c r="NO72" s="242">
        <f t="shared" si="143"/>
        <v>15</v>
      </c>
      <c r="NP72" s="242">
        <f t="shared" si="143"/>
        <v>15</v>
      </c>
      <c r="NQ72" s="242">
        <f t="shared" si="143"/>
        <v>15</v>
      </c>
      <c r="NR72" s="242">
        <f t="shared" si="143"/>
        <v>15</v>
      </c>
      <c r="NS72" s="242">
        <f t="shared" si="143"/>
        <v>15</v>
      </c>
      <c r="NT72" s="242">
        <f t="shared" si="143"/>
        <v>15</v>
      </c>
      <c r="NU72" s="242">
        <f t="shared" si="143"/>
        <v>15</v>
      </c>
      <c r="NV72" s="242">
        <f t="shared" si="143"/>
        <v>15</v>
      </c>
      <c r="NW72" s="242">
        <f t="shared" si="143"/>
        <v>16</v>
      </c>
      <c r="NX72" s="242">
        <f t="shared" si="170"/>
        <v>16</v>
      </c>
      <c r="NY72" s="242">
        <f t="shared" si="170"/>
        <v>16</v>
      </c>
      <c r="NZ72" s="242">
        <f t="shared" si="170"/>
        <v>16</v>
      </c>
      <c r="OA72" s="242">
        <f t="shared" si="170"/>
        <v>16</v>
      </c>
      <c r="OB72" s="242">
        <f t="shared" si="170"/>
        <v>16</v>
      </c>
      <c r="OC72" s="242">
        <f t="shared" si="170"/>
        <v>16</v>
      </c>
      <c r="OD72" s="243"/>
      <c r="OE72" s="243"/>
      <c r="OF72" s="242">
        <f t="shared" si="171"/>
        <v>16</v>
      </c>
      <c r="OG72" s="242">
        <f t="shared" si="171"/>
        <v>17</v>
      </c>
      <c r="OH72" s="242">
        <f t="shared" si="171"/>
        <v>17</v>
      </c>
      <c r="OI72" s="242">
        <f t="shared" si="171"/>
        <v>17</v>
      </c>
      <c r="OJ72" s="242">
        <f t="shared" si="171"/>
        <v>17</v>
      </c>
      <c r="OK72" s="242">
        <f t="shared" si="171"/>
        <v>17</v>
      </c>
      <c r="OL72" s="242">
        <f t="shared" si="171"/>
        <v>17</v>
      </c>
      <c r="OM72" s="242">
        <f t="shared" si="171"/>
        <v>17</v>
      </c>
      <c r="ON72" s="242">
        <f t="shared" ref="OA72:OO80" si="173">+OF72+1</f>
        <v>17</v>
      </c>
      <c r="OO72" s="242">
        <f>+OG72+1</f>
        <v>18</v>
      </c>
      <c r="OP72" s="242">
        <f t="shared" si="172"/>
        <v>18</v>
      </c>
      <c r="OQ72" s="242">
        <f t="shared" si="172"/>
        <v>18</v>
      </c>
      <c r="OR72" s="242">
        <f t="shared" si="172"/>
        <v>18</v>
      </c>
      <c r="OS72" s="243"/>
      <c r="OT72" s="242"/>
      <c r="OU72" s="242"/>
      <c r="OV72" s="242"/>
      <c r="OW72" s="242"/>
      <c r="OX72" s="242"/>
      <c r="OY72" s="243"/>
      <c r="OZ72" s="242"/>
      <c r="PA72" s="242"/>
      <c r="PB72" s="242"/>
      <c r="PC72" s="242"/>
      <c r="PD72" s="242"/>
      <c r="PE72" s="242"/>
      <c r="PF72" s="242"/>
      <c r="PG72" s="242"/>
      <c r="PH72" s="242"/>
      <c r="PI72" s="242"/>
      <c r="PJ72" s="242"/>
      <c r="PK72" s="242"/>
      <c r="PL72" s="242"/>
      <c r="PM72" s="242"/>
      <c r="PN72" s="242"/>
      <c r="PO72" s="242"/>
      <c r="PP72" s="242"/>
      <c r="PQ72" s="242"/>
      <c r="PR72" s="242"/>
      <c r="PS72" s="242"/>
      <c r="PT72" s="242"/>
      <c r="PU72" s="242"/>
      <c r="PV72" s="242"/>
      <c r="PW72" s="242"/>
      <c r="PX72" s="242"/>
      <c r="PY72" s="242"/>
      <c r="PZ72" s="242"/>
      <c r="QA72" s="242"/>
      <c r="QB72" s="242"/>
      <c r="QC72" s="242"/>
      <c r="QD72" s="242"/>
      <c r="QE72" s="242"/>
      <c r="QF72" s="242"/>
      <c r="QG72" s="242"/>
      <c r="QH72" s="242"/>
      <c r="QI72" s="244"/>
    </row>
    <row r="73" spans="1:451" ht="18" customHeight="1" x14ac:dyDescent="0.2">
      <c r="A73" s="239" t="s">
        <v>460</v>
      </c>
      <c r="B73" s="245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3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242"/>
      <c r="AP73" s="242"/>
      <c r="AQ73" s="242"/>
      <c r="AR73" s="243"/>
      <c r="AS73" s="242"/>
      <c r="AT73" s="242"/>
      <c r="AU73" s="242"/>
      <c r="AV73" s="242"/>
      <c r="AW73" s="242"/>
      <c r="AX73" s="242"/>
      <c r="AY73" s="242"/>
      <c r="AZ73" s="242"/>
      <c r="BA73" s="242"/>
      <c r="BB73" s="242"/>
      <c r="BC73" s="242"/>
      <c r="BD73" s="242"/>
      <c r="BE73" s="242"/>
      <c r="BF73" s="242"/>
      <c r="BG73" s="242"/>
      <c r="BH73" s="242"/>
      <c r="BI73" s="242"/>
      <c r="BJ73" s="242"/>
      <c r="BK73" s="242"/>
      <c r="BL73" s="242"/>
      <c r="BM73" s="242"/>
      <c r="BN73" s="242"/>
      <c r="BO73" s="242"/>
      <c r="BP73" s="242"/>
      <c r="BQ73" s="242"/>
      <c r="BR73" s="242"/>
      <c r="BS73" s="242"/>
      <c r="BT73" s="242"/>
      <c r="BU73" s="242"/>
      <c r="BV73" s="242"/>
      <c r="BW73" s="242"/>
      <c r="BX73" s="242"/>
      <c r="BY73" s="242"/>
      <c r="BZ73" s="242"/>
      <c r="CA73" s="242"/>
      <c r="CB73" s="242"/>
      <c r="CC73" s="243"/>
      <c r="CD73" s="243"/>
      <c r="CE73" s="242"/>
      <c r="CF73" s="242"/>
      <c r="CG73" s="242"/>
      <c r="CH73" s="242"/>
      <c r="CI73" s="242"/>
      <c r="CJ73" s="242"/>
      <c r="CK73" s="242"/>
      <c r="CL73" s="242"/>
      <c r="CM73" s="242"/>
      <c r="CN73" s="242"/>
      <c r="CO73" s="242"/>
      <c r="CP73" s="242"/>
      <c r="CQ73" s="242"/>
      <c r="CR73" s="243"/>
      <c r="CS73" s="242"/>
      <c r="CT73" s="242"/>
      <c r="CU73" s="242"/>
      <c r="CV73" s="242"/>
      <c r="CW73" s="242"/>
      <c r="CX73" s="243"/>
      <c r="CY73" s="242"/>
      <c r="CZ73" s="242"/>
      <c r="DA73" s="242"/>
      <c r="DB73" s="242"/>
      <c r="DC73" s="242"/>
      <c r="DD73" s="242"/>
      <c r="DE73" s="242"/>
      <c r="DF73" s="242"/>
      <c r="DG73" s="242"/>
      <c r="DH73" s="242"/>
      <c r="DI73" s="242"/>
      <c r="DJ73" s="242"/>
      <c r="DK73" s="242"/>
      <c r="DL73" s="242"/>
      <c r="DM73" s="242"/>
      <c r="DN73" s="242"/>
      <c r="DO73" s="242"/>
      <c r="DP73" s="242"/>
      <c r="DQ73" s="242"/>
      <c r="DR73" s="242"/>
      <c r="DS73" s="242"/>
      <c r="DT73" s="242"/>
      <c r="DU73" s="242"/>
      <c r="DV73" s="242"/>
      <c r="DW73" s="242"/>
      <c r="DX73" s="242"/>
      <c r="DY73" s="242"/>
      <c r="DZ73" s="242"/>
      <c r="EA73" s="242"/>
      <c r="EB73" s="242"/>
      <c r="EC73" s="242"/>
      <c r="ED73" s="242"/>
      <c r="EE73" s="242"/>
      <c r="EF73" s="242"/>
      <c r="EG73" s="242"/>
      <c r="EH73" s="242"/>
      <c r="EI73" s="242"/>
      <c r="EJ73" s="242"/>
      <c r="EK73" s="242"/>
      <c r="EL73" s="242"/>
      <c r="EM73" s="242"/>
      <c r="EN73" s="242"/>
      <c r="EO73" s="242"/>
      <c r="EP73" s="242"/>
      <c r="EQ73" s="242"/>
      <c r="ER73" s="242"/>
      <c r="ES73" s="242"/>
      <c r="ET73" s="242"/>
      <c r="EU73" s="242"/>
      <c r="EV73" s="242"/>
      <c r="EW73" s="242"/>
      <c r="EX73" s="242"/>
      <c r="EY73" s="242"/>
      <c r="EZ73" s="242"/>
      <c r="FA73" s="242"/>
      <c r="FB73" s="242"/>
      <c r="FC73" s="242"/>
      <c r="FD73" s="242"/>
      <c r="FE73" s="242"/>
      <c r="FF73" s="242"/>
      <c r="FG73" s="242"/>
      <c r="FH73" s="242"/>
      <c r="FI73" s="242"/>
      <c r="FJ73" s="242"/>
      <c r="FK73" s="242"/>
      <c r="FL73" s="242"/>
      <c r="FM73" s="242"/>
      <c r="FN73" s="242"/>
      <c r="FO73" s="242"/>
      <c r="FP73" s="242"/>
      <c r="FQ73" s="243"/>
      <c r="FR73" s="243"/>
      <c r="FS73" s="242"/>
      <c r="FT73" s="242"/>
      <c r="FU73" s="242"/>
      <c r="FV73" s="242"/>
      <c r="FW73" s="242"/>
      <c r="FX73" s="242"/>
      <c r="FY73" s="242"/>
      <c r="FZ73" s="242"/>
      <c r="GA73" s="242"/>
      <c r="GB73" s="242"/>
      <c r="GC73" s="242"/>
      <c r="GD73" s="242"/>
      <c r="GE73" s="242"/>
      <c r="GF73" s="242"/>
      <c r="GG73" s="242"/>
      <c r="GH73" s="242"/>
      <c r="GI73" s="242"/>
      <c r="GJ73" s="242"/>
      <c r="GK73" s="242"/>
      <c r="GL73" s="242"/>
      <c r="GM73" s="242"/>
      <c r="GN73" s="242"/>
      <c r="GO73" s="242"/>
      <c r="GP73" s="242"/>
      <c r="GQ73" s="242"/>
      <c r="GR73" s="242"/>
      <c r="GS73" s="242"/>
      <c r="GT73" s="242"/>
      <c r="GU73" s="242"/>
      <c r="GV73" s="242"/>
      <c r="GW73" s="243"/>
      <c r="GX73" s="242"/>
      <c r="GY73" s="242"/>
      <c r="GZ73" s="242"/>
      <c r="HA73" s="242"/>
      <c r="HB73" s="242"/>
      <c r="HC73" s="242"/>
      <c r="HD73" s="242"/>
      <c r="HE73" s="242"/>
      <c r="HF73" s="242"/>
      <c r="HG73" s="242"/>
      <c r="HH73" s="242"/>
      <c r="HI73" s="242"/>
      <c r="HJ73" s="242"/>
      <c r="HK73" s="242"/>
      <c r="HL73" s="242"/>
      <c r="HM73" s="242"/>
      <c r="HN73" s="242"/>
      <c r="HO73" s="242"/>
      <c r="HP73" s="242"/>
      <c r="HQ73" s="242"/>
      <c r="HR73" s="242"/>
      <c r="HS73" s="242"/>
      <c r="HT73" s="242"/>
      <c r="HU73" s="242"/>
      <c r="HV73" s="242"/>
      <c r="HW73" s="242"/>
      <c r="HX73" s="242"/>
      <c r="HY73" s="242"/>
      <c r="HZ73" s="242"/>
      <c r="IA73" s="242"/>
      <c r="IB73" s="242"/>
      <c r="IC73" s="242"/>
      <c r="ID73" s="242"/>
      <c r="IE73" s="242"/>
      <c r="IF73" s="242"/>
      <c r="IG73" s="242"/>
      <c r="IH73" s="242"/>
      <c r="II73" s="242"/>
      <c r="IJ73" s="242"/>
      <c r="IK73" s="242"/>
      <c r="IL73" s="242"/>
      <c r="IM73" s="242"/>
      <c r="IN73" s="242"/>
      <c r="IO73" s="242"/>
      <c r="IP73" s="242"/>
      <c r="IQ73" s="242"/>
      <c r="IR73" s="242"/>
      <c r="IS73" s="242"/>
      <c r="IT73" s="242"/>
      <c r="IU73" s="242"/>
      <c r="IV73" s="243"/>
      <c r="IW73" s="242"/>
      <c r="IX73" s="242"/>
      <c r="IY73" s="242"/>
      <c r="IZ73" s="242"/>
      <c r="JA73" s="242"/>
      <c r="JB73" s="242"/>
      <c r="JC73" s="242"/>
      <c r="JD73" s="242"/>
      <c r="JE73" s="242"/>
      <c r="JF73" s="242"/>
      <c r="JG73" s="242"/>
      <c r="JH73" s="242"/>
      <c r="JI73" s="242"/>
      <c r="JJ73" s="242"/>
      <c r="JK73" s="242"/>
      <c r="JL73" s="242"/>
      <c r="JM73" s="242"/>
      <c r="JN73" s="242"/>
      <c r="JO73" s="242"/>
      <c r="JP73" s="243"/>
      <c r="JQ73" s="242"/>
      <c r="JR73" s="242">
        <v>1</v>
      </c>
      <c r="JS73" s="242">
        <v>1</v>
      </c>
      <c r="JT73" s="243"/>
      <c r="JU73" s="243"/>
      <c r="JV73" s="242">
        <v>1</v>
      </c>
      <c r="JW73" s="242">
        <v>1</v>
      </c>
      <c r="JX73" s="242">
        <v>1</v>
      </c>
      <c r="JY73" s="242">
        <v>1</v>
      </c>
      <c r="JZ73" s="242">
        <v>1</v>
      </c>
      <c r="KA73" s="242">
        <v>1</v>
      </c>
      <c r="KB73" s="243"/>
      <c r="KC73" s="242">
        <v>2</v>
      </c>
      <c r="KD73" s="242">
        <v>2</v>
      </c>
      <c r="KE73" s="242">
        <v>2</v>
      </c>
      <c r="KF73" s="242">
        <v>2</v>
      </c>
      <c r="KG73" s="242">
        <f>+JZ73+1</f>
        <v>2</v>
      </c>
      <c r="KH73" s="242">
        <f>+KA73+1</f>
        <v>2</v>
      </c>
      <c r="KI73" s="242">
        <v>2</v>
      </c>
      <c r="KJ73" s="242">
        <v>2</v>
      </c>
      <c r="KK73" s="242">
        <f>+KC73+1</f>
        <v>3</v>
      </c>
      <c r="KL73" s="242">
        <f t="shared" si="124"/>
        <v>3</v>
      </c>
      <c r="KM73" s="242">
        <f t="shared" si="124"/>
        <v>3</v>
      </c>
      <c r="KN73" s="242">
        <f t="shared" si="124"/>
        <v>3</v>
      </c>
      <c r="KO73" s="242">
        <f t="shared" si="124"/>
        <v>3</v>
      </c>
      <c r="KP73" s="242">
        <f t="shared" si="124"/>
        <v>3</v>
      </c>
      <c r="KQ73" s="242">
        <f t="shared" si="124"/>
        <v>3</v>
      </c>
      <c r="KR73" s="242">
        <f t="shared" si="124"/>
        <v>3</v>
      </c>
      <c r="KS73" s="242">
        <f t="shared" si="124"/>
        <v>4</v>
      </c>
      <c r="KT73" s="242">
        <f t="shared" si="139"/>
        <v>4</v>
      </c>
      <c r="KU73" s="242">
        <f t="shared" si="139"/>
        <v>4</v>
      </c>
      <c r="KV73" s="243"/>
      <c r="KW73" s="242">
        <f t="shared" si="167"/>
        <v>4</v>
      </c>
      <c r="KX73" s="242">
        <f t="shared" si="167"/>
        <v>4</v>
      </c>
      <c r="KY73" s="242">
        <f t="shared" si="167"/>
        <v>4</v>
      </c>
      <c r="KZ73" s="242">
        <f t="shared" si="167"/>
        <v>4</v>
      </c>
      <c r="LA73" s="242">
        <f t="shared" si="167"/>
        <v>4</v>
      </c>
      <c r="LB73" s="242">
        <f t="shared" si="167"/>
        <v>5</v>
      </c>
      <c r="LC73" s="242">
        <f t="shared" si="167"/>
        <v>5</v>
      </c>
      <c r="LD73" s="242">
        <f t="shared" si="167"/>
        <v>5</v>
      </c>
      <c r="LE73" s="242">
        <f t="shared" si="139"/>
        <v>5</v>
      </c>
      <c r="LF73" s="242">
        <f t="shared" si="126"/>
        <v>5</v>
      </c>
      <c r="LG73" s="242">
        <f t="shared" si="126"/>
        <v>5</v>
      </c>
      <c r="LH73" s="242">
        <f t="shared" si="126"/>
        <v>5</v>
      </c>
      <c r="LI73" s="242">
        <f t="shared" si="126"/>
        <v>5</v>
      </c>
      <c r="LJ73" s="242">
        <f t="shared" si="126"/>
        <v>6</v>
      </c>
      <c r="LK73" s="242">
        <f t="shared" si="126"/>
        <v>6</v>
      </c>
      <c r="LL73" s="242">
        <f t="shared" si="126"/>
        <v>6</v>
      </c>
      <c r="LM73" s="242">
        <f t="shared" si="126"/>
        <v>6</v>
      </c>
      <c r="LN73" s="242">
        <f t="shared" si="126"/>
        <v>6</v>
      </c>
      <c r="LO73" s="242">
        <f t="shared" si="126"/>
        <v>6</v>
      </c>
      <c r="LP73" s="242">
        <f t="shared" si="126"/>
        <v>6</v>
      </c>
      <c r="LQ73" s="242">
        <f t="shared" si="126"/>
        <v>6</v>
      </c>
      <c r="LR73" s="242">
        <f t="shared" si="126"/>
        <v>7</v>
      </c>
      <c r="LS73" s="242">
        <f t="shared" si="126"/>
        <v>7</v>
      </c>
      <c r="LT73" s="242">
        <f t="shared" si="126"/>
        <v>7</v>
      </c>
      <c r="LU73" s="242">
        <f t="shared" si="127"/>
        <v>7</v>
      </c>
      <c r="LV73" s="242">
        <f t="shared" si="127"/>
        <v>7</v>
      </c>
      <c r="LW73" s="242">
        <f t="shared" si="127"/>
        <v>7</v>
      </c>
      <c r="LX73" s="242">
        <f t="shared" si="127"/>
        <v>7</v>
      </c>
      <c r="LY73" s="242">
        <f t="shared" si="127"/>
        <v>7</v>
      </c>
      <c r="LZ73" s="242">
        <f t="shared" si="127"/>
        <v>8</v>
      </c>
      <c r="MA73" s="242">
        <f t="shared" si="127"/>
        <v>8</v>
      </c>
      <c r="MB73" s="242">
        <f t="shared" si="127"/>
        <v>8</v>
      </c>
      <c r="MC73" s="242">
        <f t="shared" si="131"/>
        <v>8</v>
      </c>
      <c r="MD73" s="243"/>
      <c r="ME73" s="242">
        <f t="shared" si="168"/>
        <v>8</v>
      </c>
      <c r="MF73" s="242">
        <f t="shared" si="168"/>
        <v>8</v>
      </c>
      <c r="MG73" s="242">
        <f t="shared" si="168"/>
        <v>8</v>
      </c>
      <c r="MH73" s="242">
        <f t="shared" si="168"/>
        <v>8</v>
      </c>
      <c r="MI73" s="242">
        <f t="shared" si="168"/>
        <v>9</v>
      </c>
      <c r="MJ73" s="242">
        <f t="shared" si="168"/>
        <v>9</v>
      </c>
      <c r="MK73" s="242">
        <f t="shared" si="168"/>
        <v>9</v>
      </c>
      <c r="ML73" s="242">
        <f t="shared" si="168"/>
        <v>9</v>
      </c>
      <c r="MM73" s="242">
        <f t="shared" si="132"/>
        <v>9</v>
      </c>
      <c r="MN73" s="242">
        <f t="shared" si="132"/>
        <v>9</v>
      </c>
      <c r="MO73" s="242">
        <f t="shared" si="132"/>
        <v>9</v>
      </c>
      <c r="MP73" s="242">
        <f t="shared" si="132"/>
        <v>9</v>
      </c>
      <c r="MQ73" s="242">
        <f t="shared" si="132"/>
        <v>10</v>
      </c>
      <c r="MR73" s="242">
        <f t="shared" si="132"/>
        <v>10</v>
      </c>
      <c r="MS73" s="242">
        <f t="shared" si="132"/>
        <v>10</v>
      </c>
      <c r="MT73" s="242">
        <f t="shared" si="132"/>
        <v>10</v>
      </c>
      <c r="MU73" s="242">
        <f t="shared" si="132"/>
        <v>10</v>
      </c>
      <c r="MV73" s="242">
        <f t="shared" si="132"/>
        <v>10</v>
      </c>
      <c r="MW73" s="242">
        <f t="shared" si="132"/>
        <v>10</v>
      </c>
      <c r="MX73" s="243"/>
      <c r="MY73" s="242">
        <f t="shared" si="169"/>
        <v>10</v>
      </c>
      <c r="MZ73" s="242">
        <f t="shared" si="169"/>
        <v>11</v>
      </c>
      <c r="NA73" s="242">
        <f t="shared" si="169"/>
        <v>11</v>
      </c>
      <c r="NB73" s="242">
        <f t="shared" si="169"/>
        <v>11</v>
      </c>
      <c r="NC73" s="242">
        <f t="shared" si="169"/>
        <v>11</v>
      </c>
      <c r="ND73" s="242">
        <f t="shared" si="169"/>
        <v>11</v>
      </c>
      <c r="NE73" s="242">
        <f t="shared" si="169"/>
        <v>11</v>
      </c>
      <c r="NF73" s="242">
        <f t="shared" si="169"/>
        <v>11</v>
      </c>
      <c r="NG73" s="242">
        <f t="shared" si="142"/>
        <v>11</v>
      </c>
      <c r="NH73" s="242">
        <f t="shared" si="142"/>
        <v>12</v>
      </c>
      <c r="NI73" s="242">
        <f t="shared" si="142"/>
        <v>12</v>
      </c>
      <c r="NJ73" s="242">
        <f t="shared" si="142"/>
        <v>12</v>
      </c>
      <c r="NK73" s="242">
        <f t="shared" si="142"/>
        <v>12</v>
      </c>
      <c r="NL73" s="242">
        <f t="shared" si="143"/>
        <v>12</v>
      </c>
      <c r="NM73" s="242">
        <f t="shared" si="143"/>
        <v>12</v>
      </c>
      <c r="NN73" s="242">
        <f t="shared" si="143"/>
        <v>12</v>
      </c>
      <c r="NO73" s="242">
        <f t="shared" si="143"/>
        <v>12</v>
      </c>
      <c r="NP73" s="242">
        <f t="shared" si="143"/>
        <v>13</v>
      </c>
      <c r="NQ73" s="242">
        <f t="shared" si="143"/>
        <v>13</v>
      </c>
      <c r="NR73" s="242">
        <f t="shared" si="143"/>
        <v>13</v>
      </c>
      <c r="NS73" s="242">
        <f t="shared" si="143"/>
        <v>13</v>
      </c>
      <c r="NT73" s="242">
        <f t="shared" si="143"/>
        <v>13</v>
      </c>
      <c r="NU73" s="242">
        <f t="shared" si="143"/>
        <v>13</v>
      </c>
      <c r="NV73" s="242">
        <f t="shared" si="143"/>
        <v>13</v>
      </c>
      <c r="NW73" s="242">
        <f t="shared" si="143"/>
        <v>13</v>
      </c>
      <c r="NX73" s="242">
        <f t="shared" si="170"/>
        <v>14</v>
      </c>
      <c r="NY73" s="242">
        <f t="shared" si="170"/>
        <v>14</v>
      </c>
      <c r="NZ73" s="242">
        <f t="shared" si="170"/>
        <v>14</v>
      </c>
      <c r="OA73" s="242">
        <f t="shared" si="170"/>
        <v>14</v>
      </c>
      <c r="OB73" s="242">
        <f t="shared" si="170"/>
        <v>14</v>
      </c>
      <c r="OC73" s="242">
        <f t="shared" si="170"/>
        <v>14</v>
      </c>
      <c r="OD73" s="243"/>
      <c r="OE73" s="243"/>
      <c r="OF73" s="242">
        <f t="shared" si="171"/>
        <v>14</v>
      </c>
      <c r="OG73" s="242">
        <f t="shared" si="171"/>
        <v>14</v>
      </c>
      <c r="OH73" s="242">
        <f t="shared" si="171"/>
        <v>15</v>
      </c>
      <c r="OI73" s="242">
        <f t="shared" si="171"/>
        <v>15</v>
      </c>
      <c r="OJ73" s="242">
        <f t="shared" si="171"/>
        <v>15</v>
      </c>
      <c r="OK73" s="242">
        <f t="shared" si="171"/>
        <v>15</v>
      </c>
      <c r="OL73" s="242">
        <f t="shared" si="171"/>
        <v>15</v>
      </c>
      <c r="OM73" s="242">
        <f t="shared" si="171"/>
        <v>15</v>
      </c>
      <c r="ON73" s="242">
        <f t="shared" si="173"/>
        <v>15</v>
      </c>
      <c r="OO73" s="242">
        <f t="shared" si="173"/>
        <v>15</v>
      </c>
      <c r="OP73" s="242">
        <f t="shared" si="172"/>
        <v>16</v>
      </c>
      <c r="OQ73" s="242">
        <f t="shared" si="172"/>
        <v>16</v>
      </c>
      <c r="OR73" s="242">
        <f t="shared" si="172"/>
        <v>16</v>
      </c>
      <c r="OS73" s="243"/>
      <c r="OT73" s="242">
        <f t="shared" ref="OT73:OX74" si="174">+OK73+1</f>
        <v>16</v>
      </c>
      <c r="OU73" s="242">
        <f t="shared" si="174"/>
        <v>16</v>
      </c>
      <c r="OV73" s="242">
        <f t="shared" si="174"/>
        <v>16</v>
      </c>
      <c r="OW73" s="242">
        <f t="shared" si="174"/>
        <v>16</v>
      </c>
      <c r="OX73" s="242">
        <f t="shared" si="174"/>
        <v>16</v>
      </c>
      <c r="OY73" s="243"/>
      <c r="OZ73" s="242">
        <f t="shared" ref="OZ73:PB74" si="175">+OP73+1</f>
        <v>17</v>
      </c>
      <c r="PA73" s="242">
        <f t="shared" si="175"/>
        <v>17</v>
      </c>
      <c r="PB73" s="242">
        <f t="shared" si="175"/>
        <v>17</v>
      </c>
      <c r="PC73" s="242">
        <f t="shared" ref="PC73:PG74" si="176">+OT73+1</f>
        <v>17</v>
      </c>
      <c r="PD73" s="242">
        <f t="shared" si="176"/>
        <v>17</v>
      </c>
      <c r="PE73" s="242">
        <f t="shared" si="176"/>
        <v>17</v>
      </c>
      <c r="PF73" s="242">
        <f t="shared" si="176"/>
        <v>17</v>
      </c>
      <c r="PG73" s="242">
        <f t="shared" si="176"/>
        <v>17</v>
      </c>
      <c r="PH73" s="242">
        <f>+OZ73+1</f>
        <v>18</v>
      </c>
      <c r="PI73" s="242">
        <f t="shared" ref="PI73:PK74" si="177">+PA73+1</f>
        <v>18</v>
      </c>
      <c r="PJ73" s="242">
        <f t="shared" si="177"/>
        <v>18</v>
      </c>
      <c r="PK73" s="242">
        <f t="shared" si="177"/>
        <v>18</v>
      </c>
      <c r="PL73" s="242"/>
      <c r="PM73" s="242"/>
      <c r="PN73" s="242"/>
      <c r="PO73" s="242"/>
      <c r="PP73" s="242"/>
      <c r="PQ73" s="242"/>
      <c r="PR73" s="242"/>
      <c r="PS73" s="242"/>
      <c r="PT73" s="242"/>
      <c r="PU73" s="242"/>
      <c r="PV73" s="242"/>
      <c r="PW73" s="242"/>
      <c r="PX73" s="242"/>
      <c r="PY73" s="242"/>
      <c r="PZ73" s="242"/>
      <c r="QA73" s="242"/>
      <c r="QB73" s="242"/>
      <c r="QC73" s="242"/>
      <c r="QD73" s="242"/>
      <c r="QE73" s="242"/>
      <c r="QF73" s="242"/>
      <c r="QG73" s="242"/>
      <c r="QH73" s="242"/>
      <c r="QI73" s="244"/>
    </row>
    <row r="74" spans="1:451" ht="18" customHeight="1" x14ac:dyDescent="0.2">
      <c r="A74" s="239" t="s">
        <v>461</v>
      </c>
      <c r="B74" s="245"/>
      <c r="C74" s="242"/>
      <c r="D74" s="242"/>
      <c r="E74" s="242"/>
      <c r="F74" s="242"/>
      <c r="G74" s="242"/>
      <c r="H74" s="242"/>
      <c r="I74" s="242"/>
      <c r="J74" s="242"/>
      <c r="K74" s="242"/>
      <c r="L74" s="242"/>
      <c r="M74" s="242"/>
      <c r="N74" s="242"/>
      <c r="O74" s="242"/>
      <c r="P74" s="242"/>
      <c r="Q74" s="242"/>
      <c r="R74" s="242"/>
      <c r="S74" s="242"/>
      <c r="T74" s="242"/>
      <c r="U74" s="242"/>
      <c r="V74" s="242"/>
      <c r="W74" s="242"/>
      <c r="X74" s="242"/>
      <c r="Y74" s="242"/>
      <c r="Z74" s="242"/>
      <c r="AA74" s="242"/>
      <c r="AB74" s="242"/>
      <c r="AC74" s="243"/>
      <c r="AD74" s="242"/>
      <c r="AE74" s="242"/>
      <c r="AF74" s="242"/>
      <c r="AG74" s="242"/>
      <c r="AH74" s="242"/>
      <c r="AI74" s="242"/>
      <c r="AJ74" s="242"/>
      <c r="AK74" s="242"/>
      <c r="AL74" s="242"/>
      <c r="AM74" s="242"/>
      <c r="AN74" s="242"/>
      <c r="AO74" s="242"/>
      <c r="AP74" s="242"/>
      <c r="AQ74" s="242"/>
      <c r="AR74" s="243"/>
      <c r="AS74" s="242"/>
      <c r="AT74" s="242"/>
      <c r="AU74" s="242"/>
      <c r="AV74" s="242"/>
      <c r="AW74" s="242"/>
      <c r="AX74" s="242"/>
      <c r="AY74" s="242"/>
      <c r="AZ74" s="242"/>
      <c r="BA74" s="242"/>
      <c r="BB74" s="242"/>
      <c r="BC74" s="242"/>
      <c r="BD74" s="242"/>
      <c r="BE74" s="242"/>
      <c r="BF74" s="242"/>
      <c r="BG74" s="242"/>
      <c r="BH74" s="242"/>
      <c r="BI74" s="242"/>
      <c r="BJ74" s="242"/>
      <c r="BK74" s="242"/>
      <c r="BL74" s="242"/>
      <c r="BM74" s="242"/>
      <c r="BN74" s="242"/>
      <c r="BO74" s="242"/>
      <c r="BP74" s="242"/>
      <c r="BQ74" s="242"/>
      <c r="BR74" s="242"/>
      <c r="BS74" s="242"/>
      <c r="BT74" s="242"/>
      <c r="BU74" s="242"/>
      <c r="BV74" s="242"/>
      <c r="BW74" s="242"/>
      <c r="BX74" s="242"/>
      <c r="BY74" s="242"/>
      <c r="BZ74" s="242"/>
      <c r="CA74" s="242"/>
      <c r="CB74" s="242"/>
      <c r="CC74" s="243"/>
      <c r="CD74" s="243"/>
      <c r="CE74" s="242"/>
      <c r="CF74" s="242"/>
      <c r="CG74" s="242"/>
      <c r="CH74" s="242"/>
      <c r="CI74" s="242"/>
      <c r="CJ74" s="242"/>
      <c r="CK74" s="242"/>
      <c r="CL74" s="242"/>
      <c r="CM74" s="242"/>
      <c r="CN74" s="242"/>
      <c r="CO74" s="242"/>
      <c r="CP74" s="242"/>
      <c r="CQ74" s="242"/>
      <c r="CR74" s="243"/>
      <c r="CS74" s="242"/>
      <c r="CT74" s="242"/>
      <c r="CU74" s="242"/>
      <c r="CV74" s="242"/>
      <c r="CW74" s="242"/>
      <c r="CX74" s="243"/>
      <c r="CY74" s="242"/>
      <c r="CZ74" s="242"/>
      <c r="DA74" s="242"/>
      <c r="DB74" s="242"/>
      <c r="DC74" s="242"/>
      <c r="DD74" s="242"/>
      <c r="DE74" s="242"/>
      <c r="DF74" s="242"/>
      <c r="DG74" s="242"/>
      <c r="DH74" s="242"/>
      <c r="DI74" s="242"/>
      <c r="DJ74" s="242"/>
      <c r="DK74" s="242"/>
      <c r="DL74" s="242"/>
      <c r="DM74" s="242"/>
      <c r="DN74" s="242"/>
      <c r="DO74" s="242"/>
      <c r="DP74" s="242"/>
      <c r="DQ74" s="242"/>
      <c r="DR74" s="242"/>
      <c r="DS74" s="242"/>
      <c r="DT74" s="242"/>
      <c r="DU74" s="242"/>
      <c r="DV74" s="242"/>
      <c r="DW74" s="242"/>
      <c r="DX74" s="242"/>
      <c r="DY74" s="242"/>
      <c r="DZ74" s="242"/>
      <c r="EA74" s="242"/>
      <c r="EB74" s="242"/>
      <c r="EC74" s="242"/>
      <c r="ED74" s="242"/>
      <c r="EE74" s="242"/>
      <c r="EF74" s="242"/>
      <c r="EG74" s="242"/>
      <c r="EH74" s="242"/>
      <c r="EI74" s="242"/>
      <c r="EJ74" s="242"/>
      <c r="EK74" s="242"/>
      <c r="EL74" s="242"/>
      <c r="EM74" s="242"/>
      <c r="EN74" s="242"/>
      <c r="EO74" s="242"/>
      <c r="EP74" s="242"/>
      <c r="EQ74" s="242"/>
      <c r="ER74" s="242"/>
      <c r="ES74" s="242"/>
      <c r="ET74" s="242"/>
      <c r="EU74" s="242"/>
      <c r="EV74" s="242"/>
      <c r="EW74" s="242"/>
      <c r="EX74" s="242"/>
      <c r="EY74" s="242"/>
      <c r="EZ74" s="242"/>
      <c r="FA74" s="242"/>
      <c r="FB74" s="242"/>
      <c r="FC74" s="242"/>
      <c r="FD74" s="242"/>
      <c r="FE74" s="242"/>
      <c r="FF74" s="242"/>
      <c r="FG74" s="242"/>
      <c r="FH74" s="242"/>
      <c r="FI74" s="242"/>
      <c r="FJ74" s="242"/>
      <c r="FK74" s="242"/>
      <c r="FL74" s="242"/>
      <c r="FM74" s="242"/>
      <c r="FN74" s="242"/>
      <c r="FO74" s="242"/>
      <c r="FP74" s="242"/>
      <c r="FQ74" s="243"/>
      <c r="FR74" s="243"/>
      <c r="FS74" s="242"/>
      <c r="FT74" s="242"/>
      <c r="FU74" s="242"/>
      <c r="FV74" s="242"/>
      <c r="FW74" s="242"/>
      <c r="FX74" s="242"/>
      <c r="FY74" s="242"/>
      <c r="FZ74" s="242"/>
      <c r="GA74" s="242"/>
      <c r="GB74" s="242"/>
      <c r="GC74" s="242"/>
      <c r="GD74" s="242"/>
      <c r="GE74" s="242"/>
      <c r="GF74" s="242"/>
      <c r="GG74" s="242"/>
      <c r="GH74" s="242"/>
      <c r="GI74" s="242"/>
      <c r="GJ74" s="242"/>
      <c r="GK74" s="242"/>
      <c r="GL74" s="242"/>
      <c r="GM74" s="242"/>
      <c r="GN74" s="242"/>
      <c r="GO74" s="242"/>
      <c r="GP74" s="242"/>
      <c r="GQ74" s="242"/>
      <c r="GR74" s="242"/>
      <c r="GS74" s="242"/>
      <c r="GT74" s="242"/>
      <c r="GU74" s="242"/>
      <c r="GV74" s="242"/>
      <c r="GW74" s="243"/>
      <c r="GX74" s="242"/>
      <c r="GY74" s="242"/>
      <c r="GZ74" s="242"/>
      <c r="HA74" s="242"/>
      <c r="HB74" s="242"/>
      <c r="HC74" s="242"/>
      <c r="HD74" s="242"/>
      <c r="HE74" s="242"/>
      <c r="HF74" s="242"/>
      <c r="HG74" s="242"/>
      <c r="HH74" s="242"/>
      <c r="HI74" s="242"/>
      <c r="HJ74" s="242"/>
      <c r="HK74" s="242"/>
      <c r="HL74" s="242"/>
      <c r="HM74" s="242"/>
      <c r="HN74" s="242"/>
      <c r="HO74" s="242"/>
      <c r="HP74" s="242"/>
      <c r="HQ74" s="242"/>
      <c r="HR74" s="242"/>
      <c r="HS74" s="242"/>
      <c r="HT74" s="242"/>
      <c r="HU74" s="242"/>
      <c r="HV74" s="242"/>
      <c r="HW74" s="242"/>
      <c r="HX74" s="242"/>
      <c r="HY74" s="242"/>
      <c r="HZ74" s="242"/>
      <c r="IA74" s="242"/>
      <c r="IB74" s="242"/>
      <c r="IC74" s="242"/>
      <c r="ID74" s="242"/>
      <c r="IE74" s="242"/>
      <c r="IF74" s="242"/>
      <c r="IG74" s="242"/>
      <c r="IH74" s="242"/>
      <c r="II74" s="242"/>
      <c r="IJ74" s="242"/>
      <c r="IK74" s="242"/>
      <c r="IL74" s="242"/>
      <c r="IM74" s="242"/>
      <c r="IN74" s="242"/>
      <c r="IO74" s="242"/>
      <c r="IP74" s="242"/>
      <c r="IQ74" s="242"/>
      <c r="IR74" s="242"/>
      <c r="IS74" s="242"/>
      <c r="IT74" s="242"/>
      <c r="IU74" s="242"/>
      <c r="IV74" s="243"/>
      <c r="IW74" s="242"/>
      <c r="IX74" s="242"/>
      <c r="IY74" s="242"/>
      <c r="IZ74" s="242"/>
      <c r="JA74" s="242"/>
      <c r="JB74" s="242"/>
      <c r="JC74" s="242"/>
      <c r="JD74" s="242"/>
      <c r="JE74" s="242"/>
      <c r="JF74" s="242"/>
      <c r="JG74" s="242"/>
      <c r="JH74" s="242"/>
      <c r="JI74" s="242"/>
      <c r="JJ74" s="242"/>
      <c r="JK74" s="242"/>
      <c r="JL74" s="242"/>
      <c r="JM74" s="242"/>
      <c r="JN74" s="242"/>
      <c r="JO74" s="242"/>
      <c r="JP74" s="243"/>
      <c r="JQ74" s="242"/>
      <c r="JR74" s="242">
        <v>1</v>
      </c>
      <c r="JS74" s="242">
        <v>1</v>
      </c>
      <c r="JT74" s="243"/>
      <c r="JU74" s="243"/>
      <c r="JV74" s="242">
        <v>1</v>
      </c>
      <c r="JW74" s="242">
        <v>1</v>
      </c>
      <c r="JX74" s="242">
        <v>1</v>
      </c>
      <c r="JY74" s="242">
        <v>1</v>
      </c>
      <c r="JZ74" s="242">
        <v>1</v>
      </c>
      <c r="KA74" s="242">
        <v>1</v>
      </c>
      <c r="KB74" s="243"/>
      <c r="KC74" s="242">
        <v>2</v>
      </c>
      <c r="KD74" s="242">
        <v>2</v>
      </c>
      <c r="KE74" s="242">
        <v>2</v>
      </c>
      <c r="KF74" s="242">
        <v>2</v>
      </c>
      <c r="KG74" s="242">
        <f>+JZ74+1</f>
        <v>2</v>
      </c>
      <c r="KH74" s="242">
        <f>+KA74+1</f>
        <v>2</v>
      </c>
      <c r="KI74" s="242">
        <v>2</v>
      </c>
      <c r="KJ74" s="242">
        <v>2</v>
      </c>
      <c r="KK74" s="242">
        <f>+KC74+1</f>
        <v>3</v>
      </c>
      <c r="KL74" s="242">
        <f t="shared" si="124"/>
        <v>3</v>
      </c>
      <c r="KM74" s="242">
        <f t="shared" si="124"/>
        <v>3</v>
      </c>
      <c r="KN74" s="242">
        <f t="shared" si="124"/>
        <v>3</v>
      </c>
      <c r="KO74" s="242">
        <f t="shared" si="124"/>
        <v>3</v>
      </c>
      <c r="KP74" s="242">
        <f t="shared" si="124"/>
        <v>3</v>
      </c>
      <c r="KQ74" s="242">
        <f t="shared" si="124"/>
        <v>3</v>
      </c>
      <c r="KR74" s="242">
        <f t="shared" si="124"/>
        <v>3</v>
      </c>
      <c r="KS74" s="242">
        <f t="shared" si="124"/>
        <v>4</v>
      </c>
      <c r="KT74" s="242">
        <f t="shared" si="139"/>
        <v>4</v>
      </c>
      <c r="KU74" s="242">
        <f t="shared" si="139"/>
        <v>4</v>
      </c>
      <c r="KV74" s="243"/>
      <c r="KW74" s="242">
        <f t="shared" si="167"/>
        <v>4</v>
      </c>
      <c r="KX74" s="242">
        <f t="shared" si="167"/>
        <v>4</v>
      </c>
      <c r="KY74" s="242">
        <f t="shared" si="167"/>
        <v>4</v>
      </c>
      <c r="KZ74" s="242">
        <f t="shared" si="167"/>
        <v>4</v>
      </c>
      <c r="LA74" s="242">
        <f t="shared" si="167"/>
        <v>4</v>
      </c>
      <c r="LB74" s="242">
        <f t="shared" si="167"/>
        <v>5</v>
      </c>
      <c r="LC74" s="242">
        <f t="shared" si="167"/>
        <v>5</v>
      </c>
      <c r="LD74" s="242">
        <f t="shared" si="167"/>
        <v>5</v>
      </c>
      <c r="LE74" s="242">
        <f t="shared" si="139"/>
        <v>5</v>
      </c>
      <c r="LF74" s="242">
        <f t="shared" si="126"/>
        <v>5</v>
      </c>
      <c r="LG74" s="242">
        <f t="shared" si="126"/>
        <v>5</v>
      </c>
      <c r="LH74" s="242">
        <f t="shared" si="126"/>
        <v>5</v>
      </c>
      <c r="LI74" s="242">
        <f t="shared" si="126"/>
        <v>5</v>
      </c>
      <c r="LJ74" s="242">
        <f t="shared" si="126"/>
        <v>6</v>
      </c>
      <c r="LK74" s="242">
        <f t="shared" si="126"/>
        <v>6</v>
      </c>
      <c r="LL74" s="242">
        <f t="shared" si="126"/>
        <v>6</v>
      </c>
      <c r="LM74" s="242">
        <f t="shared" si="126"/>
        <v>6</v>
      </c>
      <c r="LN74" s="242">
        <f t="shared" si="126"/>
        <v>6</v>
      </c>
      <c r="LO74" s="242">
        <f t="shared" si="126"/>
        <v>6</v>
      </c>
      <c r="LP74" s="242">
        <f t="shared" si="126"/>
        <v>6</v>
      </c>
      <c r="LQ74" s="242">
        <f t="shared" si="126"/>
        <v>6</v>
      </c>
      <c r="LR74" s="242">
        <f t="shared" si="126"/>
        <v>7</v>
      </c>
      <c r="LS74" s="242">
        <f t="shared" si="126"/>
        <v>7</v>
      </c>
      <c r="LT74" s="242">
        <f t="shared" si="126"/>
        <v>7</v>
      </c>
      <c r="LU74" s="242">
        <f t="shared" si="127"/>
        <v>7</v>
      </c>
      <c r="LV74" s="242">
        <f t="shared" si="127"/>
        <v>7</v>
      </c>
      <c r="LW74" s="242">
        <f t="shared" si="127"/>
        <v>7</v>
      </c>
      <c r="LX74" s="242">
        <f t="shared" si="127"/>
        <v>7</v>
      </c>
      <c r="LY74" s="242">
        <f t="shared" si="127"/>
        <v>7</v>
      </c>
      <c r="LZ74" s="242">
        <f t="shared" si="127"/>
        <v>8</v>
      </c>
      <c r="MA74" s="242">
        <f t="shared" si="127"/>
        <v>8</v>
      </c>
      <c r="MB74" s="242">
        <f t="shared" si="127"/>
        <v>8</v>
      </c>
      <c r="MC74" s="242">
        <f t="shared" si="131"/>
        <v>8</v>
      </c>
      <c r="MD74" s="243"/>
      <c r="ME74" s="242">
        <f t="shared" si="168"/>
        <v>8</v>
      </c>
      <c r="MF74" s="242">
        <f t="shared" si="168"/>
        <v>8</v>
      </c>
      <c r="MG74" s="242">
        <f t="shared" si="168"/>
        <v>8</v>
      </c>
      <c r="MH74" s="242">
        <f t="shared" si="168"/>
        <v>8</v>
      </c>
      <c r="MI74" s="242">
        <f t="shared" si="168"/>
        <v>9</v>
      </c>
      <c r="MJ74" s="242">
        <f t="shared" si="168"/>
        <v>9</v>
      </c>
      <c r="MK74" s="242">
        <f t="shared" si="168"/>
        <v>9</v>
      </c>
      <c r="ML74" s="242">
        <f t="shared" si="168"/>
        <v>9</v>
      </c>
      <c r="MM74" s="242">
        <f t="shared" si="132"/>
        <v>9</v>
      </c>
      <c r="MN74" s="242">
        <f t="shared" si="132"/>
        <v>9</v>
      </c>
      <c r="MO74" s="242">
        <f t="shared" si="132"/>
        <v>9</v>
      </c>
      <c r="MP74" s="242">
        <f t="shared" si="132"/>
        <v>9</v>
      </c>
      <c r="MQ74" s="242">
        <f t="shared" si="132"/>
        <v>10</v>
      </c>
      <c r="MR74" s="242">
        <f t="shared" si="132"/>
        <v>10</v>
      </c>
      <c r="MS74" s="242">
        <f t="shared" si="132"/>
        <v>10</v>
      </c>
      <c r="MT74" s="242">
        <f t="shared" si="132"/>
        <v>10</v>
      </c>
      <c r="MU74" s="242">
        <f t="shared" si="132"/>
        <v>10</v>
      </c>
      <c r="MV74" s="242">
        <f t="shared" si="132"/>
        <v>10</v>
      </c>
      <c r="MW74" s="242">
        <f t="shared" si="132"/>
        <v>10</v>
      </c>
      <c r="MX74" s="243"/>
      <c r="MY74" s="242">
        <f t="shared" si="169"/>
        <v>10</v>
      </c>
      <c r="MZ74" s="242">
        <f t="shared" si="169"/>
        <v>11</v>
      </c>
      <c r="NA74" s="242">
        <f t="shared" si="169"/>
        <v>11</v>
      </c>
      <c r="NB74" s="242">
        <f t="shared" si="169"/>
        <v>11</v>
      </c>
      <c r="NC74" s="242">
        <f t="shared" si="169"/>
        <v>11</v>
      </c>
      <c r="ND74" s="242">
        <f t="shared" si="169"/>
        <v>11</v>
      </c>
      <c r="NE74" s="242">
        <f t="shared" si="169"/>
        <v>11</v>
      </c>
      <c r="NF74" s="242">
        <f t="shared" si="169"/>
        <v>11</v>
      </c>
      <c r="NG74" s="242">
        <f t="shared" si="142"/>
        <v>11</v>
      </c>
      <c r="NH74" s="242">
        <f t="shared" si="142"/>
        <v>12</v>
      </c>
      <c r="NI74" s="242">
        <f t="shared" si="142"/>
        <v>12</v>
      </c>
      <c r="NJ74" s="242">
        <f t="shared" si="142"/>
        <v>12</v>
      </c>
      <c r="NK74" s="242">
        <f t="shared" si="142"/>
        <v>12</v>
      </c>
      <c r="NL74" s="242">
        <f t="shared" si="143"/>
        <v>12</v>
      </c>
      <c r="NM74" s="242">
        <f t="shared" si="143"/>
        <v>12</v>
      </c>
      <c r="NN74" s="242">
        <f t="shared" si="143"/>
        <v>12</v>
      </c>
      <c r="NO74" s="242">
        <f t="shared" si="143"/>
        <v>12</v>
      </c>
      <c r="NP74" s="242">
        <f t="shared" si="143"/>
        <v>13</v>
      </c>
      <c r="NQ74" s="242">
        <f t="shared" si="143"/>
        <v>13</v>
      </c>
      <c r="NR74" s="242">
        <f t="shared" si="143"/>
        <v>13</v>
      </c>
      <c r="NS74" s="242">
        <f t="shared" si="143"/>
        <v>13</v>
      </c>
      <c r="NT74" s="242">
        <f t="shared" si="143"/>
        <v>13</v>
      </c>
      <c r="NU74" s="242">
        <f t="shared" si="143"/>
        <v>13</v>
      </c>
      <c r="NV74" s="242">
        <f t="shared" si="143"/>
        <v>13</v>
      </c>
      <c r="NW74" s="242">
        <f t="shared" si="143"/>
        <v>13</v>
      </c>
      <c r="NX74" s="242">
        <f t="shared" si="170"/>
        <v>14</v>
      </c>
      <c r="NY74" s="242">
        <f t="shared" si="170"/>
        <v>14</v>
      </c>
      <c r="NZ74" s="242">
        <f t="shared" si="170"/>
        <v>14</v>
      </c>
      <c r="OA74" s="242">
        <f t="shared" si="170"/>
        <v>14</v>
      </c>
      <c r="OB74" s="242">
        <f t="shared" si="170"/>
        <v>14</v>
      </c>
      <c r="OC74" s="242">
        <f t="shared" si="170"/>
        <v>14</v>
      </c>
      <c r="OD74" s="243"/>
      <c r="OE74" s="243"/>
      <c r="OF74" s="242">
        <f t="shared" si="171"/>
        <v>14</v>
      </c>
      <c r="OG74" s="242">
        <f t="shared" si="171"/>
        <v>14</v>
      </c>
      <c r="OH74" s="242">
        <f t="shared" si="171"/>
        <v>15</v>
      </c>
      <c r="OI74" s="242">
        <f t="shared" si="171"/>
        <v>15</v>
      </c>
      <c r="OJ74" s="242">
        <f t="shared" si="171"/>
        <v>15</v>
      </c>
      <c r="OK74" s="242">
        <f t="shared" si="171"/>
        <v>15</v>
      </c>
      <c r="OL74" s="242">
        <f t="shared" si="171"/>
        <v>15</v>
      </c>
      <c r="OM74" s="242">
        <f t="shared" si="171"/>
        <v>15</v>
      </c>
      <c r="ON74" s="242">
        <f t="shared" si="173"/>
        <v>15</v>
      </c>
      <c r="OO74" s="242">
        <f t="shared" si="173"/>
        <v>15</v>
      </c>
      <c r="OP74" s="242">
        <f t="shared" si="172"/>
        <v>16</v>
      </c>
      <c r="OQ74" s="242">
        <f t="shared" si="172"/>
        <v>16</v>
      </c>
      <c r="OR74" s="242">
        <f t="shared" si="172"/>
        <v>16</v>
      </c>
      <c r="OS74" s="243"/>
      <c r="OT74" s="242">
        <f t="shared" si="174"/>
        <v>16</v>
      </c>
      <c r="OU74" s="242">
        <f t="shared" si="174"/>
        <v>16</v>
      </c>
      <c r="OV74" s="242">
        <f t="shared" si="174"/>
        <v>16</v>
      </c>
      <c r="OW74" s="242">
        <f t="shared" si="174"/>
        <v>16</v>
      </c>
      <c r="OX74" s="242">
        <f t="shared" si="174"/>
        <v>16</v>
      </c>
      <c r="OY74" s="243"/>
      <c r="OZ74" s="242">
        <f t="shared" si="175"/>
        <v>17</v>
      </c>
      <c r="PA74" s="242">
        <f t="shared" si="175"/>
        <v>17</v>
      </c>
      <c r="PB74" s="242">
        <f t="shared" si="175"/>
        <v>17</v>
      </c>
      <c r="PC74" s="242">
        <f t="shared" si="176"/>
        <v>17</v>
      </c>
      <c r="PD74" s="242">
        <f t="shared" si="176"/>
        <v>17</v>
      </c>
      <c r="PE74" s="242">
        <f t="shared" si="176"/>
        <v>17</v>
      </c>
      <c r="PF74" s="242">
        <f t="shared" si="176"/>
        <v>17</v>
      </c>
      <c r="PG74" s="242">
        <f t="shared" si="176"/>
        <v>17</v>
      </c>
      <c r="PH74" s="242">
        <f>+OZ74+1</f>
        <v>18</v>
      </c>
      <c r="PI74" s="242">
        <f t="shared" si="177"/>
        <v>18</v>
      </c>
      <c r="PJ74" s="242">
        <f t="shared" si="177"/>
        <v>18</v>
      </c>
      <c r="PK74" s="242">
        <f t="shared" si="177"/>
        <v>18</v>
      </c>
      <c r="PL74" s="242"/>
      <c r="PM74" s="242"/>
      <c r="PN74" s="242"/>
      <c r="PO74" s="242"/>
      <c r="PP74" s="242"/>
      <c r="PQ74" s="242"/>
      <c r="PR74" s="242"/>
      <c r="PS74" s="242"/>
      <c r="PT74" s="242"/>
      <c r="PU74" s="242"/>
      <c r="PV74" s="242"/>
      <c r="PW74" s="242"/>
      <c r="PX74" s="242"/>
      <c r="PY74" s="242"/>
      <c r="PZ74" s="242"/>
      <c r="QA74" s="242"/>
      <c r="QB74" s="242"/>
      <c r="QC74" s="242"/>
      <c r="QD74" s="242"/>
      <c r="QE74" s="242"/>
      <c r="QF74" s="242"/>
      <c r="QG74" s="242"/>
      <c r="QH74" s="242"/>
      <c r="QI74" s="244"/>
    </row>
    <row r="75" spans="1:451" ht="18" customHeight="1" x14ac:dyDescent="0.2">
      <c r="A75" s="239"/>
      <c r="B75" s="245"/>
      <c r="C75" s="242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242"/>
      <c r="P75" s="242"/>
      <c r="Q75" s="242"/>
      <c r="R75" s="242"/>
      <c r="S75" s="242"/>
      <c r="T75" s="242"/>
      <c r="U75" s="242"/>
      <c r="V75" s="242"/>
      <c r="W75" s="242"/>
      <c r="X75" s="242"/>
      <c r="Y75" s="242"/>
      <c r="Z75" s="242"/>
      <c r="AA75" s="242"/>
      <c r="AB75" s="242"/>
      <c r="AC75" s="243"/>
      <c r="AD75" s="242"/>
      <c r="AE75" s="242"/>
      <c r="AF75" s="242"/>
      <c r="AG75" s="242"/>
      <c r="AH75" s="242"/>
      <c r="AI75" s="242"/>
      <c r="AJ75" s="242"/>
      <c r="AK75" s="242"/>
      <c r="AL75" s="242"/>
      <c r="AM75" s="242"/>
      <c r="AN75" s="242"/>
      <c r="AO75" s="242"/>
      <c r="AP75" s="242"/>
      <c r="AQ75" s="242"/>
      <c r="AR75" s="243"/>
      <c r="AS75" s="242"/>
      <c r="AT75" s="242"/>
      <c r="AU75" s="242"/>
      <c r="AV75" s="242"/>
      <c r="AW75" s="242"/>
      <c r="AX75" s="242"/>
      <c r="AY75" s="242"/>
      <c r="AZ75" s="242"/>
      <c r="BA75" s="242"/>
      <c r="BB75" s="242"/>
      <c r="BC75" s="242"/>
      <c r="BD75" s="242"/>
      <c r="BE75" s="242"/>
      <c r="BF75" s="242"/>
      <c r="BG75" s="242"/>
      <c r="BH75" s="242"/>
      <c r="BI75" s="242"/>
      <c r="BJ75" s="242"/>
      <c r="BK75" s="242"/>
      <c r="BL75" s="242"/>
      <c r="BM75" s="242"/>
      <c r="BN75" s="242"/>
      <c r="BO75" s="242"/>
      <c r="BP75" s="242"/>
      <c r="BQ75" s="242"/>
      <c r="BR75" s="242"/>
      <c r="BS75" s="242"/>
      <c r="BT75" s="242"/>
      <c r="BU75" s="242"/>
      <c r="BV75" s="242"/>
      <c r="BW75" s="242"/>
      <c r="BX75" s="242"/>
      <c r="BY75" s="242"/>
      <c r="BZ75" s="242"/>
      <c r="CA75" s="242"/>
      <c r="CB75" s="242"/>
      <c r="CC75" s="243"/>
      <c r="CD75" s="243"/>
      <c r="CE75" s="242"/>
      <c r="CF75" s="242"/>
      <c r="CG75" s="242"/>
      <c r="CH75" s="242"/>
      <c r="CI75" s="242"/>
      <c r="CJ75" s="242"/>
      <c r="CK75" s="242"/>
      <c r="CL75" s="242"/>
      <c r="CM75" s="242"/>
      <c r="CN75" s="242"/>
      <c r="CO75" s="242"/>
      <c r="CP75" s="242"/>
      <c r="CQ75" s="242"/>
      <c r="CR75" s="243"/>
      <c r="CS75" s="242"/>
      <c r="CT75" s="242"/>
      <c r="CU75" s="242"/>
      <c r="CV75" s="242"/>
      <c r="CW75" s="242"/>
      <c r="CX75" s="243"/>
      <c r="CY75" s="242"/>
      <c r="CZ75" s="242"/>
      <c r="DA75" s="242"/>
      <c r="DB75" s="242"/>
      <c r="DC75" s="242"/>
      <c r="DD75" s="242"/>
      <c r="DE75" s="242"/>
      <c r="DF75" s="242"/>
      <c r="DG75" s="242"/>
      <c r="DH75" s="242"/>
      <c r="DI75" s="242"/>
      <c r="DJ75" s="242"/>
      <c r="DK75" s="242"/>
      <c r="DL75" s="242"/>
      <c r="DM75" s="242"/>
      <c r="DN75" s="242"/>
      <c r="DO75" s="242"/>
      <c r="DP75" s="242"/>
      <c r="DQ75" s="242"/>
      <c r="DR75" s="242"/>
      <c r="DS75" s="242"/>
      <c r="DT75" s="242"/>
      <c r="DU75" s="242"/>
      <c r="DV75" s="242"/>
      <c r="DW75" s="242"/>
      <c r="DX75" s="242"/>
      <c r="DY75" s="242"/>
      <c r="DZ75" s="242"/>
      <c r="EA75" s="242"/>
      <c r="EB75" s="242"/>
      <c r="EC75" s="242"/>
      <c r="ED75" s="242"/>
      <c r="EE75" s="242"/>
      <c r="EF75" s="242"/>
      <c r="EG75" s="242"/>
      <c r="EH75" s="242"/>
      <c r="EI75" s="242"/>
      <c r="EJ75" s="242"/>
      <c r="EK75" s="242"/>
      <c r="EL75" s="242"/>
      <c r="EM75" s="242"/>
      <c r="EN75" s="242"/>
      <c r="EO75" s="242"/>
      <c r="EP75" s="242"/>
      <c r="EQ75" s="242"/>
      <c r="ER75" s="242"/>
      <c r="ES75" s="242"/>
      <c r="ET75" s="242"/>
      <c r="EU75" s="242"/>
      <c r="EV75" s="242"/>
      <c r="EW75" s="242"/>
      <c r="EX75" s="242"/>
      <c r="EY75" s="242"/>
      <c r="EZ75" s="242"/>
      <c r="FA75" s="242"/>
      <c r="FB75" s="242"/>
      <c r="FC75" s="242"/>
      <c r="FD75" s="242"/>
      <c r="FE75" s="242"/>
      <c r="FF75" s="242"/>
      <c r="FG75" s="242"/>
      <c r="FH75" s="242"/>
      <c r="FI75" s="242"/>
      <c r="FJ75" s="242"/>
      <c r="FK75" s="242"/>
      <c r="FL75" s="242"/>
      <c r="FM75" s="242"/>
      <c r="FN75" s="242"/>
      <c r="FO75" s="242"/>
      <c r="FP75" s="242"/>
      <c r="FQ75" s="243"/>
      <c r="FR75" s="243"/>
      <c r="FS75" s="242"/>
      <c r="FT75" s="242"/>
      <c r="FU75" s="242"/>
      <c r="FV75" s="242"/>
      <c r="FW75" s="242"/>
      <c r="FX75" s="242"/>
      <c r="FY75" s="242"/>
      <c r="FZ75" s="242"/>
      <c r="GA75" s="242"/>
      <c r="GB75" s="242"/>
      <c r="GC75" s="242"/>
      <c r="GD75" s="242"/>
      <c r="GE75" s="242"/>
      <c r="GF75" s="242"/>
      <c r="GG75" s="242"/>
      <c r="GH75" s="242"/>
      <c r="GI75" s="242"/>
      <c r="GJ75" s="242"/>
      <c r="GK75" s="242"/>
      <c r="GL75" s="242"/>
      <c r="GM75" s="242"/>
      <c r="GN75" s="242"/>
      <c r="GO75" s="242"/>
      <c r="GP75" s="242"/>
      <c r="GQ75" s="242"/>
      <c r="GR75" s="242"/>
      <c r="GS75" s="242"/>
      <c r="GT75" s="242"/>
      <c r="GU75" s="242"/>
      <c r="GV75" s="242"/>
      <c r="GW75" s="243"/>
      <c r="GX75" s="242"/>
      <c r="GY75" s="242"/>
      <c r="GZ75" s="242"/>
      <c r="HA75" s="242"/>
      <c r="HB75" s="242"/>
      <c r="HC75" s="242"/>
      <c r="HD75" s="242"/>
      <c r="HE75" s="242"/>
      <c r="HF75" s="242"/>
      <c r="HG75" s="242"/>
      <c r="HH75" s="242"/>
      <c r="HI75" s="242"/>
      <c r="HJ75" s="242"/>
      <c r="HK75" s="242"/>
      <c r="HL75" s="242"/>
      <c r="HM75" s="242"/>
      <c r="HN75" s="242"/>
      <c r="HO75" s="242"/>
      <c r="HP75" s="242"/>
      <c r="HQ75" s="242"/>
      <c r="HR75" s="242"/>
      <c r="HS75" s="242"/>
      <c r="HT75" s="242"/>
      <c r="HU75" s="242"/>
      <c r="HV75" s="242"/>
      <c r="HW75" s="242"/>
      <c r="HX75" s="242"/>
      <c r="HY75" s="242"/>
      <c r="HZ75" s="242"/>
      <c r="IA75" s="242"/>
      <c r="IB75" s="242"/>
      <c r="IC75" s="242"/>
      <c r="ID75" s="242"/>
      <c r="IE75" s="242"/>
      <c r="IF75" s="242"/>
      <c r="IG75" s="242"/>
      <c r="IH75" s="242"/>
      <c r="II75" s="242"/>
      <c r="IJ75" s="242"/>
      <c r="IK75" s="242"/>
      <c r="IL75" s="242"/>
      <c r="IM75" s="242"/>
      <c r="IN75" s="242"/>
      <c r="IO75" s="242"/>
      <c r="IP75" s="242"/>
      <c r="IQ75" s="242"/>
      <c r="IR75" s="242"/>
      <c r="IS75" s="242"/>
      <c r="IT75" s="242"/>
      <c r="IU75" s="242"/>
      <c r="IV75" s="243"/>
      <c r="IW75" s="242"/>
      <c r="IX75" s="242"/>
      <c r="IY75" s="242"/>
      <c r="IZ75" s="242"/>
      <c r="JA75" s="242"/>
      <c r="JB75" s="242"/>
      <c r="JC75" s="242"/>
      <c r="JD75" s="242"/>
      <c r="JE75" s="242"/>
      <c r="JF75" s="242"/>
      <c r="JG75" s="242"/>
      <c r="JH75" s="242"/>
      <c r="JI75" s="242"/>
      <c r="JJ75" s="242"/>
      <c r="JK75" s="242"/>
      <c r="JL75" s="242"/>
      <c r="JM75" s="242"/>
      <c r="JN75" s="242"/>
      <c r="JO75" s="242"/>
      <c r="JP75" s="243"/>
      <c r="JQ75" s="242"/>
      <c r="JR75" s="242"/>
      <c r="JS75" s="242"/>
      <c r="JT75" s="243"/>
      <c r="JU75" s="243"/>
      <c r="JV75" s="242"/>
      <c r="JW75" s="242"/>
      <c r="JX75" s="242"/>
      <c r="JY75" s="242"/>
      <c r="JZ75" s="242"/>
      <c r="KA75" s="242"/>
      <c r="KB75" s="243"/>
      <c r="KC75" s="242"/>
      <c r="KD75" s="242"/>
      <c r="KE75" s="242"/>
      <c r="KF75" s="242"/>
      <c r="KG75" s="242"/>
      <c r="KH75" s="242"/>
      <c r="KI75" s="242"/>
      <c r="KJ75" s="242"/>
      <c r="KK75" s="242"/>
      <c r="KL75" s="242"/>
      <c r="KM75" s="242"/>
      <c r="KN75" s="242"/>
      <c r="KO75" s="242"/>
      <c r="KP75" s="242"/>
      <c r="KQ75" s="242"/>
      <c r="KR75" s="242"/>
      <c r="KS75" s="242"/>
      <c r="KT75" s="242"/>
      <c r="KU75" s="242"/>
      <c r="KV75" s="243"/>
      <c r="KW75" s="242"/>
      <c r="KX75" s="242"/>
      <c r="KY75" s="242"/>
      <c r="KZ75" s="242"/>
      <c r="LA75" s="242"/>
      <c r="LB75" s="242"/>
      <c r="LC75" s="242"/>
      <c r="LD75" s="242"/>
      <c r="LE75" s="242"/>
      <c r="LF75" s="242"/>
      <c r="LG75" s="242"/>
      <c r="LH75" s="242"/>
      <c r="LI75" s="242"/>
      <c r="LJ75" s="242"/>
      <c r="LK75" s="242"/>
      <c r="LL75" s="242"/>
      <c r="LM75" s="242"/>
      <c r="LN75" s="242"/>
      <c r="LO75" s="242"/>
      <c r="LP75" s="242"/>
      <c r="LQ75" s="242"/>
      <c r="LR75" s="242"/>
      <c r="LS75" s="242"/>
      <c r="LT75" s="242"/>
      <c r="LU75" s="242"/>
      <c r="LV75" s="242"/>
      <c r="LW75" s="242"/>
      <c r="LX75" s="242"/>
      <c r="LY75" s="242"/>
      <c r="LZ75" s="242"/>
      <c r="MA75" s="242"/>
      <c r="MB75" s="242"/>
      <c r="MC75" s="242"/>
      <c r="MD75" s="243"/>
      <c r="ME75" s="242"/>
      <c r="MF75" s="242"/>
      <c r="MG75" s="242"/>
      <c r="MH75" s="242"/>
      <c r="MI75" s="242"/>
      <c r="MJ75" s="242"/>
      <c r="MK75" s="242"/>
      <c r="ML75" s="242"/>
      <c r="MM75" s="242"/>
      <c r="MN75" s="242"/>
      <c r="MO75" s="242"/>
      <c r="MP75" s="242"/>
      <c r="MQ75" s="242"/>
      <c r="MR75" s="242"/>
      <c r="MS75" s="242"/>
      <c r="MT75" s="242"/>
      <c r="MU75" s="242"/>
      <c r="MV75" s="242"/>
      <c r="MW75" s="242"/>
      <c r="MX75" s="243"/>
      <c r="MY75" s="242"/>
      <c r="MZ75" s="242"/>
      <c r="NA75" s="242"/>
      <c r="NB75" s="242"/>
      <c r="NC75" s="242"/>
      <c r="ND75" s="242"/>
      <c r="NE75" s="242"/>
      <c r="NF75" s="242"/>
      <c r="NG75" s="242"/>
      <c r="NH75" s="242"/>
      <c r="NI75" s="242"/>
      <c r="NJ75" s="242"/>
      <c r="NK75" s="242"/>
      <c r="NL75" s="242"/>
      <c r="NM75" s="242"/>
      <c r="NN75" s="242"/>
      <c r="NO75" s="242"/>
      <c r="NP75" s="242"/>
      <c r="NQ75" s="242"/>
      <c r="NR75" s="242"/>
      <c r="NS75" s="242"/>
      <c r="NT75" s="242"/>
      <c r="NU75" s="242"/>
      <c r="NV75" s="242"/>
      <c r="NW75" s="242"/>
      <c r="NX75" s="242"/>
      <c r="NY75" s="242"/>
      <c r="NZ75" s="242"/>
      <c r="OA75" s="242"/>
      <c r="OB75" s="242"/>
      <c r="OC75" s="242"/>
      <c r="OD75" s="243"/>
      <c r="OE75" s="243"/>
      <c r="OF75" s="242"/>
      <c r="OG75" s="242"/>
      <c r="OH75" s="242"/>
      <c r="OI75" s="242"/>
      <c r="OJ75" s="242"/>
      <c r="OK75" s="242"/>
      <c r="OL75" s="242"/>
      <c r="OM75" s="242"/>
      <c r="ON75" s="242"/>
      <c r="OO75" s="242"/>
      <c r="OP75" s="242"/>
      <c r="OQ75" s="242"/>
      <c r="OR75" s="242"/>
      <c r="OS75" s="243"/>
      <c r="OT75" s="242"/>
      <c r="OU75" s="242"/>
      <c r="OV75" s="242"/>
      <c r="OW75" s="242"/>
      <c r="OX75" s="242"/>
      <c r="OY75" s="243"/>
      <c r="OZ75" s="242"/>
      <c r="PA75" s="242"/>
      <c r="PB75" s="242"/>
      <c r="PC75" s="242"/>
      <c r="PD75" s="242"/>
      <c r="PE75" s="242"/>
      <c r="PF75" s="242"/>
      <c r="PG75" s="242"/>
      <c r="PH75" s="242"/>
      <c r="PI75" s="242"/>
      <c r="PJ75" s="242"/>
      <c r="PK75" s="242"/>
      <c r="PL75" s="242"/>
      <c r="PM75" s="242"/>
      <c r="PN75" s="242"/>
      <c r="PO75" s="242"/>
      <c r="PP75" s="242"/>
      <c r="PQ75" s="242"/>
      <c r="PR75" s="242"/>
      <c r="PS75" s="242"/>
      <c r="PT75" s="242"/>
      <c r="PU75" s="242"/>
      <c r="PV75" s="242"/>
      <c r="PW75" s="242"/>
      <c r="PX75" s="242"/>
      <c r="PY75" s="242"/>
      <c r="PZ75" s="242"/>
      <c r="QA75" s="242"/>
      <c r="QB75" s="242"/>
      <c r="QC75" s="242"/>
      <c r="QD75" s="242"/>
      <c r="QE75" s="242"/>
      <c r="QF75" s="242"/>
      <c r="QG75" s="242"/>
      <c r="QH75" s="242"/>
      <c r="QI75" s="244"/>
    </row>
    <row r="76" spans="1:451" ht="18" customHeight="1" x14ac:dyDescent="0.2">
      <c r="A76" s="239" t="s">
        <v>462</v>
      </c>
      <c r="B76" s="245"/>
      <c r="C76" s="242"/>
      <c r="D76" s="242"/>
      <c r="E76" s="242"/>
      <c r="F76" s="242"/>
      <c r="G76" s="242"/>
      <c r="H76" s="242"/>
      <c r="I76" s="242"/>
      <c r="J76" s="242"/>
      <c r="K76" s="242"/>
      <c r="L76" s="242"/>
      <c r="M76" s="242"/>
      <c r="N76" s="242"/>
      <c r="O76" s="242"/>
      <c r="P76" s="242"/>
      <c r="Q76" s="242"/>
      <c r="R76" s="242"/>
      <c r="S76" s="242"/>
      <c r="T76" s="242"/>
      <c r="U76" s="242"/>
      <c r="V76" s="242"/>
      <c r="W76" s="242"/>
      <c r="X76" s="242"/>
      <c r="Y76" s="242"/>
      <c r="Z76" s="242"/>
      <c r="AA76" s="242"/>
      <c r="AB76" s="242"/>
      <c r="AC76" s="243"/>
      <c r="AD76" s="242"/>
      <c r="AE76" s="242"/>
      <c r="AF76" s="242"/>
      <c r="AG76" s="242"/>
      <c r="AH76" s="242"/>
      <c r="AI76" s="242"/>
      <c r="AJ76" s="242"/>
      <c r="AK76" s="242"/>
      <c r="AL76" s="242"/>
      <c r="AM76" s="242"/>
      <c r="AN76" s="242"/>
      <c r="AO76" s="242"/>
      <c r="AP76" s="242"/>
      <c r="AQ76" s="242"/>
      <c r="AR76" s="243"/>
      <c r="AS76" s="242"/>
      <c r="AT76" s="242"/>
      <c r="AU76" s="242"/>
      <c r="AV76" s="242"/>
      <c r="AW76" s="242"/>
      <c r="AX76" s="242"/>
      <c r="AY76" s="242"/>
      <c r="AZ76" s="242"/>
      <c r="BA76" s="242"/>
      <c r="BB76" s="242"/>
      <c r="BC76" s="242"/>
      <c r="BD76" s="242"/>
      <c r="BE76" s="242"/>
      <c r="BF76" s="242"/>
      <c r="BG76" s="242"/>
      <c r="BH76" s="242"/>
      <c r="BI76" s="242"/>
      <c r="BJ76" s="242"/>
      <c r="BK76" s="242"/>
      <c r="BL76" s="242"/>
      <c r="BM76" s="242"/>
      <c r="BN76" s="242"/>
      <c r="BO76" s="242"/>
      <c r="BP76" s="242"/>
      <c r="BQ76" s="242"/>
      <c r="BR76" s="242"/>
      <c r="BS76" s="242"/>
      <c r="BT76" s="242"/>
      <c r="BU76" s="242"/>
      <c r="BV76" s="242"/>
      <c r="BW76" s="242"/>
      <c r="BX76" s="242"/>
      <c r="BY76" s="242"/>
      <c r="BZ76" s="242"/>
      <c r="CA76" s="242"/>
      <c r="CB76" s="242"/>
      <c r="CC76" s="243"/>
      <c r="CD76" s="243"/>
      <c r="CE76" s="242"/>
      <c r="CF76" s="242"/>
      <c r="CG76" s="242"/>
      <c r="CH76" s="242"/>
      <c r="CI76" s="242"/>
      <c r="CJ76" s="242"/>
      <c r="CK76" s="242"/>
      <c r="CL76" s="242"/>
      <c r="CM76" s="242"/>
      <c r="CN76" s="242"/>
      <c r="CO76" s="242"/>
      <c r="CP76" s="242"/>
      <c r="CQ76" s="242"/>
      <c r="CR76" s="243"/>
      <c r="CS76" s="242"/>
      <c r="CT76" s="242"/>
      <c r="CU76" s="242"/>
      <c r="CV76" s="242"/>
      <c r="CW76" s="242"/>
      <c r="CX76" s="243"/>
      <c r="CY76" s="242"/>
      <c r="CZ76" s="242"/>
      <c r="DA76" s="242"/>
      <c r="DB76" s="242"/>
      <c r="DC76" s="242"/>
      <c r="DD76" s="242"/>
      <c r="DE76" s="242"/>
      <c r="DF76" s="242"/>
      <c r="DG76" s="242"/>
      <c r="DH76" s="242"/>
      <c r="DI76" s="242"/>
      <c r="DJ76" s="242"/>
      <c r="DK76" s="242"/>
      <c r="DL76" s="242"/>
      <c r="DM76" s="242"/>
      <c r="DN76" s="242"/>
      <c r="DO76" s="242"/>
      <c r="DP76" s="242"/>
      <c r="DQ76" s="242"/>
      <c r="DR76" s="242"/>
      <c r="DS76" s="242"/>
      <c r="DT76" s="242"/>
      <c r="DU76" s="242"/>
      <c r="DV76" s="242"/>
      <c r="DW76" s="242"/>
      <c r="DX76" s="242"/>
      <c r="DY76" s="242"/>
      <c r="DZ76" s="242"/>
      <c r="EA76" s="242"/>
      <c r="EB76" s="242"/>
      <c r="EC76" s="242"/>
      <c r="ED76" s="242"/>
      <c r="EE76" s="242"/>
      <c r="EF76" s="242"/>
      <c r="EG76" s="242"/>
      <c r="EH76" s="242"/>
      <c r="EI76" s="242"/>
      <c r="EJ76" s="242"/>
      <c r="EK76" s="242"/>
      <c r="EL76" s="242"/>
      <c r="EM76" s="242"/>
      <c r="EN76" s="242"/>
      <c r="EO76" s="242"/>
      <c r="EP76" s="242"/>
      <c r="EQ76" s="242"/>
      <c r="ER76" s="242"/>
      <c r="ES76" s="242"/>
      <c r="ET76" s="242"/>
      <c r="EU76" s="242"/>
      <c r="EV76" s="242"/>
      <c r="EW76" s="242"/>
      <c r="EX76" s="242"/>
      <c r="EY76" s="242"/>
      <c r="EZ76" s="242"/>
      <c r="FA76" s="242"/>
      <c r="FB76" s="242"/>
      <c r="FC76" s="242"/>
      <c r="FD76" s="242"/>
      <c r="FE76" s="242"/>
      <c r="FF76" s="242"/>
      <c r="FG76" s="242"/>
      <c r="FH76" s="242"/>
      <c r="FI76" s="242"/>
      <c r="FJ76" s="242"/>
      <c r="FK76" s="242"/>
      <c r="FL76" s="242"/>
      <c r="FM76" s="242"/>
      <c r="FN76" s="242"/>
      <c r="FO76" s="242"/>
      <c r="FP76" s="242"/>
      <c r="FQ76" s="243"/>
      <c r="FR76" s="243"/>
      <c r="FS76" s="242"/>
      <c r="FT76" s="242"/>
      <c r="FU76" s="242"/>
      <c r="FV76" s="242"/>
      <c r="FW76" s="242"/>
      <c r="FX76" s="242"/>
      <c r="FY76" s="242"/>
      <c r="FZ76" s="242"/>
      <c r="GA76" s="242"/>
      <c r="GB76" s="242"/>
      <c r="GC76" s="242"/>
      <c r="GD76" s="242"/>
      <c r="GE76" s="242"/>
      <c r="GF76" s="242"/>
      <c r="GG76" s="242"/>
      <c r="GH76" s="242"/>
      <c r="GI76" s="242"/>
      <c r="GJ76" s="242"/>
      <c r="GK76" s="242"/>
      <c r="GL76" s="242"/>
      <c r="GM76" s="242"/>
      <c r="GN76" s="242"/>
      <c r="GO76" s="242"/>
      <c r="GP76" s="242"/>
      <c r="GQ76" s="242"/>
      <c r="GR76" s="242"/>
      <c r="GS76" s="242"/>
      <c r="GT76" s="242"/>
      <c r="GU76" s="242"/>
      <c r="GV76" s="242"/>
      <c r="GW76" s="243"/>
      <c r="GX76" s="242"/>
      <c r="GY76" s="242"/>
      <c r="GZ76" s="242"/>
      <c r="HA76" s="242"/>
      <c r="HB76" s="242"/>
      <c r="HC76" s="242"/>
      <c r="HD76" s="242"/>
      <c r="HE76" s="242"/>
      <c r="HF76" s="242"/>
      <c r="HG76" s="242"/>
      <c r="HH76" s="242"/>
      <c r="HI76" s="242"/>
      <c r="HJ76" s="242"/>
      <c r="HK76" s="242"/>
      <c r="HL76" s="242"/>
      <c r="HM76" s="242"/>
      <c r="HN76" s="242"/>
      <c r="HO76" s="242"/>
      <c r="HP76" s="242"/>
      <c r="HQ76" s="242"/>
      <c r="HR76" s="242"/>
      <c r="HS76" s="242"/>
      <c r="HT76" s="242"/>
      <c r="HU76" s="242"/>
      <c r="HV76" s="242"/>
      <c r="HW76" s="242"/>
      <c r="HX76" s="242"/>
      <c r="HY76" s="242"/>
      <c r="HZ76" s="242"/>
      <c r="IA76" s="242"/>
      <c r="IB76" s="242"/>
      <c r="IC76" s="242"/>
      <c r="ID76" s="242"/>
      <c r="IE76" s="242"/>
      <c r="IF76" s="242"/>
      <c r="IG76" s="242"/>
      <c r="IH76" s="242"/>
      <c r="II76" s="242"/>
      <c r="IJ76" s="242"/>
      <c r="IK76" s="242"/>
      <c r="IL76" s="242"/>
      <c r="IM76" s="242"/>
      <c r="IN76" s="242"/>
      <c r="IO76" s="242"/>
      <c r="IP76" s="242"/>
      <c r="IQ76" s="242"/>
      <c r="IR76" s="242"/>
      <c r="IS76" s="242"/>
      <c r="IT76" s="242"/>
      <c r="IU76" s="242"/>
      <c r="IV76" s="243"/>
      <c r="IW76" s="242"/>
      <c r="IX76" s="242"/>
      <c r="IY76" s="242"/>
      <c r="IZ76" s="242"/>
      <c r="JA76" s="242"/>
      <c r="JB76" s="242"/>
      <c r="JC76" s="242"/>
      <c r="JD76" s="242">
        <v>1</v>
      </c>
      <c r="JE76" s="242">
        <v>1</v>
      </c>
      <c r="JF76" s="242">
        <v>1</v>
      </c>
      <c r="JG76" s="242">
        <v>1</v>
      </c>
      <c r="JH76" s="242">
        <v>1</v>
      </c>
      <c r="JI76" s="242">
        <v>1</v>
      </c>
      <c r="JJ76" s="242">
        <v>1</v>
      </c>
      <c r="JK76" s="242">
        <v>1</v>
      </c>
      <c r="JL76" s="242">
        <v>2</v>
      </c>
      <c r="JM76" s="242">
        <v>2</v>
      </c>
      <c r="JN76" s="242">
        <v>2</v>
      </c>
      <c r="JO76" s="242">
        <v>2</v>
      </c>
      <c r="JP76" s="243"/>
      <c r="JQ76" s="242">
        <f>+JJ76+1</f>
        <v>2</v>
      </c>
      <c r="JR76" s="242">
        <f>+JK76+1</f>
        <v>2</v>
      </c>
      <c r="JS76" s="242">
        <v>2</v>
      </c>
      <c r="JT76" s="243"/>
      <c r="JU76" s="243"/>
      <c r="JV76" s="242">
        <v>2</v>
      </c>
      <c r="JW76" s="242">
        <f t="shared" ref="JW76:JZ77" si="178">+JL76+1</f>
        <v>3</v>
      </c>
      <c r="JX76" s="242">
        <f t="shared" si="178"/>
        <v>3</v>
      </c>
      <c r="JY76" s="242">
        <f t="shared" si="178"/>
        <v>3</v>
      </c>
      <c r="JZ76" s="242">
        <f t="shared" si="178"/>
        <v>3</v>
      </c>
      <c r="KA76" s="242">
        <f>+JQ76+1</f>
        <v>3</v>
      </c>
      <c r="KB76" s="243"/>
      <c r="KC76" s="242">
        <f>+JR76+1</f>
        <v>3</v>
      </c>
      <c r="KD76" s="242">
        <f>+JS76+1</f>
        <v>3</v>
      </c>
      <c r="KE76" s="242">
        <f t="shared" ref="KE76:KJ77" si="179">+JV76+1</f>
        <v>3</v>
      </c>
      <c r="KF76" s="242">
        <f t="shared" si="179"/>
        <v>4</v>
      </c>
      <c r="KG76" s="242">
        <f t="shared" si="179"/>
        <v>4</v>
      </c>
      <c r="KH76" s="242">
        <f t="shared" si="179"/>
        <v>4</v>
      </c>
      <c r="KI76" s="242">
        <f t="shared" si="179"/>
        <v>4</v>
      </c>
      <c r="KJ76" s="242">
        <f t="shared" si="179"/>
        <v>4</v>
      </c>
      <c r="KK76" s="242">
        <f t="shared" ref="KK76:KS77" si="180">+KC76+1</f>
        <v>4</v>
      </c>
      <c r="KL76" s="242">
        <f t="shared" si="180"/>
        <v>4</v>
      </c>
      <c r="KM76" s="242">
        <f t="shared" si="180"/>
        <v>4</v>
      </c>
      <c r="KN76" s="242">
        <f t="shared" si="180"/>
        <v>5</v>
      </c>
      <c r="KO76" s="242">
        <f t="shared" si="180"/>
        <v>5</v>
      </c>
      <c r="KP76" s="242">
        <f t="shared" si="180"/>
        <v>5</v>
      </c>
      <c r="KQ76" s="242">
        <f t="shared" si="180"/>
        <v>5</v>
      </c>
      <c r="KR76" s="242">
        <f t="shared" si="180"/>
        <v>5</v>
      </c>
      <c r="KS76" s="242">
        <f t="shared" si="180"/>
        <v>5</v>
      </c>
      <c r="KT76" s="242">
        <f t="shared" si="139"/>
        <v>5</v>
      </c>
      <c r="KU76" s="242">
        <f t="shared" si="139"/>
        <v>5</v>
      </c>
      <c r="KV76" s="243"/>
      <c r="KW76" s="242">
        <f t="shared" ref="KW76:LD80" si="181">+KN76+1</f>
        <v>6</v>
      </c>
      <c r="KX76" s="242">
        <f t="shared" si="181"/>
        <v>6</v>
      </c>
      <c r="KY76" s="242">
        <f t="shared" si="181"/>
        <v>6</v>
      </c>
      <c r="KZ76" s="242">
        <f t="shared" si="181"/>
        <v>6</v>
      </c>
      <c r="LA76" s="242">
        <f t="shared" si="181"/>
        <v>6</v>
      </c>
      <c r="LB76" s="242">
        <f t="shared" si="181"/>
        <v>6</v>
      </c>
      <c r="LC76" s="242">
        <f t="shared" si="181"/>
        <v>6</v>
      </c>
      <c r="LD76" s="242">
        <f t="shared" si="181"/>
        <v>6</v>
      </c>
      <c r="LE76" s="242">
        <f t="shared" si="139"/>
        <v>7</v>
      </c>
      <c r="LF76" s="242">
        <f t="shared" si="126"/>
        <v>7</v>
      </c>
      <c r="LG76" s="242">
        <f t="shared" si="126"/>
        <v>7</v>
      </c>
      <c r="LH76" s="242">
        <f t="shared" si="126"/>
        <v>7</v>
      </c>
      <c r="LI76" s="242">
        <f t="shared" si="126"/>
        <v>7</v>
      </c>
      <c r="LJ76" s="242">
        <f t="shared" si="126"/>
        <v>7</v>
      </c>
      <c r="LK76" s="242">
        <f t="shared" si="126"/>
        <v>7</v>
      </c>
      <c r="LL76" s="242">
        <f t="shared" si="126"/>
        <v>7</v>
      </c>
      <c r="LM76" s="242">
        <f t="shared" si="126"/>
        <v>8</v>
      </c>
      <c r="LN76" s="242">
        <f t="shared" si="126"/>
        <v>8</v>
      </c>
      <c r="LO76" s="242">
        <f t="shared" si="126"/>
        <v>8</v>
      </c>
      <c r="LP76" s="242">
        <f t="shared" si="126"/>
        <v>8</v>
      </c>
      <c r="LQ76" s="242">
        <f t="shared" si="126"/>
        <v>8</v>
      </c>
      <c r="LR76" s="242">
        <f t="shared" si="126"/>
        <v>8</v>
      </c>
      <c r="LS76" s="242">
        <f t="shared" si="126"/>
        <v>8</v>
      </c>
      <c r="LT76" s="242">
        <f t="shared" si="126"/>
        <v>8</v>
      </c>
      <c r="LU76" s="242">
        <f t="shared" ref="LU76:MC78" si="182">+LM76+1</f>
        <v>9</v>
      </c>
      <c r="LV76" s="242">
        <f t="shared" si="182"/>
        <v>9</v>
      </c>
      <c r="LW76" s="242">
        <f t="shared" si="182"/>
        <v>9</v>
      </c>
      <c r="LX76" s="242">
        <f t="shared" si="182"/>
        <v>9</v>
      </c>
      <c r="LY76" s="242">
        <f t="shared" si="182"/>
        <v>9</v>
      </c>
      <c r="LZ76" s="242">
        <f t="shared" si="182"/>
        <v>9</v>
      </c>
      <c r="MA76" s="242">
        <f t="shared" si="182"/>
        <v>9</v>
      </c>
      <c r="MB76" s="242">
        <f t="shared" si="182"/>
        <v>9</v>
      </c>
      <c r="MC76" s="242">
        <f t="shared" si="131"/>
        <v>10</v>
      </c>
      <c r="MD76" s="243"/>
      <c r="ME76" s="242">
        <f t="shared" ref="ME76:ML80" si="183">+LV76+1</f>
        <v>10</v>
      </c>
      <c r="MF76" s="242">
        <f t="shared" si="183"/>
        <v>10</v>
      </c>
      <c r="MG76" s="242">
        <f t="shared" si="183"/>
        <v>10</v>
      </c>
      <c r="MH76" s="242">
        <f t="shared" si="183"/>
        <v>10</v>
      </c>
      <c r="MI76" s="242">
        <f t="shared" si="183"/>
        <v>10</v>
      </c>
      <c r="MJ76" s="242">
        <f t="shared" si="183"/>
        <v>10</v>
      </c>
      <c r="MK76" s="242">
        <f t="shared" si="183"/>
        <v>10</v>
      </c>
      <c r="ML76" s="242">
        <f t="shared" si="183"/>
        <v>11</v>
      </c>
      <c r="MM76" s="242">
        <f t="shared" si="132"/>
        <v>11</v>
      </c>
      <c r="MN76" s="242">
        <f t="shared" si="132"/>
        <v>11</v>
      </c>
      <c r="MO76" s="242">
        <f t="shared" si="132"/>
        <v>11</v>
      </c>
      <c r="MP76" s="242">
        <f t="shared" si="132"/>
        <v>11</v>
      </c>
      <c r="MQ76" s="242">
        <f t="shared" si="132"/>
        <v>11</v>
      </c>
      <c r="MR76" s="242">
        <f t="shared" si="132"/>
        <v>11</v>
      </c>
      <c r="MS76" s="242">
        <f t="shared" si="132"/>
        <v>11</v>
      </c>
      <c r="MT76" s="242">
        <f t="shared" si="132"/>
        <v>12</v>
      </c>
      <c r="MU76" s="242">
        <f t="shared" si="132"/>
        <v>12</v>
      </c>
      <c r="MV76" s="242">
        <f t="shared" si="132"/>
        <v>12</v>
      </c>
      <c r="MW76" s="242">
        <f t="shared" si="132"/>
        <v>12</v>
      </c>
      <c r="MX76" s="243"/>
      <c r="MY76" s="242">
        <f t="shared" ref="MY76:NF80" si="184">+MP76+1</f>
        <v>12</v>
      </c>
      <c r="MZ76" s="242">
        <f t="shared" si="184"/>
        <v>12</v>
      </c>
      <c r="NA76" s="242">
        <f t="shared" si="184"/>
        <v>12</v>
      </c>
      <c r="NB76" s="242">
        <f t="shared" si="184"/>
        <v>12</v>
      </c>
      <c r="NC76" s="242">
        <f t="shared" si="184"/>
        <v>13</v>
      </c>
      <c r="ND76" s="242">
        <f t="shared" si="184"/>
        <v>13</v>
      </c>
      <c r="NE76" s="242">
        <f t="shared" si="184"/>
        <v>13</v>
      </c>
      <c r="NF76" s="242">
        <f t="shared" si="184"/>
        <v>13</v>
      </c>
      <c r="NG76" s="242">
        <f t="shared" si="142"/>
        <v>13</v>
      </c>
      <c r="NH76" s="242">
        <f t="shared" si="142"/>
        <v>13</v>
      </c>
      <c r="NI76" s="242">
        <f t="shared" si="142"/>
        <v>13</v>
      </c>
      <c r="NJ76" s="242">
        <f t="shared" si="142"/>
        <v>13</v>
      </c>
      <c r="NK76" s="242">
        <f t="shared" si="142"/>
        <v>14</v>
      </c>
      <c r="NL76" s="242">
        <f t="shared" si="143"/>
        <v>14</v>
      </c>
      <c r="NM76" s="242">
        <f t="shared" si="143"/>
        <v>14</v>
      </c>
      <c r="NN76" s="242">
        <f t="shared" si="143"/>
        <v>14</v>
      </c>
      <c r="NO76" s="242">
        <f t="shared" si="143"/>
        <v>14</v>
      </c>
      <c r="NP76" s="242">
        <f t="shared" si="143"/>
        <v>14</v>
      </c>
      <c r="NQ76" s="242">
        <f t="shared" si="143"/>
        <v>14</v>
      </c>
      <c r="NR76" s="242">
        <f t="shared" si="143"/>
        <v>14</v>
      </c>
      <c r="NS76" s="242">
        <f t="shared" si="143"/>
        <v>15</v>
      </c>
      <c r="NT76" s="242">
        <f t="shared" si="143"/>
        <v>15</v>
      </c>
      <c r="NU76" s="242">
        <f t="shared" si="143"/>
        <v>15</v>
      </c>
      <c r="NV76" s="242">
        <f t="shared" si="143"/>
        <v>15</v>
      </c>
      <c r="NW76" s="242">
        <f t="shared" si="143"/>
        <v>15</v>
      </c>
      <c r="NX76" s="242">
        <f t="shared" si="170"/>
        <v>15</v>
      </c>
      <c r="NY76" s="242">
        <f t="shared" si="170"/>
        <v>15</v>
      </c>
      <c r="NZ76" s="242">
        <f t="shared" si="170"/>
        <v>15</v>
      </c>
      <c r="OA76" s="242">
        <f t="shared" si="170"/>
        <v>16</v>
      </c>
      <c r="OB76" s="242">
        <f t="shared" si="170"/>
        <v>16</v>
      </c>
      <c r="OC76" s="242">
        <f t="shared" si="170"/>
        <v>16</v>
      </c>
      <c r="OD76" s="243"/>
      <c r="OE76" s="243"/>
      <c r="OF76" s="242">
        <f t="shared" ref="OF76:OM80" si="185">+NV76+1</f>
        <v>16</v>
      </c>
      <c r="OG76" s="242">
        <f t="shared" si="185"/>
        <v>16</v>
      </c>
      <c r="OH76" s="242">
        <f t="shared" si="185"/>
        <v>16</v>
      </c>
      <c r="OI76" s="242">
        <f t="shared" si="185"/>
        <v>16</v>
      </c>
      <c r="OJ76" s="242">
        <f t="shared" si="185"/>
        <v>16</v>
      </c>
      <c r="OK76" s="242">
        <f t="shared" si="185"/>
        <v>17</v>
      </c>
      <c r="OL76" s="242">
        <f t="shared" si="185"/>
        <v>17</v>
      </c>
      <c r="OM76" s="242">
        <f t="shared" si="185"/>
        <v>17</v>
      </c>
      <c r="ON76" s="242">
        <f t="shared" si="173"/>
        <v>17</v>
      </c>
      <c r="OO76" s="242">
        <f t="shared" si="173"/>
        <v>17</v>
      </c>
      <c r="OP76" s="242">
        <f t="shared" si="172"/>
        <v>17</v>
      </c>
      <c r="OQ76" s="242">
        <f>+OI76+1</f>
        <v>17</v>
      </c>
      <c r="OR76" s="242">
        <f t="shared" si="172"/>
        <v>17</v>
      </c>
      <c r="OS76" s="243"/>
      <c r="OT76" s="242">
        <f t="shared" ref="OT76:OW80" si="186">+OK76+1</f>
        <v>18</v>
      </c>
      <c r="OU76" s="242">
        <f t="shared" si="186"/>
        <v>18</v>
      </c>
      <c r="OV76" s="242">
        <f t="shared" si="186"/>
        <v>18</v>
      </c>
      <c r="OW76" s="242">
        <f t="shared" si="186"/>
        <v>18</v>
      </c>
      <c r="OX76" s="242"/>
      <c r="OY76" s="243"/>
      <c r="OZ76" s="242"/>
      <c r="PA76" s="242"/>
      <c r="PB76" s="242"/>
      <c r="PC76" s="242"/>
      <c r="PD76" s="242"/>
      <c r="PE76" s="242"/>
      <c r="PF76" s="242"/>
      <c r="PG76" s="242"/>
      <c r="PH76" s="242"/>
      <c r="PI76" s="242"/>
      <c r="PJ76" s="242"/>
      <c r="PK76" s="242"/>
      <c r="PL76" s="242"/>
      <c r="PM76" s="242"/>
      <c r="PN76" s="242"/>
      <c r="PO76" s="242"/>
      <c r="PP76" s="242"/>
      <c r="PQ76" s="242"/>
      <c r="PR76" s="242"/>
      <c r="PS76" s="242"/>
      <c r="PT76" s="242"/>
      <c r="PU76" s="242"/>
      <c r="PV76" s="242"/>
      <c r="PW76" s="242"/>
      <c r="PX76" s="242"/>
      <c r="PY76" s="242"/>
      <c r="PZ76" s="242"/>
      <c r="QA76" s="242"/>
      <c r="QB76" s="242"/>
      <c r="QC76" s="242"/>
      <c r="QD76" s="242"/>
      <c r="QE76" s="242"/>
      <c r="QF76" s="242"/>
      <c r="QG76" s="242"/>
      <c r="QH76" s="242"/>
      <c r="QI76" s="244"/>
    </row>
    <row r="77" spans="1:451" ht="18" customHeight="1" x14ac:dyDescent="0.2">
      <c r="A77" s="239" t="s">
        <v>463</v>
      </c>
      <c r="B77" s="245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242"/>
      <c r="AB77" s="242"/>
      <c r="AC77" s="243"/>
      <c r="AD77" s="242"/>
      <c r="AE77" s="242"/>
      <c r="AF77" s="242"/>
      <c r="AG77" s="242"/>
      <c r="AH77" s="242"/>
      <c r="AI77" s="242"/>
      <c r="AJ77" s="242"/>
      <c r="AK77" s="242"/>
      <c r="AL77" s="242"/>
      <c r="AM77" s="242"/>
      <c r="AN77" s="242"/>
      <c r="AO77" s="242"/>
      <c r="AP77" s="242"/>
      <c r="AQ77" s="242"/>
      <c r="AR77" s="243"/>
      <c r="AS77" s="242"/>
      <c r="AT77" s="242"/>
      <c r="AU77" s="242"/>
      <c r="AV77" s="242"/>
      <c r="AW77" s="242"/>
      <c r="AX77" s="242"/>
      <c r="AY77" s="242"/>
      <c r="AZ77" s="242"/>
      <c r="BA77" s="242"/>
      <c r="BB77" s="242"/>
      <c r="BC77" s="242"/>
      <c r="BD77" s="242"/>
      <c r="BE77" s="242"/>
      <c r="BF77" s="242"/>
      <c r="BG77" s="242"/>
      <c r="BH77" s="242"/>
      <c r="BI77" s="242"/>
      <c r="BJ77" s="242"/>
      <c r="BK77" s="242"/>
      <c r="BL77" s="242"/>
      <c r="BM77" s="242"/>
      <c r="BN77" s="242"/>
      <c r="BO77" s="242"/>
      <c r="BP77" s="242"/>
      <c r="BQ77" s="242"/>
      <c r="BR77" s="242"/>
      <c r="BS77" s="242"/>
      <c r="BT77" s="242"/>
      <c r="BU77" s="242"/>
      <c r="BV77" s="242"/>
      <c r="BW77" s="242"/>
      <c r="BX77" s="242"/>
      <c r="BY77" s="242"/>
      <c r="BZ77" s="242"/>
      <c r="CA77" s="242"/>
      <c r="CB77" s="242"/>
      <c r="CC77" s="243"/>
      <c r="CD77" s="243"/>
      <c r="CE77" s="242"/>
      <c r="CF77" s="242"/>
      <c r="CG77" s="242"/>
      <c r="CH77" s="242"/>
      <c r="CI77" s="242"/>
      <c r="CJ77" s="242"/>
      <c r="CK77" s="242"/>
      <c r="CL77" s="242"/>
      <c r="CM77" s="242"/>
      <c r="CN77" s="242"/>
      <c r="CO77" s="242"/>
      <c r="CP77" s="242"/>
      <c r="CQ77" s="242"/>
      <c r="CR77" s="243"/>
      <c r="CS77" s="242"/>
      <c r="CT77" s="242"/>
      <c r="CU77" s="242"/>
      <c r="CV77" s="242"/>
      <c r="CW77" s="242"/>
      <c r="CX77" s="243"/>
      <c r="CY77" s="242"/>
      <c r="CZ77" s="242"/>
      <c r="DA77" s="242"/>
      <c r="DB77" s="242"/>
      <c r="DC77" s="242"/>
      <c r="DD77" s="242"/>
      <c r="DE77" s="242"/>
      <c r="DF77" s="242"/>
      <c r="DG77" s="242"/>
      <c r="DH77" s="242"/>
      <c r="DI77" s="242"/>
      <c r="DJ77" s="242"/>
      <c r="DK77" s="242"/>
      <c r="DL77" s="242"/>
      <c r="DM77" s="242"/>
      <c r="DN77" s="242"/>
      <c r="DO77" s="242"/>
      <c r="DP77" s="242"/>
      <c r="DQ77" s="242"/>
      <c r="DR77" s="242"/>
      <c r="DS77" s="242"/>
      <c r="DT77" s="242"/>
      <c r="DU77" s="242"/>
      <c r="DV77" s="242"/>
      <c r="DW77" s="242"/>
      <c r="DX77" s="242"/>
      <c r="DY77" s="242"/>
      <c r="DZ77" s="242"/>
      <c r="EA77" s="242"/>
      <c r="EB77" s="242"/>
      <c r="EC77" s="242"/>
      <c r="ED77" s="242"/>
      <c r="EE77" s="242"/>
      <c r="EF77" s="242"/>
      <c r="EG77" s="242"/>
      <c r="EH77" s="242"/>
      <c r="EI77" s="242"/>
      <c r="EJ77" s="242"/>
      <c r="EK77" s="242"/>
      <c r="EL77" s="242"/>
      <c r="EM77" s="242"/>
      <c r="EN77" s="242"/>
      <c r="EO77" s="242"/>
      <c r="EP77" s="242"/>
      <c r="EQ77" s="242"/>
      <c r="ER77" s="242"/>
      <c r="ES77" s="242"/>
      <c r="ET77" s="242"/>
      <c r="EU77" s="242"/>
      <c r="EV77" s="242"/>
      <c r="EW77" s="242"/>
      <c r="EX77" s="242"/>
      <c r="EY77" s="242"/>
      <c r="EZ77" s="242"/>
      <c r="FA77" s="242"/>
      <c r="FB77" s="242"/>
      <c r="FC77" s="242"/>
      <c r="FD77" s="242"/>
      <c r="FE77" s="242"/>
      <c r="FF77" s="242"/>
      <c r="FG77" s="242"/>
      <c r="FH77" s="242"/>
      <c r="FI77" s="242"/>
      <c r="FJ77" s="242"/>
      <c r="FK77" s="242"/>
      <c r="FL77" s="242"/>
      <c r="FM77" s="242"/>
      <c r="FN77" s="242"/>
      <c r="FO77" s="242"/>
      <c r="FP77" s="242"/>
      <c r="FQ77" s="243"/>
      <c r="FR77" s="243"/>
      <c r="FS77" s="242"/>
      <c r="FT77" s="242"/>
      <c r="FU77" s="242"/>
      <c r="FV77" s="242"/>
      <c r="FW77" s="242"/>
      <c r="FX77" s="242"/>
      <c r="FY77" s="242"/>
      <c r="FZ77" s="242"/>
      <c r="GA77" s="242"/>
      <c r="GB77" s="242"/>
      <c r="GC77" s="242"/>
      <c r="GD77" s="242"/>
      <c r="GE77" s="242"/>
      <c r="GF77" s="242"/>
      <c r="GG77" s="242"/>
      <c r="GH77" s="242"/>
      <c r="GI77" s="242"/>
      <c r="GJ77" s="242"/>
      <c r="GK77" s="242"/>
      <c r="GL77" s="242"/>
      <c r="GM77" s="242"/>
      <c r="GN77" s="242"/>
      <c r="GO77" s="242"/>
      <c r="GP77" s="242"/>
      <c r="GQ77" s="242"/>
      <c r="GR77" s="242"/>
      <c r="GS77" s="242"/>
      <c r="GT77" s="242"/>
      <c r="GU77" s="242"/>
      <c r="GV77" s="242"/>
      <c r="GW77" s="243"/>
      <c r="GX77" s="242"/>
      <c r="GY77" s="242"/>
      <c r="GZ77" s="242"/>
      <c r="HA77" s="242"/>
      <c r="HB77" s="242"/>
      <c r="HC77" s="242"/>
      <c r="HD77" s="242"/>
      <c r="HE77" s="242"/>
      <c r="HF77" s="242"/>
      <c r="HG77" s="242"/>
      <c r="HH77" s="242"/>
      <c r="HI77" s="242"/>
      <c r="HJ77" s="242"/>
      <c r="HK77" s="242"/>
      <c r="HL77" s="242"/>
      <c r="HM77" s="242"/>
      <c r="HN77" s="242"/>
      <c r="HO77" s="242"/>
      <c r="HP77" s="242"/>
      <c r="HQ77" s="242"/>
      <c r="HR77" s="242"/>
      <c r="HS77" s="242"/>
      <c r="HT77" s="242"/>
      <c r="HU77" s="242"/>
      <c r="HV77" s="242"/>
      <c r="HW77" s="242"/>
      <c r="HX77" s="242"/>
      <c r="HY77" s="242"/>
      <c r="HZ77" s="242"/>
      <c r="IA77" s="242"/>
      <c r="IB77" s="242"/>
      <c r="IC77" s="242"/>
      <c r="ID77" s="242"/>
      <c r="IE77" s="242"/>
      <c r="IF77" s="242"/>
      <c r="IG77" s="242"/>
      <c r="IH77" s="242"/>
      <c r="II77" s="242"/>
      <c r="IJ77" s="242"/>
      <c r="IK77" s="242"/>
      <c r="IL77" s="242"/>
      <c r="IM77" s="242"/>
      <c r="IN77" s="242"/>
      <c r="IO77" s="242"/>
      <c r="IP77" s="242"/>
      <c r="IQ77" s="242"/>
      <c r="IR77" s="242"/>
      <c r="IS77" s="242"/>
      <c r="IT77" s="242"/>
      <c r="IU77" s="242"/>
      <c r="IV77" s="243"/>
      <c r="IW77" s="242"/>
      <c r="IX77" s="242"/>
      <c r="IY77" s="242"/>
      <c r="IZ77" s="242"/>
      <c r="JA77" s="242"/>
      <c r="JB77" s="242"/>
      <c r="JC77" s="242"/>
      <c r="JD77" s="242">
        <v>1</v>
      </c>
      <c r="JE77" s="242">
        <v>1</v>
      </c>
      <c r="JF77" s="242">
        <v>1</v>
      </c>
      <c r="JG77" s="242">
        <v>1</v>
      </c>
      <c r="JH77" s="242">
        <v>1</v>
      </c>
      <c r="JI77" s="242">
        <v>1</v>
      </c>
      <c r="JJ77" s="242">
        <v>1</v>
      </c>
      <c r="JK77" s="242">
        <v>1</v>
      </c>
      <c r="JL77" s="242">
        <v>2</v>
      </c>
      <c r="JM77" s="242">
        <v>2</v>
      </c>
      <c r="JN77" s="242">
        <v>2</v>
      </c>
      <c r="JO77" s="242">
        <v>2</v>
      </c>
      <c r="JP77" s="243"/>
      <c r="JQ77" s="242">
        <f>+JJ77+1</f>
        <v>2</v>
      </c>
      <c r="JR77" s="242">
        <f>+JK77+1</f>
        <v>2</v>
      </c>
      <c r="JS77" s="242">
        <v>2</v>
      </c>
      <c r="JT77" s="243"/>
      <c r="JU77" s="243"/>
      <c r="JV77" s="242">
        <v>2</v>
      </c>
      <c r="JW77" s="242">
        <f t="shared" si="178"/>
        <v>3</v>
      </c>
      <c r="JX77" s="242">
        <f t="shared" si="178"/>
        <v>3</v>
      </c>
      <c r="JY77" s="242">
        <f t="shared" si="178"/>
        <v>3</v>
      </c>
      <c r="JZ77" s="242">
        <f t="shared" si="178"/>
        <v>3</v>
      </c>
      <c r="KA77" s="242">
        <f>+JQ77+1</f>
        <v>3</v>
      </c>
      <c r="KB77" s="243"/>
      <c r="KC77" s="242">
        <f>+JR77+1</f>
        <v>3</v>
      </c>
      <c r="KD77" s="242">
        <f>+JS77+1</f>
        <v>3</v>
      </c>
      <c r="KE77" s="242">
        <f t="shared" si="179"/>
        <v>3</v>
      </c>
      <c r="KF77" s="242">
        <f t="shared" si="179"/>
        <v>4</v>
      </c>
      <c r="KG77" s="242">
        <f t="shared" si="179"/>
        <v>4</v>
      </c>
      <c r="KH77" s="242">
        <f t="shared" si="179"/>
        <v>4</v>
      </c>
      <c r="KI77" s="242">
        <f t="shared" si="179"/>
        <v>4</v>
      </c>
      <c r="KJ77" s="242">
        <f t="shared" si="179"/>
        <v>4</v>
      </c>
      <c r="KK77" s="242">
        <f t="shared" si="180"/>
        <v>4</v>
      </c>
      <c r="KL77" s="242">
        <f t="shared" si="180"/>
        <v>4</v>
      </c>
      <c r="KM77" s="242">
        <f t="shared" si="180"/>
        <v>4</v>
      </c>
      <c r="KN77" s="242">
        <f t="shared" si="180"/>
        <v>5</v>
      </c>
      <c r="KO77" s="242">
        <f t="shared" si="180"/>
        <v>5</v>
      </c>
      <c r="KP77" s="242">
        <f t="shared" si="180"/>
        <v>5</v>
      </c>
      <c r="KQ77" s="242">
        <f t="shared" si="180"/>
        <v>5</v>
      </c>
      <c r="KR77" s="242">
        <f t="shared" si="180"/>
        <v>5</v>
      </c>
      <c r="KS77" s="242">
        <f t="shared" si="180"/>
        <v>5</v>
      </c>
      <c r="KT77" s="242">
        <f t="shared" si="139"/>
        <v>5</v>
      </c>
      <c r="KU77" s="242">
        <f t="shared" si="139"/>
        <v>5</v>
      </c>
      <c r="KV77" s="243"/>
      <c r="KW77" s="242">
        <f t="shared" si="181"/>
        <v>6</v>
      </c>
      <c r="KX77" s="242">
        <f t="shared" si="181"/>
        <v>6</v>
      </c>
      <c r="KY77" s="242">
        <f t="shared" si="181"/>
        <v>6</v>
      </c>
      <c r="KZ77" s="242">
        <f t="shared" si="181"/>
        <v>6</v>
      </c>
      <c r="LA77" s="242">
        <f t="shared" si="181"/>
        <v>6</v>
      </c>
      <c r="LB77" s="242">
        <f t="shared" si="181"/>
        <v>6</v>
      </c>
      <c r="LC77" s="242">
        <f t="shared" si="181"/>
        <v>6</v>
      </c>
      <c r="LD77" s="242">
        <f t="shared" si="181"/>
        <v>6</v>
      </c>
      <c r="LE77" s="242">
        <f t="shared" si="139"/>
        <v>7</v>
      </c>
      <c r="LF77" s="242">
        <f t="shared" si="126"/>
        <v>7</v>
      </c>
      <c r="LG77" s="242">
        <f t="shared" si="126"/>
        <v>7</v>
      </c>
      <c r="LH77" s="242">
        <f t="shared" si="126"/>
        <v>7</v>
      </c>
      <c r="LI77" s="242">
        <f t="shared" si="126"/>
        <v>7</v>
      </c>
      <c r="LJ77" s="242">
        <f t="shared" si="126"/>
        <v>7</v>
      </c>
      <c r="LK77" s="242">
        <f t="shared" si="126"/>
        <v>7</v>
      </c>
      <c r="LL77" s="242">
        <f t="shared" si="126"/>
        <v>7</v>
      </c>
      <c r="LM77" s="242">
        <f t="shared" si="126"/>
        <v>8</v>
      </c>
      <c r="LN77" s="242">
        <f t="shared" si="126"/>
        <v>8</v>
      </c>
      <c r="LO77" s="242">
        <f t="shared" si="126"/>
        <v>8</v>
      </c>
      <c r="LP77" s="242">
        <f t="shared" si="126"/>
        <v>8</v>
      </c>
      <c r="LQ77" s="242">
        <f t="shared" si="126"/>
        <v>8</v>
      </c>
      <c r="LR77" s="242">
        <f t="shared" si="126"/>
        <v>8</v>
      </c>
      <c r="LS77" s="242">
        <f t="shared" si="126"/>
        <v>8</v>
      </c>
      <c r="LT77" s="242">
        <f t="shared" si="126"/>
        <v>8</v>
      </c>
      <c r="LU77" s="242">
        <f t="shared" si="182"/>
        <v>9</v>
      </c>
      <c r="LV77" s="242">
        <f t="shared" si="182"/>
        <v>9</v>
      </c>
      <c r="LW77" s="242">
        <f t="shared" si="182"/>
        <v>9</v>
      </c>
      <c r="LX77" s="242">
        <f t="shared" si="182"/>
        <v>9</v>
      </c>
      <c r="LY77" s="242">
        <f t="shared" si="182"/>
        <v>9</v>
      </c>
      <c r="LZ77" s="242">
        <f t="shared" si="182"/>
        <v>9</v>
      </c>
      <c r="MA77" s="242">
        <f t="shared" si="182"/>
        <v>9</v>
      </c>
      <c r="MB77" s="242">
        <f t="shared" si="182"/>
        <v>9</v>
      </c>
      <c r="MC77" s="242">
        <f t="shared" si="131"/>
        <v>10</v>
      </c>
      <c r="MD77" s="243"/>
      <c r="ME77" s="242">
        <f t="shared" si="183"/>
        <v>10</v>
      </c>
      <c r="MF77" s="242">
        <f t="shared" si="183"/>
        <v>10</v>
      </c>
      <c r="MG77" s="242">
        <f t="shared" si="183"/>
        <v>10</v>
      </c>
      <c r="MH77" s="242">
        <f t="shared" si="183"/>
        <v>10</v>
      </c>
      <c r="MI77" s="242">
        <f t="shared" si="183"/>
        <v>10</v>
      </c>
      <c r="MJ77" s="242">
        <f t="shared" si="183"/>
        <v>10</v>
      </c>
      <c r="MK77" s="242">
        <f t="shared" si="183"/>
        <v>10</v>
      </c>
      <c r="ML77" s="242">
        <f t="shared" si="183"/>
        <v>11</v>
      </c>
      <c r="MM77" s="242">
        <f t="shared" si="132"/>
        <v>11</v>
      </c>
      <c r="MN77" s="242">
        <f t="shared" si="132"/>
        <v>11</v>
      </c>
      <c r="MO77" s="242">
        <f t="shared" si="132"/>
        <v>11</v>
      </c>
      <c r="MP77" s="242">
        <f t="shared" si="132"/>
        <v>11</v>
      </c>
      <c r="MQ77" s="242">
        <f t="shared" si="132"/>
        <v>11</v>
      </c>
      <c r="MR77" s="242">
        <f t="shared" si="132"/>
        <v>11</v>
      </c>
      <c r="MS77" s="242">
        <f t="shared" si="132"/>
        <v>11</v>
      </c>
      <c r="MT77" s="242">
        <f t="shared" si="132"/>
        <v>12</v>
      </c>
      <c r="MU77" s="242">
        <f t="shared" si="132"/>
        <v>12</v>
      </c>
      <c r="MV77" s="242">
        <f t="shared" si="132"/>
        <v>12</v>
      </c>
      <c r="MW77" s="242">
        <f t="shared" si="132"/>
        <v>12</v>
      </c>
      <c r="MX77" s="243"/>
      <c r="MY77" s="242">
        <f t="shared" si="184"/>
        <v>12</v>
      </c>
      <c r="MZ77" s="242">
        <f t="shared" si="184"/>
        <v>12</v>
      </c>
      <c r="NA77" s="242">
        <f t="shared" si="184"/>
        <v>12</v>
      </c>
      <c r="NB77" s="242">
        <f t="shared" si="184"/>
        <v>12</v>
      </c>
      <c r="NC77" s="242">
        <f t="shared" si="184"/>
        <v>13</v>
      </c>
      <c r="ND77" s="242">
        <f t="shared" si="184"/>
        <v>13</v>
      </c>
      <c r="NE77" s="242">
        <f t="shared" si="184"/>
        <v>13</v>
      </c>
      <c r="NF77" s="242">
        <f t="shared" si="184"/>
        <v>13</v>
      </c>
      <c r="NG77" s="242">
        <f t="shared" si="142"/>
        <v>13</v>
      </c>
      <c r="NH77" s="242">
        <f t="shared" si="142"/>
        <v>13</v>
      </c>
      <c r="NI77" s="242">
        <f t="shared" si="142"/>
        <v>13</v>
      </c>
      <c r="NJ77" s="242">
        <f t="shared" si="142"/>
        <v>13</v>
      </c>
      <c r="NK77" s="242">
        <f t="shared" si="142"/>
        <v>14</v>
      </c>
      <c r="NL77" s="242">
        <f t="shared" si="143"/>
        <v>14</v>
      </c>
      <c r="NM77" s="242">
        <f t="shared" si="143"/>
        <v>14</v>
      </c>
      <c r="NN77" s="242">
        <f t="shared" si="143"/>
        <v>14</v>
      </c>
      <c r="NO77" s="242">
        <f t="shared" si="143"/>
        <v>14</v>
      </c>
      <c r="NP77" s="242">
        <f t="shared" si="143"/>
        <v>14</v>
      </c>
      <c r="NQ77" s="242">
        <f t="shared" si="143"/>
        <v>14</v>
      </c>
      <c r="NR77" s="242">
        <f t="shared" si="143"/>
        <v>14</v>
      </c>
      <c r="NS77" s="242">
        <f t="shared" si="143"/>
        <v>15</v>
      </c>
      <c r="NT77" s="242">
        <f t="shared" si="143"/>
        <v>15</v>
      </c>
      <c r="NU77" s="242">
        <f t="shared" si="143"/>
        <v>15</v>
      </c>
      <c r="NV77" s="242">
        <f t="shared" si="143"/>
        <v>15</v>
      </c>
      <c r="NW77" s="242">
        <f t="shared" si="143"/>
        <v>15</v>
      </c>
      <c r="NX77" s="242">
        <f t="shared" si="170"/>
        <v>15</v>
      </c>
      <c r="NY77" s="242">
        <f t="shared" si="170"/>
        <v>15</v>
      </c>
      <c r="NZ77" s="242">
        <f t="shared" si="170"/>
        <v>15</v>
      </c>
      <c r="OA77" s="242">
        <f t="shared" si="170"/>
        <v>16</v>
      </c>
      <c r="OB77" s="242">
        <f t="shared" si="170"/>
        <v>16</v>
      </c>
      <c r="OC77" s="242">
        <f t="shared" si="170"/>
        <v>16</v>
      </c>
      <c r="OD77" s="243"/>
      <c r="OE77" s="243"/>
      <c r="OF77" s="242">
        <f t="shared" si="185"/>
        <v>16</v>
      </c>
      <c r="OG77" s="242">
        <f t="shared" si="185"/>
        <v>16</v>
      </c>
      <c r="OH77" s="242">
        <f t="shared" si="185"/>
        <v>16</v>
      </c>
      <c r="OI77" s="242">
        <f t="shared" si="185"/>
        <v>16</v>
      </c>
      <c r="OJ77" s="242">
        <f t="shared" si="185"/>
        <v>16</v>
      </c>
      <c r="OK77" s="242">
        <f t="shared" si="185"/>
        <v>17</v>
      </c>
      <c r="OL77" s="242">
        <f t="shared" si="185"/>
        <v>17</v>
      </c>
      <c r="OM77" s="242">
        <f t="shared" si="185"/>
        <v>17</v>
      </c>
      <c r="ON77" s="242">
        <f t="shared" si="173"/>
        <v>17</v>
      </c>
      <c r="OO77" s="242">
        <f t="shared" si="173"/>
        <v>17</v>
      </c>
      <c r="OP77" s="242">
        <f t="shared" si="172"/>
        <v>17</v>
      </c>
      <c r="OQ77" s="242">
        <f>+OI77+1</f>
        <v>17</v>
      </c>
      <c r="OR77" s="242">
        <f t="shared" si="172"/>
        <v>17</v>
      </c>
      <c r="OS77" s="243"/>
      <c r="OT77" s="242">
        <f t="shared" si="186"/>
        <v>18</v>
      </c>
      <c r="OU77" s="242">
        <f t="shared" si="186"/>
        <v>18</v>
      </c>
      <c r="OV77" s="242">
        <f t="shared" si="186"/>
        <v>18</v>
      </c>
      <c r="OW77" s="242">
        <f t="shared" si="186"/>
        <v>18</v>
      </c>
      <c r="OX77" s="242"/>
      <c r="OY77" s="243"/>
      <c r="OZ77" s="242"/>
      <c r="PA77" s="242"/>
      <c r="PB77" s="242"/>
      <c r="PC77" s="242"/>
      <c r="PD77" s="242"/>
      <c r="PE77" s="242"/>
      <c r="PF77" s="242"/>
      <c r="PG77" s="242"/>
      <c r="PH77" s="242"/>
      <c r="PI77" s="242"/>
      <c r="PJ77" s="242"/>
      <c r="PK77" s="242"/>
      <c r="PL77" s="242"/>
      <c r="PM77" s="242"/>
      <c r="PN77" s="242"/>
      <c r="PO77" s="242"/>
      <c r="PP77" s="242"/>
      <c r="PQ77" s="242"/>
      <c r="PR77" s="242"/>
      <c r="PS77" s="242"/>
      <c r="PT77" s="242"/>
      <c r="PU77" s="242"/>
      <c r="PV77" s="242"/>
      <c r="PW77" s="242"/>
      <c r="PX77" s="242"/>
      <c r="PY77" s="242"/>
      <c r="PZ77" s="242"/>
      <c r="QA77" s="242"/>
      <c r="QB77" s="242"/>
      <c r="QC77" s="242"/>
      <c r="QD77" s="242"/>
      <c r="QE77" s="242"/>
      <c r="QF77" s="242"/>
      <c r="QG77" s="242"/>
      <c r="QH77" s="242"/>
      <c r="QI77" s="244"/>
    </row>
    <row r="78" spans="1:451" ht="18" customHeight="1" x14ac:dyDescent="0.2">
      <c r="A78" s="239" t="s">
        <v>464</v>
      </c>
      <c r="B78" s="245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  <c r="AA78" s="242"/>
      <c r="AB78" s="242"/>
      <c r="AC78" s="243"/>
      <c r="AD78" s="242"/>
      <c r="AE78" s="242"/>
      <c r="AF78" s="242"/>
      <c r="AG78" s="242"/>
      <c r="AH78" s="242"/>
      <c r="AI78" s="242"/>
      <c r="AJ78" s="242"/>
      <c r="AK78" s="242"/>
      <c r="AL78" s="242"/>
      <c r="AM78" s="242"/>
      <c r="AN78" s="242"/>
      <c r="AO78" s="242"/>
      <c r="AP78" s="242"/>
      <c r="AQ78" s="242"/>
      <c r="AR78" s="243"/>
      <c r="AS78" s="242"/>
      <c r="AT78" s="242"/>
      <c r="AU78" s="242"/>
      <c r="AV78" s="242"/>
      <c r="AW78" s="242"/>
      <c r="AX78" s="242"/>
      <c r="AY78" s="242"/>
      <c r="AZ78" s="242"/>
      <c r="BA78" s="242"/>
      <c r="BB78" s="242"/>
      <c r="BC78" s="242"/>
      <c r="BD78" s="242"/>
      <c r="BE78" s="242"/>
      <c r="BF78" s="242"/>
      <c r="BG78" s="242"/>
      <c r="BH78" s="242"/>
      <c r="BI78" s="242"/>
      <c r="BJ78" s="242"/>
      <c r="BK78" s="242"/>
      <c r="BL78" s="242"/>
      <c r="BM78" s="242"/>
      <c r="BN78" s="242"/>
      <c r="BO78" s="242"/>
      <c r="BP78" s="242"/>
      <c r="BQ78" s="242"/>
      <c r="BR78" s="242"/>
      <c r="BS78" s="242"/>
      <c r="BT78" s="242"/>
      <c r="BU78" s="242"/>
      <c r="BV78" s="242"/>
      <c r="BW78" s="242"/>
      <c r="BX78" s="242"/>
      <c r="BY78" s="242"/>
      <c r="BZ78" s="242"/>
      <c r="CA78" s="242"/>
      <c r="CB78" s="242"/>
      <c r="CC78" s="243"/>
      <c r="CD78" s="243"/>
      <c r="CE78" s="242"/>
      <c r="CF78" s="242"/>
      <c r="CG78" s="242"/>
      <c r="CH78" s="242"/>
      <c r="CI78" s="242"/>
      <c r="CJ78" s="242"/>
      <c r="CK78" s="242"/>
      <c r="CL78" s="242"/>
      <c r="CM78" s="242"/>
      <c r="CN78" s="242"/>
      <c r="CO78" s="242"/>
      <c r="CP78" s="242"/>
      <c r="CQ78" s="242"/>
      <c r="CR78" s="243"/>
      <c r="CS78" s="242"/>
      <c r="CT78" s="242"/>
      <c r="CU78" s="242"/>
      <c r="CV78" s="242"/>
      <c r="CW78" s="242"/>
      <c r="CX78" s="243"/>
      <c r="CY78" s="242"/>
      <c r="CZ78" s="242"/>
      <c r="DA78" s="242"/>
      <c r="DB78" s="242"/>
      <c r="DC78" s="242"/>
      <c r="DD78" s="242"/>
      <c r="DE78" s="242"/>
      <c r="DF78" s="242"/>
      <c r="DG78" s="242"/>
      <c r="DH78" s="242"/>
      <c r="DI78" s="242"/>
      <c r="DJ78" s="242"/>
      <c r="DK78" s="242"/>
      <c r="DL78" s="242"/>
      <c r="DM78" s="242"/>
      <c r="DN78" s="242"/>
      <c r="DO78" s="242"/>
      <c r="DP78" s="242"/>
      <c r="DQ78" s="242"/>
      <c r="DR78" s="242"/>
      <c r="DS78" s="242"/>
      <c r="DT78" s="242"/>
      <c r="DU78" s="242"/>
      <c r="DV78" s="242"/>
      <c r="DW78" s="242"/>
      <c r="DX78" s="242"/>
      <c r="DY78" s="242"/>
      <c r="DZ78" s="242"/>
      <c r="EA78" s="242"/>
      <c r="EB78" s="242"/>
      <c r="EC78" s="242"/>
      <c r="ED78" s="242"/>
      <c r="EE78" s="242"/>
      <c r="EF78" s="242"/>
      <c r="EG78" s="242"/>
      <c r="EH78" s="242"/>
      <c r="EI78" s="242"/>
      <c r="EJ78" s="242"/>
      <c r="EK78" s="242"/>
      <c r="EL78" s="242"/>
      <c r="EM78" s="242"/>
      <c r="EN78" s="242"/>
      <c r="EO78" s="242"/>
      <c r="EP78" s="242"/>
      <c r="EQ78" s="242"/>
      <c r="ER78" s="242"/>
      <c r="ES78" s="242"/>
      <c r="ET78" s="242"/>
      <c r="EU78" s="242"/>
      <c r="EV78" s="242"/>
      <c r="EW78" s="242"/>
      <c r="EX78" s="242"/>
      <c r="EY78" s="242"/>
      <c r="EZ78" s="242"/>
      <c r="FA78" s="242"/>
      <c r="FB78" s="242"/>
      <c r="FC78" s="242"/>
      <c r="FD78" s="242"/>
      <c r="FE78" s="242"/>
      <c r="FF78" s="242"/>
      <c r="FG78" s="242"/>
      <c r="FH78" s="242"/>
      <c r="FI78" s="242"/>
      <c r="FJ78" s="242"/>
      <c r="FK78" s="242"/>
      <c r="FL78" s="242"/>
      <c r="FM78" s="242"/>
      <c r="FN78" s="242"/>
      <c r="FO78" s="242"/>
      <c r="FP78" s="242"/>
      <c r="FQ78" s="243"/>
      <c r="FR78" s="243"/>
      <c r="FS78" s="242"/>
      <c r="FT78" s="242"/>
      <c r="FU78" s="242"/>
      <c r="FV78" s="242"/>
      <c r="FW78" s="242"/>
      <c r="FX78" s="242"/>
      <c r="FY78" s="242"/>
      <c r="FZ78" s="242"/>
      <c r="GA78" s="242"/>
      <c r="GB78" s="242"/>
      <c r="GC78" s="242"/>
      <c r="GD78" s="242"/>
      <c r="GE78" s="242"/>
      <c r="GF78" s="242"/>
      <c r="GG78" s="242"/>
      <c r="GH78" s="242"/>
      <c r="GI78" s="242"/>
      <c r="GJ78" s="242"/>
      <c r="GK78" s="242"/>
      <c r="GL78" s="242"/>
      <c r="GM78" s="242"/>
      <c r="GN78" s="242"/>
      <c r="GO78" s="242"/>
      <c r="GP78" s="242"/>
      <c r="GQ78" s="242"/>
      <c r="GR78" s="242"/>
      <c r="GS78" s="242"/>
      <c r="GT78" s="242"/>
      <c r="GU78" s="242"/>
      <c r="GV78" s="242"/>
      <c r="GW78" s="243"/>
      <c r="GX78" s="242"/>
      <c r="GY78" s="242"/>
      <c r="GZ78" s="242"/>
      <c r="HA78" s="242"/>
      <c r="HB78" s="242"/>
      <c r="HC78" s="242"/>
      <c r="HD78" s="242"/>
      <c r="HE78" s="242"/>
      <c r="HF78" s="242"/>
      <c r="HG78" s="242"/>
      <c r="HH78" s="242"/>
      <c r="HI78" s="242"/>
      <c r="HJ78" s="242"/>
      <c r="HK78" s="242"/>
      <c r="HL78" s="242"/>
      <c r="HM78" s="242"/>
      <c r="HN78" s="242"/>
      <c r="HO78" s="242"/>
      <c r="HP78" s="242"/>
      <c r="HQ78" s="242"/>
      <c r="HR78" s="242"/>
      <c r="HS78" s="242"/>
      <c r="HT78" s="242"/>
      <c r="HU78" s="242"/>
      <c r="HV78" s="242"/>
      <c r="HW78" s="242"/>
      <c r="HX78" s="242"/>
      <c r="HY78" s="242"/>
      <c r="HZ78" s="242"/>
      <c r="IA78" s="242"/>
      <c r="IB78" s="242"/>
      <c r="IC78" s="242"/>
      <c r="ID78" s="242"/>
      <c r="IE78" s="242"/>
      <c r="IF78" s="242"/>
      <c r="IG78" s="242"/>
      <c r="IH78" s="242"/>
      <c r="II78" s="242"/>
      <c r="IJ78" s="242"/>
      <c r="IK78" s="242"/>
      <c r="IL78" s="242"/>
      <c r="IM78" s="242"/>
      <c r="IN78" s="242"/>
      <c r="IO78" s="242"/>
      <c r="IP78" s="242"/>
      <c r="IQ78" s="242"/>
      <c r="IR78" s="242"/>
      <c r="IS78" s="242"/>
      <c r="IT78" s="242"/>
      <c r="IU78" s="242"/>
      <c r="IV78" s="243"/>
      <c r="IW78" s="242"/>
      <c r="IX78" s="242"/>
      <c r="IY78" s="242"/>
      <c r="IZ78" s="242"/>
      <c r="JA78" s="242"/>
      <c r="JB78" s="242"/>
      <c r="JC78" s="242"/>
      <c r="JD78" s="242"/>
      <c r="JE78" s="242"/>
      <c r="JF78" s="242"/>
      <c r="JG78" s="242"/>
      <c r="JH78" s="242"/>
      <c r="JI78" s="242"/>
      <c r="JJ78" s="242"/>
      <c r="JK78" s="242"/>
      <c r="JL78" s="242"/>
      <c r="JM78" s="242"/>
      <c r="JN78" s="242"/>
      <c r="JO78" s="242"/>
      <c r="JP78" s="243"/>
      <c r="JQ78" s="242"/>
      <c r="JR78" s="242"/>
      <c r="JS78" s="242"/>
      <c r="JT78" s="243"/>
      <c r="JU78" s="243"/>
      <c r="JV78" s="242"/>
      <c r="JW78" s="242"/>
      <c r="JX78" s="242"/>
      <c r="JY78" s="242"/>
      <c r="JZ78" s="242"/>
      <c r="KA78" s="242"/>
      <c r="KB78" s="243"/>
      <c r="KC78" s="242">
        <v>1</v>
      </c>
      <c r="KD78" s="242">
        <v>1</v>
      </c>
      <c r="KE78" s="242">
        <v>1</v>
      </c>
      <c r="KF78" s="242">
        <v>1</v>
      </c>
      <c r="KG78" s="242">
        <v>1</v>
      </c>
      <c r="KH78" s="242">
        <v>1</v>
      </c>
      <c r="KI78" s="242">
        <v>1</v>
      </c>
      <c r="KJ78" s="242">
        <v>1</v>
      </c>
      <c r="KK78" s="242">
        <v>2</v>
      </c>
      <c r="KL78" s="242">
        <v>2</v>
      </c>
      <c r="KM78" s="242">
        <v>2</v>
      </c>
      <c r="KN78" s="242">
        <v>2</v>
      </c>
      <c r="KO78" s="242">
        <f>+KI78+1</f>
        <v>2</v>
      </c>
      <c r="KP78" s="242">
        <f>+KJ78+1</f>
        <v>2</v>
      </c>
      <c r="KQ78" s="242">
        <v>2</v>
      </c>
      <c r="KR78" s="242">
        <v>2</v>
      </c>
      <c r="KS78" s="242">
        <f>+KK78+1</f>
        <v>3</v>
      </c>
      <c r="KT78" s="242">
        <f t="shared" si="139"/>
        <v>3</v>
      </c>
      <c r="KU78" s="242">
        <f t="shared" si="139"/>
        <v>3</v>
      </c>
      <c r="KV78" s="243"/>
      <c r="KW78" s="242">
        <f t="shared" si="181"/>
        <v>3</v>
      </c>
      <c r="KX78" s="242">
        <f t="shared" si="181"/>
        <v>3</v>
      </c>
      <c r="KY78" s="242">
        <f t="shared" si="181"/>
        <v>3</v>
      </c>
      <c r="KZ78" s="242">
        <f t="shared" si="181"/>
        <v>3</v>
      </c>
      <c r="LA78" s="242">
        <f t="shared" si="181"/>
        <v>3</v>
      </c>
      <c r="LB78" s="242">
        <f t="shared" si="181"/>
        <v>4</v>
      </c>
      <c r="LC78" s="242">
        <f t="shared" si="181"/>
        <v>4</v>
      </c>
      <c r="LD78" s="242">
        <f t="shared" si="181"/>
        <v>4</v>
      </c>
      <c r="LE78" s="242">
        <f t="shared" si="139"/>
        <v>4</v>
      </c>
      <c r="LF78" s="242">
        <f t="shared" si="139"/>
        <v>4</v>
      </c>
      <c r="LG78" s="242">
        <f t="shared" si="139"/>
        <v>4</v>
      </c>
      <c r="LH78" s="242">
        <f t="shared" si="139"/>
        <v>4</v>
      </c>
      <c r="LI78" s="242">
        <f t="shared" si="139"/>
        <v>4</v>
      </c>
      <c r="LJ78" s="242">
        <f t="shared" ref="LJ78:LY80" si="187">+LB78+1</f>
        <v>5</v>
      </c>
      <c r="LK78" s="242">
        <f t="shared" si="187"/>
        <v>5</v>
      </c>
      <c r="LL78" s="242">
        <f t="shared" si="187"/>
        <v>5</v>
      </c>
      <c r="LM78" s="242">
        <f t="shared" si="187"/>
        <v>5</v>
      </c>
      <c r="LN78" s="242">
        <f t="shared" si="187"/>
        <v>5</v>
      </c>
      <c r="LO78" s="242">
        <f t="shared" si="187"/>
        <v>5</v>
      </c>
      <c r="LP78" s="242">
        <f t="shared" si="187"/>
        <v>5</v>
      </c>
      <c r="LQ78" s="242">
        <f t="shared" si="187"/>
        <v>5</v>
      </c>
      <c r="LR78" s="242">
        <f t="shared" si="131"/>
        <v>6</v>
      </c>
      <c r="LS78" s="242">
        <f t="shared" si="131"/>
        <v>6</v>
      </c>
      <c r="LT78" s="242">
        <f t="shared" si="131"/>
        <v>6</v>
      </c>
      <c r="LU78" s="242">
        <f t="shared" si="131"/>
        <v>6</v>
      </c>
      <c r="LV78" s="242">
        <f t="shared" si="131"/>
        <v>6</v>
      </c>
      <c r="LW78" s="242">
        <f t="shared" si="131"/>
        <v>6</v>
      </c>
      <c r="LX78" s="242">
        <f t="shared" si="131"/>
        <v>6</v>
      </c>
      <c r="LY78" s="242">
        <f t="shared" si="131"/>
        <v>6</v>
      </c>
      <c r="LZ78" s="242">
        <f t="shared" si="131"/>
        <v>7</v>
      </c>
      <c r="MA78" s="242">
        <f t="shared" si="182"/>
        <v>7</v>
      </c>
      <c r="MB78" s="242">
        <f t="shared" si="182"/>
        <v>7</v>
      </c>
      <c r="MC78" s="242">
        <f t="shared" si="182"/>
        <v>7</v>
      </c>
      <c r="MD78" s="243"/>
      <c r="ME78" s="242">
        <f t="shared" si="183"/>
        <v>7</v>
      </c>
      <c r="MF78" s="242">
        <f t="shared" si="183"/>
        <v>7</v>
      </c>
      <c r="MG78" s="242">
        <f t="shared" si="183"/>
        <v>7</v>
      </c>
      <c r="MH78" s="242">
        <f t="shared" si="183"/>
        <v>7</v>
      </c>
      <c r="MI78" s="242">
        <f t="shared" si="183"/>
        <v>8</v>
      </c>
      <c r="MJ78" s="242">
        <f t="shared" si="183"/>
        <v>8</v>
      </c>
      <c r="MK78" s="242">
        <f t="shared" si="183"/>
        <v>8</v>
      </c>
      <c r="ML78" s="242">
        <f t="shared" si="183"/>
        <v>8</v>
      </c>
      <c r="MM78" s="242">
        <f t="shared" si="132"/>
        <v>8</v>
      </c>
      <c r="MN78" s="242">
        <f t="shared" si="132"/>
        <v>8</v>
      </c>
      <c r="MO78" s="242">
        <f t="shared" si="132"/>
        <v>8</v>
      </c>
      <c r="MP78" s="242">
        <f t="shared" si="132"/>
        <v>8</v>
      </c>
      <c r="MQ78" s="242">
        <f t="shared" si="132"/>
        <v>9</v>
      </c>
      <c r="MR78" s="242">
        <f t="shared" si="132"/>
        <v>9</v>
      </c>
      <c r="MS78" s="242">
        <f t="shared" si="132"/>
        <v>9</v>
      </c>
      <c r="MT78" s="242">
        <f t="shared" si="132"/>
        <v>9</v>
      </c>
      <c r="MU78" s="242">
        <f t="shared" si="132"/>
        <v>9</v>
      </c>
      <c r="MV78" s="242">
        <f t="shared" si="132"/>
        <v>9</v>
      </c>
      <c r="MW78" s="242">
        <f t="shared" si="132"/>
        <v>9</v>
      </c>
      <c r="MX78" s="243"/>
      <c r="MY78" s="242">
        <f t="shared" si="184"/>
        <v>9</v>
      </c>
      <c r="MZ78" s="242">
        <f t="shared" si="184"/>
        <v>10</v>
      </c>
      <c r="NA78" s="242">
        <f t="shared" si="184"/>
        <v>10</v>
      </c>
      <c r="NB78" s="242">
        <f t="shared" si="184"/>
        <v>10</v>
      </c>
      <c r="NC78" s="242">
        <f t="shared" si="184"/>
        <v>10</v>
      </c>
      <c r="ND78" s="242">
        <f t="shared" si="184"/>
        <v>10</v>
      </c>
      <c r="NE78" s="242">
        <f t="shared" si="184"/>
        <v>10</v>
      </c>
      <c r="NF78" s="242">
        <f t="shared" si="184"/>
        <v>10</v>
      </c>
      <c r="NG78" s="242">
        <f t="shared" si="142"/>
        <v>10</v>
      </c>
      <c r="NH78" s="242">
        <f t="shared" si="142"/>
        <v>11</v>
      </c>
      <c r="NI78" s="242">
        <f t="shared" si="142"/>
        <v>11</v>
      </c>
      <c r="NJ78" s="242">
        <f t="shared" si="142"/>
        <v>11</v>
      </c>
      <c r="NK78" s="242">
        <f t="shared" si="142"/>
        <v>11</v>
      </c>
      <c r="NL78" s="242">
        <f t="shared" si="142"/>
        <v>11</v>
      </c>
      <c r="NM78" s="242">
        <f t="shared" si="143"/>
        <v>11</v>
      </c>
      <c r="NN78" s="242">
        <f t="shared" si="143"/>
        <v>11</v>
      </c>
      <c r="NO78" s="242">
        <f t="shared" si="143"/>
        <v>11</v>
      </c>
      <c r="NP78" s="242">
        <f t="shared" si="143"/>
        <v>12</v>
      </c>
      <c r="NQ78" s="242">
        <f t="shared" si="143"/>
        <v>12</v>
      </c>
      <c r="NR78" s="242">
        <f t="shared" si="143"/>
        <v>12</v>
      </c>
      <c r="NS78" s="242">
        <f t="shared" si="143"/>
        <v>12</v>
      </c>
      <c r="NT78" s="242">
        <f t="shared" si="143"/>
        <v>12</v>
      </c>
      <c r="NU78" s="242">
        <f t="shared" si="143"/>
        <v>12</v>
      </c>
      <c r="NV78" s="242">
        <f t="shared" si="143"/>
        <v>12</v>
      </c>
      <c r="NW78" s="242">
        <f t="shared" si="143"/>
        <v>12</v>
      </c>
      <c r="NX78" s="242">
        <f t="shared" si="143"/>
        <v>13</v>
      </c>
      <c r="NY78" s="242">
        <f t="shared" si="143"/>
        <v>13</v>
      </c>
      <c r="NZ78" s="242">
        <f t="shared" si="143"/>
        <v>13</v>
      </c>
      <c r="OA78" s="242">
        <f t="shared" si="173"/>
        <v>13</v>
      </c>
      <c r="OB78" s="242">
        <f t="shared" si="173"/>
        <v>13</v>
      </c>
      <c r="OC78" s="242">
        <f t="shared" si="172"/>
        <v>13</v>
      </c>
      <c r="OD78" s="243"/>
      <c r="OE78" s="243"/>
      <c r="OF78" s="242">
        <f t="shared" si="185"/>
        <v>13</v>
      </c>
      <c r="OG78" s="242">
        <f t="shared" si="185"/>
        <v>13</v>
      </c>
      <c r="OH78" s="242">
        <f t="shared" si="185"/>
        <v>14</v>
      </c>
      <c r="OI78" s="242">
        <f t="shared" si="185"/>
        <v>14</v>
      </c>
      <c r="OJ78" s="242">
        <f t="shared" si="185"/>
        <v>14</v>
      </c>
      <c r="OK78" s="242">
        <f t="shared" si="185"/>
        <v>14</v>
      </c>
      <c r="OL78" s="242">
        <f t="shared" si="185"/>
        <v>14</v>
      </c>
      <c r="OM78" s="242">
        <f t="shared" si="185"/>
        <v>14</v>
      </c>
      <c r="ON78" s="242">
        <f>+OF78+1</f>
        <v>14</v>
      </c>
      <c r="OO78" s="242">
        <f>+OG78+1</f>
        <v>14</v>
      </c>
      <c r="OP78" s="242">
        <f>+OH78+1</f>
        <v>15</v>
      </c>
      <c r="OQ78" s="242">
        <f>+OI78+1</f>
        <v>15</v>
      </c>
      <c r="OR78" s="242">
        <f>+OJ78+1</f>
        <v>15</v>
      </c>
      <c r="OS78" s="243"/>
      <c r="OT78" s="242">
        <f t="shared" si="186"/>
        <v>15</v>
      </c>
      <c r="OU78" s="242">
        <f t="shared" si="186"/>
        <v>15</v>
      </c>
      <c r="OV78" s="242">
        <f t="shared" si="186"/>
        <v>15</v>
      </c>
      <c r="OW78" s="242">
        <f t="shared" si="186"/>
        <v>15</v>
      </c>
      <c r="OX78" s="242">
        <f>+OO78+1</f>
        <v>15</v>
      </c>
      <c r="OY78" s="243"/>
      <c r="OZ78" s="242">
        <f t="shared" ref="OZ78:PB80" si="188">+OP78+1</f>
        <v>16</v>
      </c>
      <c r="PA78" s="242">
        <f t="shared" si="188"/>
        <v>16</v>
      </c>
      <c r="PB78" s="242">
        <f t="shared" si="188"/>
        <v>16</v>
      </c>
      <c r="PC78" s="242">
        <f t="shared" ref="PC78:PG80" si="189">+OT78+1</f>
        <v>16</v>
      </c>
      <c r="PD78" s="242">
        <f t="shared" si="189"/>
        <v>16</v>
      </c>
      <c r="PE78" s="242">
        <f t="shared" si="189"/>
        <v>16</v>
      </c>
      <c r="PF78" s="242">
        <f t="shared" si="189"/>
        <v>16</v>
      </c>
      <c r="PG78" s="242">
        <f t="shared" si="189"/>
        <v>16</v>
      </c>
      <c r="PH78" s="242">
        <f t="shared" ref="PH78:PW80" si="190">+OZ78+1</f>
        <v>17</v>
      </c>
      <c r="PI78" s="242">
        <f t="shared" si="190"/>
        <v>17</v>
      </c>
      <c r="PJ78" s="242">
        <f t="shared" si="190"/>
        <v>17</v>
      </c>
      <c r="PK78" s="242">
        <f t="shared" si="190"/>
        <v>17</v>
      </c>
      <c r="PL78" s="242">
        <f t="shared" si="190"/>
        <v>17</v>
      </c>
      <c r="PM78" s="242">
        <f t="shared" si="190"/>
        <v>17</v>
      </c>
      <c r="PN78" s="242">
        <f t="shared" si="190"/>
        <v>17</v>
      </c>
      <c r="PO78" s="242">
        <f t="shared" si="190"/>
        <v>17</v>
      </c>
      <c r="PP78" s="242">
        <v>18</v>
      </c>
      <c r="PQ78" s="242">
        <v>18</v>
      </c>
      <c r="PR78" s="242"/>
      <c r="PS78" s="242"/>
      <c r="PT78" s="242"/>
      <c r="PU78" s="242"/>
      <c r="PV78" s="242"/>
      <c r="PW78" s="242"/>
      <c r="PX78" s="242"/>
      <c r="PY78" s="242"/>
      <c r="PZ78" s="242"/>
      <c r="QA78" s="242"/>
      <c r="QB78" s="242"/>
      <c r="QC78" s="242"/>
      <c r="QD78" s="242"/>
      <c r="QE78" s="242"/>
      <c r="QF78" s="242"/>
      <c r="QG78" s="242"/>
      <c r="QH78" s="242"/>
      <c r="QI78" s="244"/>
    </row>
    <row r="79" spans="1:451" ht="18" customHeight="1" x14ac:dyDescent="0.2">
      <c r="A79" s="239" t="s">
        <v>465</v>
      </c>
      <c r="B79" s="245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242"/>
      <c r="AB79" s="242"/>
      <c r="AC79" s="243"/>
      <c r="AD79" s="242"/>
      <c r="AE79" s="242"/>
      <c r="AF79" s="242"/>
      <c r="AG79" s="242"/>
      <c r="AH79" s="242"/>
      <c r="AI79" s="242"/>
      <c r="AJ79" s="242"/>
      <c r="AK79" s="242"/>
      <c r="AL79" s="242"/>
      <c r="AM79" s="242"/>
      <c r="AN79" s="242"/>
      <c r="AO79" s="242"/>
      <c r="AP79" s="242"/>
      <c r="AQ79" s="242"/>
      <c r="AR79" s="243"/>
      <c r="AS79" s="242"/>
      <c r="AT79" s="242"/>
      <c r="AU79" s="242"/>
      <c r="AV79" s="242"/>
      <c r="AW79" s="242"/>
      <c r="AX79" s="242"/>
      <c r="AY79" s="242"/>
      <c r="AZ79" s="242"/>
      <c r="BA79" s="242"/>
      <c r="BB79" s="242"/>
      <c r="BC79" s="242"/>
      <c r="BD79" s="242"/>
      <c r="BE79" s="242"/>
      <c r="BF79" s="242"/>
      <c r="BG79" s="242"/>
      <c r="BH79" s="242"/>
      <c r="BI79" s="242"/>
      <c r="BJ79" s="242"/>
      <c r="BK79" s="242"/>
      <c r="BL79" s="242"/>
      <c r="BM79" s="242"/>
      <c r="BN79" s="242"/>
      <c r="BO79" s="242"/>
      <c r="BP79" s="242"/>
      <c r="BQ79" s="242"/>
      <c r="BR79" s="242"/>
      <c r="BS79" s="242"/>
      <c r="BT79" s="242"/>
      <c r="BU79" s="242"/>
      <c r="BV79" s="242"/>
      <c r="BW79" s="242"/>
      <c r="BX79" s="242"/>
      <c r="BY79" s="242"/>
      <c r="BZ79" s="242"/>
      <c r="CA79" s="242"/>
      <c r="CB79" s="242"/>
      <c r="CC79" s="243"/>
      <c r="CD79" s="243"/>
      <c r="CE79" s="242"/>
      <c r="CF79" s="242"/>
      <c r="CG79" s="242"/>
      <c r="CH79" s="242"/>
      <c r="CI79" s="242"/>
      <c r="CJ79" s="242"/>
      <c r="CK79" s="242"/>
      <c r="CL79" s="242"/>
      <c r="CM79" s="242"/>
      <c r="CN79" s="242"/>
      <c r="CO79" s="242"/>
      <c r="CP79" s="242"/>
      <c r="CQ79" s="242"/>
      <c r="CR79" s="243"/>
      <c r="CS79" s="242"/>
      <c r="CT79" s="242"/>
      <c r="CU79" s="242"/>
      <c r="CV79" s="242"/>
      <c r="CW79" s="242"/>
      <c r="CX79" s="243"/>
      <c r="CY79" s="242"/>
      <c r="CZ79" s="242"/>
      <c r="DA79" s="242"/>
      <c r="DB79" s="242"/>
      <c r="DC79" s="242"/>
      <c r="DD79" s="242"/>
      <c r="DE79" s="242"/>
      <c r="DF79" s="242"/>
      <c r="DG79" s="242"/>
      <c r="DH79" s="242"/>
      <c r="DI79" s="242"/>
      <c r="DJ79" s="242"/>
      <c r="DK79" s="242"/>
      <c r="DL79" s="242"/>
      <c r="DM79" s="242"/>
      <c r="DN79" s="242"/>
      <c r="DO79" s="242"/>
      <c r="DP79" s="242"/>
      <c r="DQ79" s="242"/>
      <c r="DR79" s="242"/>
      <c r="DS79" s="242"/>
      <c r="DT79" s="242"/>
      <c r="DU79" s="242"/>
      <c r="DV79" s="242"/>
      <c r="DW79" s="242"/>
      <c r="DX79" s="242"/>
      <c r="DY79" s="242"/>
      <c r="DZ79" s="242"/>
      <c r="EA79" s="242"/>
      <c r="EB79" s="242"/>
      <c r="EC79" s="242"/>
      <c r="ED79" s="242"/>
      <c r="EE79" s="242"/>
      <c r="EF79" s="242"/>
      <c r="EG79" s="242"/>
      <c r="EH79" s="242"/>
      <c r="EI79" s="242"/>
      <c r="EJ79" s="242"/>
      <c r="EK79" s="242"/>
      <c r="EL79" s="242"/>
      <c r="EM79" s="242"/>
      <c r="EN79" s="242"/>
      <c r="EO79" s="242"/>
      <c r="EP79" s="242"/>
      <c r="EQ79" s="242"/>
      <c r="ER79" s="242"/>
      <c r="ES79" s="242"/>
      <c r="ET79" s="242"/>
      <c r="EU79" s="242"/>
      <c r="EV79" s="242"/>
      <c r="EW79" s="242"/>
      <c r="EX79" s="242"/>
      <c r="EY79" s="242"/>
      <c r="EZ79" s="242"/>
      <c r="FA79" s="242"/>
      <c r="FB79" s="242"/>
      <c r="FC79" s="242"/>
      <c r="FD79" s="242"/>
      <c r="FE79" s="242"/>
      <c r="FF79" s="242"/>
      <c r="FG79" s="242"/>
      <c r="FH79" s="242"/>
      <c r="FI79" s="242"/>
      <c r="FJ79" s="242"/>
      <c r="FK79" s="242"/>
      <c r="FL79" s="242"/>
      <c r="FM79" s="242"/>
      <c r="FN79" s="242"/>
      <c r="FO79" s="242"/>
      <c r="FP79" s="242"/>
      <c r="FQ79" s="243"/>
      <c r="FR79" s="243"/>
      <c r="FS79" s="242"/>
      <c r="FT79" s="242"/>
      <c r="FU79" s="242"/>
      <c r="FV79" s="242"/>
      <c r="FW79" s="242"/>
      <c r="FX79" s="242"/>
      <c r="FY79" s="242"/>
      <c r="FZ79" s="242"/>
      <c r="GA79" s="242"/>
      <c r="GB79" s="242"/>
      <c r="GC79" s="242"/>
      <c r="GD79" s="242"/>
      <c r="GE79" s="242"/>
      <c r="GF79" s="242"/>
      <c r="GG79" s="242"/>
      <c r="GH79" s="242"/>
      <c r="GI79" s="242"/>
      <c r="GJ79" s="242"/>
      <c r="GK79" s="242"/>
      <c r="GL79" s="242"/>
      <c r="GM79" s="242"/>
      <c r="GN79" s="242"/>
      <c r="GO79" s="242"/>
      <c r="GP79" s="242"/>
      <c r="GQ79" s="242"/>
      <c r="GR79" s="242"/>
      <c r="GS79" s="242"/>
      <c r="GT79" s="242"/>
      <c r="GU79" s="242"/>
      <c r="GV79" s="242"/>
      <c r="GW79" s="243"/>
      <c r="GX79" s="242"/>
      <c r="GY79" s="242"/>
      <c r="GZ79" s="242"/>
      <c r="HA79" s="242"/>
      <c r="HB79" s="242"/>
      <c r="HC79" s="242"/>
      <c r="HD79" s="242"/>
      <c r="HE79" s="242"/>
      <c r="HF79" s="242"/>
      <c r="HG79" s="242"/>
      <c r="HH79" s="242"/>
      <c r="HI79" s="242"/>
      <c r="HJ79" s="242"/>
      <c r="HK79" s="242"/>
      <c r="HL79" s="242"/>
      <c r="HM79" s="242"/>
      <c r="HN79" s="242"/>
      <c r="HO79" s="242"/>
      <c r="HP79" s="242"/>
      <c r="HQ79" s="242"/>
      <c r="HR79" s="242"/>
      <c r="HS79" s="242"/>
      <c r="HT79" s="242"/>
      <c r="HU79" s="242"/>
      <c r="HV79" s="242"/>
      <c r="HW79" s="242"/>
      <c r="HX79" s="242"/>
      <c r="HY79" s="242"/>
      <c r="HZ79" s="242"/>
      <c r="IA79" s="242"/>
      <c r="IB79" s="242"/>
      <c r="IC79" s="242"/>
      <c r="ID79" s="242"/>
      <c r="IE79" s="242"/>
      <c r="IF79" s="242"/>
      <c r="IG79" s="242"/>
      <c r="IH79" s="242"/>
      <c r="II79" s="242"/>
      <c r="IJ79" s="242"/>
      <c r="IK79" s="242"/>
      <c r="IL79" s="242"/>
      <c r="IM79" s="242"/>
      <c r="IN79" s="242"/>
      <c r="IO79" s="242"/>
      <c r="IP79" s="242"/>
      <c r="IQ79" s="242"/>
      <c r="IR79" s="242"/>
      <c r="IS79" s="242"/>
      <c r="IT79" s="242"/>
      <c r="IU79" s="242"/>
      <c r="IV79" s="243"/>
      <c r="IW79" s="242"/>
      <c r="IX79" s="242"/>
      <c r="IY79" s="242"/>
      <c r="IZ79" s="242"/>
      <c r="JA79" s="242"/>
      <c r="JB79" s="242"/>
      <c r="JC79" s="242"/>
      <c r="JD79" s="242"/>
      <c r="JE79" s="242"/>
      <c r="JF79" s="242"/>
      <c r="JG79" s="242"/>
      <c r="JH79" s="242"/>
      <c r="JI79" s="242"/>
      <c r="JJ79" s="242"/>
      <c r="JK79" s="242"/>
      <c r="JL79" s="242"/>
      <c r="JM79" s="242"/>
      <c r="JN79" s="242"/>
      <c r="JO79" s="242"/>
      <c r="JP79" s="243"/>
      <c r="JQ79" s="242"/>
      <c r="JR79" s="242"/>
      <c r="JS79" s="242"/>
      <c r="JT79" s="243"/>
      <c r="JU79" s="243"/>
      <c r="JV79" s="242"/>
      <c r="JW79" s="242">
        <v>1</v>
      </c>
      <c r="JX79" s="242">
        <v>1</v>
      </c>
      <c r="JY79" s="242">
        <v>1</v>
      </c>
      <c r="JZ79" s="242">
        <v>1</v>
      </c>
      <c r="KA79" s="242">
        <v>1</v>
      </c>
      <c r="KB79" s="243"/>
      <c r="KC79" s="242">
        <v>1</v>
      </c>
      <c r="KD79" s="242">
        <v>1</v>
      </c>
      <c r="KE79" s="242">
        <v>1</v>
      </c>
      <c r="KF79" s="242">
        <f>+JW79+1</f>
        <v>2</v>
      </c>
      <c r="KG79" s="242">
        <f>+JX79+1</f>
        <v>2</v>
      </c>
      <c r="KH79" s="242">
        <f>+JY79+1</f>
        <v>2</v>
      </c>
      <c r="KI79" s="242">
        <f>+JZ79+1</f>
        <v>2</v>
      </c>
      <c r="KJ79" s="242">
        <f>+KA79+1</f>
        <v>2</v>
      </c>
      <c r="KK79" s="242">
        <f t="shared" ref="KK79:KS79" si="191">+KC79+1</f>
        <v>2</v>
      </c>
      <c r="KL79" s="242">
        <f t="shared" si="191"/>
        <v>2</v>
      </c>
      <c r="KM79" s="242">
        <f t="shared" si="191"/>
        <v>2</v>
      </c>
      <c r="KN79" s="242">
        <f t="shared" si="191"/>
        <v>3</v>
      </c>
      <c r="KO79" s="242">
        <f t="shared" si="191"/>
        <v>3</v>
      </c>
      <c r="KP79" s="242">
        <f t="shared" si="191"/>
        <v>3</v>
      </c>
      <c r="KQ79" s="242">
        <f t="shared" si="191"/>
        <v>3</v>
      </c>
      <c r="KR79" s="242">
        <f t="shared" si="191"/>
        <v>3</v>
      </c>
      <c r="KS79" s="242">
        <f t="shared" si="191"/>
        <v>3</v>
      </c>
      <c r="KT79" s="242">
        <f t="shared" si="139"/>
        <v>3</v>
      </c>
      <c r="KU79" s="242">
        <f t="shared" si="139"/>
        <v>3</v>
      </c>
      <c r="KV79" s="243"/>
      <c r="KW79" s="242">
        <f t="shared" si="181"/>
        <v>4</v>
      </c>
      <c r="KX79" s="242">
        <f t="shared" si="181"/>
        <v>4</v>
      </c>
      <c r="KY79" s="242">
        <f t="shared" si="181"/>
        <v>4</v>
      </c>
      <c r="KZ79" s="242">
        <f t="shared" si="181"/>
        <v>4</v>
      </c>
      <c r="LA79" s="242">
        <f t="shared" si="181"/>
        <v>4</v>
      </c>
      <c r="LB79" s="242">
        <f t="shared" si="181"/>
        <v>4</v>
      </c>
      <c r="LC79" s="242">
        <f t="shared" si="181"/>
        <v>4</v>
      </c>
      <c r="LD79" s="242">
        <f t="shared" si="181"/>
        <v>4</v>
      </c>
      <c r="LE79" s="242">
        <f t="shared" si="139"/>
        <v>5</v>
      </c>
      <c r="LF79" s="242">
        <f t="shared" si="139"/>
        <v>5</v>
      </c>
      <c r="LG79" s="242">
        <f t="shared" si="139"/>
        <v>5</v>
      </c>
      <c r="LH79" s="242">
        <f t="shared" si="139"/>
        <v>5</v>
      </c>
      <c r="LI79" s="242">
        <f t="shared" si="139"/>
        <v>5</v>
      </c>
      <c r="LJ79" s="242">
        <f t="shared" si="187"/>
        <v>5</v>
      </c>
      <c r="LK79" s="242">
        <f t="shared" si="187"/>
        <v>5</v>
      </c>
      <c r="LL79" s="242">
        <f t="shared" si="187"/>
        <v>5</v>
      </c>
      <c r="LM79" s="242">
        <f t="shared" si="187"/>
        <v>6</v>
      </c>
      <c r="LN79" s="242">
        <f t="shared" si="187"/>
        <v>6</v>
      </c>
      <c r="LO79" s="242">
        <f t="shared" si="187"/>
        <v>6</v>
      </c>
      <c r="LP79" s="242">
        <f t="shared" si="187"/>
        <v>6</v>
      </c>
      <c r="LQ79" s="242">
        <f t="shared" si="187"/>
        <v>6</v>
      </c>
      <c r="LR79" s="242">
        <f t="shared" si="187"/>
        <v>6</v>
      </c>
      <c r="LS79" s="242">
        <f t="shared" si="187"/>
        <v>6</v>
      </c>
      <c r="LT79" s="242">
        <f t="shared" si="187"/>
        <v>6</v>
      </c>
      <c r="LU79" s="242">
        <f t="shared" si="187"/>
        <v>7</v>
      </c>
      <c r="LV79" s="242">
        <f t="shared" si="187"/>
        <v>7</v>
      </c>
      <c r="LW79" s="242">
        <f t="shared" si="187"/>
        <v>7</v>
      </c>
      <c r="LX79" s="242">
        <f t="shared" si="187"/>
        <v>7</v>
      </c>
      <c r="LY79" s="242">
        <f t="shared" si="187"/>
        <v>7</v>
      </c>
      <c r="LZ79" s="242">
        <f t="shared" si="131"/>
        <v>7</v>
      </c>
      <c r="MA79" s="242">
        <f t="shared" si="131"/>
        <v>7</v>
      </c>
      <c r="MB79" s="242">
        <f t="shared" si="131"/>
        <v>7</v>
      </c>
      <c r="MC79" s="242">
        <f t="shared" si="131"/>
        <v>8</v>
      </c>
      <c r="MD79" s="243"/>
      <c r="ME79" s="242">
        <f t="shared" si="183"/>
        <v>8</v>
      </c>
      <c r="MF79" s="242">
        <f t="shared" si="183"/>
        <v>8</v>
      </c>
      <c r="MG79" s="242">
        <f t="shared" si="183"/>
        <v>8</v>
      </c>
      <c r="MH79" s="242">
        <f t="shared" si="183"/>
        <v>8</v>
      </c>
      <c r="MI79" s="242">
        <f t="shared" si="183"/>
        <v>8</v>
      </c>
      <c r="MJ79" s="242">
        <f t="shared" si="183"/>
        <v>8</v>
      </c>
      <c r="MK79" s="242">
        <f t="shared" si="183"/>
        <v>8</v>
      </c>
      <c r="ML79" s="242">
        <f t="shared" si="183"/>
        <v>9</v>
      </c>
      <c r="MM79" s="242">
        <f t="shared" si="132"/>
        <v>9</v>
      </c>
      <c r="MN79" s="242">
        <f t="shared" si="132"/>
        <v>9</v>
      </c>
      <c r="MO79" s="242">
        <f t="shared" si="132"/>
        <v>9</v>
      </c>
      <c r="MP79" s="242">
        <f t="shared" si="132"/>
        <v>9</v>
      </c>
      <c r="MQ79" s="242">
        <f t="shared" si="132"/>
        <v>9</v>
      </c>
      <c r="MR79" s="242">
        <f t="shared" si="132"/>
        <v>9</v>
      </c>
      <c r="MS79" s="242">
        <f t="shared" si="132"/>
        <v>9</v>
      </c>
      <c r="MT79" s="242">
        <f t="shared" si="132"/>
        <v>10</v>
      </c>
      <c r="MU79" s="242">
        <f t="shared" si="132"/>
        <v>10</v>
      </c>
      <c r="MV79" s="242">
        <f t="shared" si="132"/>
        <v>10</v>
      </c>
      <c r="MW79" s="242">
        <f t="shared" si="132"/>
        <v>10</v>
      </c>
      <c r="MX79" s="243"/>
      <c r="MY79" s="242">
        <f t="shared" si="184"/>
        <v>10</v>
      </c>
      <c r="MZ79" s="242">
        <f t="shared" si="184"/>
        <v>10</v>
      </c>
      <c r="NA79" s="242">
        <f t="shared" si="184"/>
        <v>10</v>
      </c>
      <c r="NB79" s="242">
        <f t="shared" si="184"/>
        <v>10</v>
      </c>
      <c r="NC79" s="242">
        <f t="shared" si="184"/>
        <v>11</v>
      </c>
      <c r="ND79" s="242">
        <f t="shared" si="184"/>
        <v>11</v>
      </c>
      <c r="NE79" s="242">
        <f t="shared" si="184"/>
        <v>11</v>
      </c>
      <c r="NF79" s="242">
        <f t="shared" si="184"/>
        <v>11</v>
      </c>
      <c r="NG79" s="242">
        <f t="shared" si="142"/>
        <v>11</v>
      </c>
      <c r="NH79" s="242">
        <f t="shared" si="142"/>
        <v>11</v>
      </c>
      <c r="NI79" s="242">
        <f t="shared" si="142"/>
        <v>11</v>
      </c>
      <c r="NJ79" s="242">
        <f t="shared" si="142"/>
        <v>11</v>
      </c>
      <c r="NK79" s="242">
        <f t="shared" si="142"/>
        <v>12</v>
      </c>
      <c r="NL79" s="242">
        <f t="shared" si="143"/>
        <v>12</v>
      </c>
      <c r="NM79" s="242">
        <f t="shared" si="143"/>
        <v>12</v>
      </c>
      <c r="NN79" s="242">
        <f t="shared" si="143"/>
        <v>12</v>
      </c>
      <c r="NO79" s="242">
        <f t="shared" si="143"/>
        <v>12</v>
      </c>
      <c r="NP79" s="242">
        <f t="shared" si="142"/>
        <v>12</v>
      </c>
      <c r="NQ79" s="242">
        <f t="shared" si="142"/>
        <v>12</v>
      </c>
      <c r="NR79" s="242">
        <f t="shared" si="142"/>
        <v>12</v>
      </c>
      <c r="NS79" s="242">
        <f t="shared" si="142"/>
        <v>13</v>
      </c>
      <c r="NT79" s="242">
        <f t="shared" si="142"/>
        <v>13</v>
      </c>
      <c r="NU79" s="242">
        <f t="shared" si="142"/>
        <v>13</v>
      </c>
      <c r="NV79" s="242">
        <f t="shared" si="142"/>
        <v>13</v>
      </c>
      <c r="NW79" s="242">
        <f t="shared" si="143"/>
        <v>13</v>
      </c>
      <c r="NX79" s="242">
        <f t="shared" si="143"/>
        <v>13</v>
      </c>
      <c r="NY79" s="242">
        <f t="shared" si="143"/>
        <v>13</v>
      </c>
      <c r="NZ79" s="242">
        <f t="shared" si="143"/>
        <v>13</v>
      </c>
      <c r="OA79" s="242">
        <f t="shared" si="143"/>
        <v>14</v>
      </c>
      <c r="OB79" s="242">
        <f t="shared" si="173"/>
        <v>14</v>
      </c>
      <c r="OC79" s="242">
        <f t="shared" si="173"/>
        <v>14</v>
      </c>
      <c r="OD79" s="243"/>
      <c r="OE79" s="243"/>
      <c r="OF79" s="242">
        <f t="shared" si="185"/>
        <v>14</v>
      </c>
      <c r="OG79" s="242">
        <f t="shared" si="185"/>
        <v>14</v>
      </c>
      <c r="OH79" s="242">
        <f t="shared" si="185"/>
        <v>14</v>
      </c>
      <c r="OI79" s="242">
        <f t="shared" si="185"/>
        <v>14</v>
      </c>
      <c r="OJ79" s="242">
        <f t="shared" si="185"/>
        <v>14</v>
      </c>
      <c r="OK79" s="242">
        <f t="shared" si="185"/>
        <v>15</v>
      </c>
      <c r="OL79" s="242">
        <f t="shared" si="185"/>
        <v>15</v>
      </c>
      <c r="OM79" s="242">
        <f t="shared" si="185"/>
        <v>15</v>
      </c>
      <c r="ON79" s="242">
        <f t="shared" si="173"/>
        <v>15</v>
      </c>
      <c r="OO79" s="242">
        <f t="shared" si="173"/>
        <v>15</v>
      </c>
      <c r="OP79" s="242">
        <f t="shared" si="172"/>
        <v>15</v>
      </c>
      <c r="OQ79" s="242">
        <f t="shared" si="172"/>
        <v>15</v>
      </c>
      <c r="OR79" s="242">
        <f t="shared" si="172"/>
        <v>15</v>
      </c>
      <c r="OS79" s="243"/>
      <c r="OT79" s="242">
        <f t="shared" si="186"/>
        <v>16</v>
      </c>
      <c r="OU79" s="242">
        <f t="shared" si="186"/>
        <v>16</v>
      </c>
      <c r="OV79" s="242">
        <f t="shared" si="186"/>
        <v>16</v>
      </c>
      <c r="OW79" s="242">
        <f t="shared" si="186"/>
        <v>16</v>
      </c>
      <c r="OX79" s="242">
        <f>+OO79+1</f>
        <v>16</v>
      </c>
      <c r="OY79" s="243"/>
      <c r="OZ79" s="242">
        <f t="shared" si="188"/>
        <v>16</v>
      </c>
      <c r="PA79" s="242">
        <f t="shared" si="188"/>
        <v>16</v>
      </c>
      <c r="PB79" s="242">
        <f t="shared" si="188"/>
        <v>16</v>
      </c>
      <c r="PC79" s="242">
        <f t="shared" si="189"/>
        <v>17</v>
      </c>
      <c r="PD79" s="242">
        <f t="shared" si="189"/>
        <v>17</v>
      </c>
      <c r="PE79" s="242">
        <f t="shared" si="189"/>
        <v>17</v>
      </c>
      <c r="PF79" s="242">
        <f t="shared" si="189"/>
        <v>17</v>
      </c>
      <c r="PG79" s="242">
        <f t="shared" si="189"/>
        <v>17</v>
      </c>
      <c r="PH79" s="242">
        <f t="shared" si="190"/>
        <v>17</v>
      </c>
      <c r="PI79" s="242">
        <f t="shared" si="190"/>
        <v>17</v>
      </c>
      <c r="PJ79" s="242">
        <f t="shared" si="190"/>
        <v>17</v>
      </c>
      <c r="PK79" s="242"/>
      <c r="PL79" s="242"/>
      <c r="PM79" s="242"/>
      <c r="PN79" s="242"/>
      <c r="PO79" s="242"/>
      <c r="PP79" s="242"/>
      <c r="PQ79" s="242"/>
      <c r="PR79" s="242"/>
      <c r="PS79" s="242"/>
      <c r="PT79" s="242"/>
      <c r="PU79" s="242"/>
      <c r="PV79" s="242"/>
      <c r="PW79" s="242"/>
      <c r="PX79" s="242"/>
      <c r="PY79" s="242"/>
      <c r="PZ79" s="242"/>
      <c r="QA79" s="242"/>
      <c r="QB79" s="242"/>
      <c r="QC79" s="242"/>
      <c r="QD79" s="242"/>
      <c r="QE79" s="242"/>
      <c r="QF79" s="242"/>
      <c r="QG79" s="242"/>
      <c r="QH79" s="242"/>
      <c r="QI79" s="244"/>
    </row>
    <row r="80" spans="1:451" ht="18" customHeight="1" x14ac:dyDescent="0.2">
      <c r="A80" s="239" t="s">
        <v>466</v>
      </c>
      <c r="B80" s="245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242"/>
      <c r="AB80" s="242"/>
      <c r="AC80" s="243"/>
      <c r="AD80" s="242"/>
      <c r="AE80" s="242"/>
      <c r="AF80" s="242"/>
      <c r="AG80" s="242"/>
      <c r="AH80" s="242"/>
      <c r="AI80" s="242"/>
      <c r="AJ80" s="242"/>
      <c r="AK80" s="242"/>
      <c r="AL80" s="242"/>
      <c r="AM80" s="242"/>
      <c r="AN80" s="242"/>
      <c r="AO80" s="242"/>
      <c r="AP80" s="242"/>
      <c r="AQ80" s="242"/>
      <c r="AR80" s="243"/>
      <c r="AS80" s="242"/>
      <c r="AT80" s="242"/>
      <c r="AU80" s="242"/>
      <c r="AV80" s="242"/>
      <c r="AW80" s="242"/>
      <c r="AX80" s="242"/>
      <c r="AY80" s="242"/>
      <c r="AZ80" s="242"/>
      <c r="BA80" s="242"/>
      <c r="BB80" s="242"/>
      <c r="BC80" s="242"/>
      <c r="BD80" s="242"/>
      <c r="BE80" s="242"/>
      <c r="BF80" s="242"/>
      <c r="BG80" s="242"/>
      <c r="BH80" s="242"/>
      <c r="BI80" s="242"/>
      <c r="BJ80" s="242"/>
      <c r="BK80" s="242"/>
      <c r="BL80" s="242"/>
      <c r="BM80" s="242"/>
      <c r="BN80" s="242"/>
      <c r="BO80" s="242"/>
      <c r="BP80" s="242"/>
      <c r="BQ80" s="242"/>
      <c r="BR80" s="242"/>
      <c r="BS80" s="242"/>
      <c r="BT80" s="242"/>
      <c r="BU80" s="242"/>
      <c r="BV80" s="242"/>
      <c r="BW80" s="242"/>
      <c r="BX80" s="242"/>
      <c r="BY80" s="242"/>
      <c r="BZ80" s="242"/>
      <c r="CA80" s="242"/>
      <c r="CB80" s="242"/>
      <c r="CC80" s="243"/>
      <c r="CD80" s="243"/>
      <c r="CE80" s="242"/>
      <c r="CF80" s="242"/>
      <c r="CG80" s="242"/>
      <c r="CH80" s="242"/>
      <c r="CI80" s="242"/>
      <c r="CJ80" s="242"/>
      <c r="CK80" s="242"/>
      <c r="CL80" s="242"/>
      <c r="CM80" s="242"/>
      <c r="CN80" s="242"/>
      <c r="CO80" s="242"/>
      <c r="CP80" s="242"/>
      <c r="CQ80" s="242"/>
      <c r="CR80" s="243"/>
      <c r="CS80" s="242"/>
      <c r="CT80" s="242"/>
      <c r="CU80" s="242"/>
      <c r="CV80" s="242"/>
      <c r="CW80" s="242"/>
      <c r="CX80" s="243"/>
      <c r="CY80" s="242"/>
      <c r="CZ80" s="242"/>
      <c r="DA80" s="242"/>
      <c r="DB80" s="242"/>
      <c r="DC80" s="242"/>
      <c r="DD80" s="242"/>
      <c r="DE80" s="242"/>
      <c r="DF80" s="242"/>
      <c r="DG80" s="242"/>
      <c r="DH80" s="242"/>
      <c r="DI80" s="242"/>
      <c r="DJ80" s="242"/>
      <c r="DK80" s="242"/>
      <c r="DL80" s="242"/>
      <c r="DM80" s="242"/>
      <c r="DN80" s="242"/>
      <c r="DO80" s="242"/>
      <c r="DP80" s="242"/>
      <c r="DQ80" s="242"/>
      <c r="DR80" s="242"/>
      <c r="DS80" s="242"/>
      <c r="DT80" s="242"/>
      <c r="DU80" s="242"/>
      <c r="DV80" s="242"/>
      <c r="DW80" s="242"/>
      <c r="DX80" s="242"/>
      <c r="DY80" s="242"/>
      <c r="DZ80" s="242"/>
      <c r="EA80" s="242"/>
      <c r="EB80" s="242"/>
      <c r="EC80" s="242"/>
      <c r="ED80" s="242"/>
      <c r="EE80" s="242"/>
      <c r="EF80" s="242"/>
      <c r="EG80" s="242"/>
      <c r="EH80" s="242"/>
      <c r="EI80" s="242"/>
      <c r="EJ80" s="242"/>
      <c r="EK80" s="242"/>
      <c r="EL80" s="242"/>
      <c r="EM80" s="242"/>
      <c r="EN80" s="242"/>
      <c r="EO80" s="242"/>
      <c r="EP80" s="242"/>
      <c r="EQ80" s="242"/>
      <c r="ER80" s="242"/>
      <c r="ES80" s="242"/>
      <c r="ET80" s="242"/>
      <c r="EU80" s="242"/>
      <c r="EV80" s="242"/>
      <c r="EW80" s="242"/>
      <c r="EX80" s="242"/>
      <c r="EY80" s="242"/>
      <c r="EZ80" s="242"/>
      <c r="FA80" s="242"/>
      <c r="FB80" s="242"/>
      <c r="FC80" s="242"/>
      <c r="FD80" s="242"/>
      <c r="FE80" s="242"/>
      <c r="FF80" s="242"/>
      <c r="FG80" s="242"/>
      <c r="FH80" s="242"/>
      <c r="FI80" s="242"/>
      <c r="FJ80" s="242"/>
      <c r="FK80" s="242"/>
      <c r="FL80" s="242"/>
      <c r="FM80" s="242"/>
      <c r="FN80" s="242"/>
      <c r="FO80" s="242"/>
      <c r="FP80" s="242"/>
      <c r="FQ80" s="243"/>
      <c r="FR80" s="243"/>
      <c r="FS80" s="242"/>
      <c r="FT80" s="242"/>
      <c r="FU80" s="242"/>
      <c r="FV80" s="242"/>
      <c r="FW80" s="242"/>
      <c r="FX80" s="242"/>
      <c r="FY80" s="242"/>
      <c r="FZ80" s="242"/>
      <c r="GA80" s="242"/>
      <c r="GB80" s="242"/>
      <c r="GC80" s="242"/>
      <c r="GD80" s="242"/>
      <c r="GE80" s="242"/>
      <c r="GF80" s="242"/>
      <c r="GG80" s="242"/>
      <c r="GH80" s="242"/>
      <c r="GI80" s="242"/>
      <c r="GJ80" s="242"/>
      <c r="GK80" s="242"/>
      <c r="GL80" s="242"/>
      <c r="GM80" s="242"/>
      <c r="GN80" s="242"/>
      <c r="GO80" s="242"/>
      <c r="GP80" s="242"/>
      <c r="GQ80" s="242"/>
      <c r="GR80" s="242"/>
      <c r="GS80" s="242"/>
      <c r="GT80" s="242"/>
      <c r="GU80" s="242"/>
      <c r="GV80" s="242"/>
      <c r="GW80" s="243"/>
      <c r="GX80" s="242"/>
      <c r="GY80" s="242"/>
      <c r="GZ80" s="242"/>
      <c r="HA80" s="242"/>
      <c r="HB80" s="242"/>
      <c r="HC80" s="242"/>
      <c r="HD80" s="242"/>
      <c r="HE80" s="242"/>
      <c r="HF80" s="242"/>
      <c r="HG80" s="242"/>
      <c r="HH80" s="242"/>
      <c r="HI80" s="242"/>
      <c r="HJ80" s="242"/>
      <c r="HK80" s="242"/>
      <c r="HL80" s="242"/>
      <c r="HM80" s="242"/>
      <c r="HN80" s="242"/>
      <c r="HO80" s="242"/>
      <c r="HP80" s="242"/>
      <c r="HQ80" s="242"/>
      <c r="HR80" s="242"/>
      <c r="HS80" s="242"/>
      <c r="HT80" s="242"/>
      <c r="HU80" s="242"/>
      <c r="HV80" s="242"/>
      <c r="HW80" s="242"/>
      <c r="HX80" s="242"/>
      <c r="HY80" s="242"/>
      <c r="HZ80" s="242"/>
      <c r="IA80" s="242"/>
      <c r="IB80" s="242"/>
      <c r="IC80" s="242"/>
      <c r="ID80" s="242"/>
      <c r="IE80" s="242"/>
      <c r="IF80" s="242"/>
      <c r="IG80" s="242"/>
      <c r="IH80" s="242"/>
      <c r="II80" s="242"/>
      <c r="IJ80" s="242"/>
      <c r="IK80" s="242"/>
      <c r="IL80" s="242"/>
      <c r="IM80" s="242"/>
      <c r="IN80" s="242"/>
      <c r="IO80" s="242"/>
      <c r="IP80" s="242"/>
      <c r="IQ80" s="242"/>
      <c r="IR80" s="242"/>
      <c r="IS80" s="242"/>
      <c r="IT80" s="242"/>
      <c r="IU80" s="242"/>
      <c r="IV80" s="243"/>
      <c r="IW80" s="242"/>
      <c r="IX80" s="242"/>
      <c r="IY80" s="242"/>
      <c r="IZ80" s="242"/>
      <c r="JA80" s="242"/>
      <c r="JB80" s="242"/>
      <c r="JC80" s="242"/>
      <c r="JD80" s="242"/>
      <c r="JE80" s="242"/>
      <c r="JF80" s="242"/>
      <c r="JG80" s="242"/>
      <c r="JH80" s="242"/>
      <c r="JI80" s="242"/>
      <c r="JJ80" s="242"/>
      <c r="JK80" s="242"/>
      <c r="JL80" s="242"/>
      <c r="JM80" s="242"/>
      <c r="JN80" s="242"/>
      <c r="JO80" s="242"/>
      <c r="JP80" s="243"/>
      <c r="JQ80" s="242"/>
      <c r="JR80" s="242"/>
      <c r="JS80" s="242"/>
      <c r="JT80" s="243"/>
      <c r="JU80" s="243"/>
      <c r="JV80" s="242"/>
      <c r="JW80" s="242"/>
      <c r="JX80" s="242"/>
      <c r="JY80" s="242"/>
      <c r="JZ80" s="242"/>
      <c r="KA80" s="242"/>
      <c r="KB80" s="243"/>
      <c r="KC80" s="242"/>
      <c r="KD80" s="242"/>
      <c r="KE80" s="242"/>
      <c r="KF80" s="242"/>
      <c r="KG80" s="242"/>
      <c r="KH80" s="242"/>
      <c r="KI80" s="242"/>
      <c r="KJ80" s="242"/>
      <c r="KK80" s="242"/>
      <c r="KL80" s="242"/>
      <c r="KM80" s="242"/>
      <c r="KN80" s="242">
        <v>1</v>
      </c>
      <c r="KO80" s="242">
        <v>1</v>
      </c>
      <c r="KP80" s="242">
        <v>1</v>
      </c>
      <c r="KQ80" s="242">
        <v>1</v>
      </c>
      <c r="KR80" s="242">
        <v>1</v>
      </c>
      <c r="KS80" s="242">
        <v>1</v>
      </c>
      <c r="KT80" s="242">
        <v>1</v>
      </c>
      <c r="KU80" s="242">
        <v>1</v>
      </c>
      <c r="KV80" s="243"/>
      <c r="KW80" s="242">
        <f t="shared" si="181"/>
        <v>2</v>
      </c>
      <c r="KX80" s="242">
        <f t="shared" si="181"/>
        <v>2</v>
      </c>
      <c r="KY80" s="242">
        <f t="shared" si="181"/>
        <v>2</v>
      </c>
      <c r="KZ80" s="242">
        <f t="shared" si="181"/>
        <v>2</v>
      </c>
      <c r="LA80" s="242">
        <f t="shared" si="181"/>
        <v>2</v>
      </c>
      <c r="LB80" s="242">
        <f t="shared" si="181"/>
        <v>2</v>
      </c>
      <c r="LC80" s="242">
        <f t="shared" si="181"/>
        <v>2</v>
      </c>
      <c r="LD80" s="242">
        <f t="shared" si="181"/>
        <v>2</v>
      </c>
      <c r="LE80" s="242">
        <f t="shared" si="139"/>
        <v>3</v>
      </c>
      <c r="LF80" s="242">
        <f t="shared" si="139"/>
        <v>3</v>
      </c>
      <c r="LG80" s="242">
        <f t="shared" si="139"/>
        <v>3</v>
      </c>
      <c r="LH80" s="242">
        <f t="shared" si="139"/>
        <v>3</v>
      </c>
      <c r="LI80" s="242">
        <f t="shared" si="139"/>
        <v>3</v>
      </c>
      <c r="LJ80" s="242">
        <f t="shared" si="187"/>
        <v>3</v>
      </c>
      <c r="LK80" s="242">
        <f t="shared" si="187"/>
        <v>3</v>
      </c>
      <c r="LL80" s="242">
        <f t="shared" si="187"/>
        <v>3</v>
      </c>
      <c r="LM80" s="242">
        <f t="shared" si="187"/>
        <v>4</v>
      </c>
      <c r="LN80" s="242">
        <f t="shared" si="187"/>
        <v>4</v>
      </c>
      <c r="LO80" s="242">
        <f t="shared" si="187"/>
        <v>4</v>
      </c>
      <c r="LP80" s="242">
        <f t="shared" si="187"/>
        <v>4</v>
      </c>
      <c r="LQ80" s="242">
        <f t="shared" si="187"/>
        <v>4</v>
      </c>
      <c r="LR80" s="242">
        <f t="shared" si="187"/>
        <v>4</v>
      </c>
      <c r="LS80" s="242">
        <f t="shared" si="187"/>
        <v>4</v>
      </c>
      <c r="LT80" s="242">
        <f t="shared" si="187"/>
        <v>4</v>
      </c>
      <c r="LU80" s="242">
        <f t="shared" si="187"/>
        <v>5</v>
      </c>
      <c r="LV80" s="242">
        <f t="shared" si="187"/>
        <v>5</v>
      </c>
      <c r="LW80" s="242">
        <f t="shared" si="187"/>
        <v>5</v>
      </c>
      <c r="LX80" s="242">
        <f t="shared" si="187"/>
        <v>5</v>
      </c>
      <c r="LY80" s="242">
        <f t="shared" si="187"/>
        <v>5</v>
      </c>
      <c r="LZ80" s="242">
        <f t="shared" si="131"/>
        <v>5</v>
      </c>
      <c r="MA80" s="242">
        <f t="shared" si="131"/>
        <v>5</v>
      </c>
      <c r="MB80" s="242">
        <f t="shared" si="131"/>
        <v>5</v>
      </c>
      <c r="MC80" s="242">
        <f t="shared" si="131"/>
        <v>6</v>
      </c>
      <c r="MD80" s="243"/>
      <c r="ME80" s="242">
        <f t="shared" si="183"/>
        <v>6</v>
      </c>
      <c r="MF80" s="242">
        <f t="shared" si="183"/>
        <v>6</v>
      </c>
      <c r="MG80" s="242">
        <f t="shared" si="183"/>
        <v>6</v>
      </c>
      <c r="MH80" s="242">
        <f t="shared" si="183"/>
        <v>6</v>
      </c>
      <c r="MI80" s="242">
        <f t="shared" si="183"/>
        <v>6</v>
      </c>
      <c r="MJ80" s="242">
        <f t="shared" si="183"/>
        <v>6</v>
      </c>
      <c r="MK80" s="242">
        <f t="shared" si="183"/>
        <v>6</v>
      </c>
      <c r="ML80" s="242">
        <f t="shared" si="183"/>
        <v>7</v>
      </c>
      <c r="MM80" s="242">
        <f t="shared" si="132"/>
        <v>7</v>
      </c>
      <c r="MN80" s="242">
        <f t="shared" si="132"/>
        <v>7</v>
      </c>
      <c r="MO80" s="242">
        <f t="shared" si="132"/>
        <v>7</v>
      </c>
      <c r="MP80" s="242">
        <f t="shared" si="132"/>
        <v>7</v>
      </c>
      <c r="MQ80" s="242">
        <f t="shared" si="132"/>
        <v>7</v>
      </c>
      <c r="MR80" s="242">
        <f t="shared" si="132"/>
        <v>7</v>
      </c>
      <c r="MS80" s="242">
        <f t="shared" si="132"/>
        <v>7</v>
      </c>
      <c r="MT80" s="242">
        <f t="shared" si="132"/>
        <v>8</v>
      </c>
      <c r="MU80" s="242">
        <f t="shared" si="132"/>
        <v>8</v>
      </c>
      <c r="MV80" s="242">
        <f t="shared" si="132"/>
        <v>8</v>
      </c>
      <c r="MW80" s="242">
        <f t="shared" si="132"/>
        <v>8</v>
      </c>
      <c r="MX80" s="243"/>
      <c r="MY80" s="242">
        <f t="shared" si="184"/>
        <v>8</v>
      </c>
      <c r="MZ80" s="242">
        <f t="shared" si="184"/>
        <v>8</v>
      </c>
      <c r="NA80" s="242">
        <f t="shared" si="184"/>
        <v>8</v>
      </c>
      <c r="NB80" s="242">
        <f t="shared" si="184"/>
        <v>8</v>
      </c>
      <c r="NC80" s="242">
        <f t="shared" si="184"/>
        <v>9</v>
      </c>
      <c r="ND80" s="242">
        <f t="shared" si="184"/>
        <v>9</v>
      </c>
      <c r="NE80" s="242">
        <f t="shared" si="184"/>
        <v>9</v>
      </c>
      <c r="NF80" s="242">
        <f t="shared" si="184"/>
        <v>9</v>
      </c>
      <c r="NG80" s="242">
        <f t="shared" si="142"/>
        <v>9</v>
      </c>
      <c r="NH80" s="242">
        <f t="shared" si="142"/>
        <v>9</v>
      </c>
      <c r="NI80" s="242">
        <f t="shared" si="142"/>
        <v>9</v>
      </c>
      <c r="NJ80" s="242">
        <f t="shared" si="142"/>
        <v>9</v>
      </c>
      <c r="NK80" s="242">
        <f t="shared" si="142"/>
        <v>10</v>
      </c>
      <c r="NL80" s="242">
        <f t="shared" si="143"/>
        <v>10</v>
      </c>
      <c r="NM80" s="242">
        <f t="shared" si="143"/>
        <v>10</v>
      </c>
      <c r="NN80" s="242">
        <f t="shared" si="143"/>
        <v>10</v>
      </c>
      <c r="NO80" s="242">
        <f t="shared" si="143"/>
        <v>10</v>
      </c>
      <c r="NP80" s="242">
        <f t="shared" si="143"/>
        <v>10</v>
      </c>
      <c r="NQ80" s="242">
        <f t="shared" si="143"/>
        <v>10</v>
      </c>
      <c r="NR80" s="242">
        <f t="shared" si="143"/>
        <v>10</v>
      </c>
      <c r="NS80" s="242">
        <f t="shared" si="143"/>
        <v>11</v>
      </c>
      <c r="NT80" s="242">
        <f t="shared" si="143"/>
        <v>11</v>
      </c>
      <c r="NU80" s="242">
        <f t="shared" si="143"/>
        <v>11</v>
      </c>
      <c r="NV80" s="242">
        <f t="shared" si="143"/>
        <v>11</v>
      </c>
      <c r="NW80" s="242">
        <f t="shared" si="143"/>
        <v>11</v>
      </c>
      <c r="NX80" s="242">
        <f t="shared" si="143"/>
        <v>11</v>
      </c>
      <c r="NY80" s="242">
        <f t="shared" si="143"/>
        <v>11</v>
      </c>
      <c r="NZ80" s="242">
        <f t="shared" si="143"/>
        <v>11</v>
      </c>
      <c r="OA80" s="242">
        <f t="shared" si="143"/>
        <v>12</v>
      </c>
      <c r="OB80" s="242">
        <f t="shared" si="173"/>
        <v>12</v>
      </c>
      <c r="OC80" s="242">
        <f t="shared" si="173"/>
        <v>12</v>
      </c>
      <c r="OD80" s="243"/>
      <c r="OE80" s="243"/>
      <c r="OF80" s="242">
        <f t="shared" si="185"/>
        <v>12</v>
      </c>
      <c r="OG80" s="242">
        <f t="shared" si="185"/>
        <v>12</v>
      </c>
      <c r="OH80" s="242">
        <f t="shared" si="185"/>
        <v>12</v>
      </c>
      <c r="OI80" s="242">
        <f t="shared" si="185"/>
        <v>12</v>
      </c>
      <c r="OJ80" s="242">
        <f t="shared" si="185"/>
        <v>12</v>
      </c>
      <c r="OK80" s="242">
        <f t="shared" si="185"/>
        <v>13</v>
      </c>
      <c r="OL80" s="242">
        <f t="shared" si="185"/>
        <v>13</v>
      </c>
      <c r="OM80" s="242">
        <f t="shared" si="185"/>
        <v>13</v>
      </c>
      <c r="ON80" s="242">
        <f t="shared" si="173"/>
        <v>13</v>
      </c>
      <c r="OO80" s="242">
        <f t="shared" si="173"/>
        <v>13</v>
      </c>
      <c r="OP80" s="242">
        <f t="shared" si="172"/>
        <v>13</v>
      </c>
      <c r="OQ80" s="242">
        <f t="shared" si="172"/>
        <v>13</v>
      </c>
      <c r="OR80" s="242">
        <f t="shared" si="172"/>
        <v>13</v>
      </c>
      <c r="OS80" s="243"/>
      <c r="OT80" s="242">
        <f t="shared" si="186"/>
        <v>14</v>
      </c>
      <c r="OU80" s="242">
        <f t="shared" si="186"/>
        <v>14</v>
      </c>
      <c r="OV80" s="242">
        <f t="shared" si="186"/>
        <v>14</v>
      </c>
      <c r="OW80" s="242">
        <f t="shared" si="186"/>
        <v>14</v>
      </c>
      <c r="OX80" s="242">
        <f>+OO80+1</f>
        <v>14</v>
      </c>
      <c r="OY80" s="243"/>
      <c r="OZ80" s="242">
        <f t="shared" si="188"/>
        <v>14</v>
      </c>
      <c r="PA80" s="242">
        <f t="shared" si="188"/>
        <v>14</v>
      </c>
      <c r="PB80" s="242">
        <f t="shared" si="188"/>
        <v>14</v>
      </c>
      <c r="PC80" s="242">
        <f t="shared" si="189"/>
        <v>15</v>
      </c>
      <c r="PD80" s="242">
        <f t="shared" si="189"/>
        <v>15</v>
      </c>
      <c r="PE80" s="242">
        <f t="shared" si="189"/>
        <v>15</v>
      </c>
      <c r="PF80" s="242">
        <f t="shared" si="189"/>
        <v>15</v>
      </c>
      <c r="PG80" s="242">
        <f t="shared" si="189"/>
        <v>15</v>
      </c>
      <c r="PH80" s="242">
        <f t="shared" si="190"/>
        <v>15</v>
      </c>
      <c r="PI80" s="242">
        <f t="shared" si="190"/>
        <v>15</v>
      </c>
      <c r="PJ80" s="242">
        <f t="shared" si="190"/>
        <v>15</v>
      </c>
      <c r="PK80" s="242">
        <f t="shared" si="190"/>
        <v>16</v>
      </c>
      <c r="PL80" s="242">
        <f t="shared" si="190"/>
        <v>16</v>
      </c>
      <c r="PM80" s="242">
        <f t="shared" si="190"/>
        <v>16</v>
      </c>
      <c r="PN80" s="242">
        <f t="shared" si="190"/>
        <v>16</v>
      </c>
      <c r="PO80" s="242">
        <f t="shared" si="190"/>
        <v>16</v>
      </c>
      <c r="PP80" s="242">
        <f t="shared" si="190"/>
        <v>16</v>
      </c>
      <c r="PQ80" s="242">
        <f t="shared" si="190"/>
        <v>16</v>
      </c>
      <c r="PR80" s="242">
        <f t="shared" si="190"/>
        <v>16</v>
      </c>
      <c r="PS80" s="242">
        <f t="shared" si="190"/>
        <v>17</v>
      </c>
      <c r="PT80" s="242">
        <f t="shared" si="190"/>
        <v>17</v>
      </c>
      <c r="PU80" s="242">
        <f t="shared" si="190"/>
        <v>17</v>
      </c>
      <c r="PV80" s="242">
        <f t="shared" si="190"/>
        <v>17</v>
      </c>
      <c r="PW80" s="242">
        <f t="shared" si="190"/>
        <v>17</v>
      </c>
      <c r="PX80" s="242">
        <f t="shared" ref="PX80:PZ80" si="192">+PP80+1</f>
        <v>17</v>
      </c>
      <c r="PY80" s="242">
        <f t="shared" si="192"/>
        <v>17</v>
      </c>
      <c r="PZ80" s="242">
        <f t="shared" si="192"/>
        <v>17</v>
      </c>
      <c r="QA80" s="242"/>
      <c r="QB80" s="242"/>
      <c r="QC80" s="242"/>
      <c r="QD80" s="242"/>
      <c r="QE80" s="242"/>
      <c r="QF80" s="242"/>
      <c r="QG80" s="242"/>
      <c r="QH80" s="242"/>
      <c r="QI80" s="244"/>
    </row>
    <row r="81" spans="1:451" ht="18" customHeight="1" x14ac:dyDescent="0.2">
      <c r="A81" s="239" t="s">
        <v>467</v>
      </c>
      <c r="B81" s="245"/>
      <c r="C81" s="242"/>
      <c r="D81" s="242"/>
      <c r="E81" s="242"/>
      <c r="F81" s="242"/>
      <c r="G81" s="242"/>
      <c r="H81" s="242"/>
      <c r="I81" s="242"/>
      <c r="J81" s="242"/>
      <c r="K81" s="242"/>
      <c r="L81" s="242"/>
      <c r="M81" s="242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242"/>
      <c r="AA81" s="242"/>
      <c r="AB81" s="242"/>
      <c r="AC81" s="243"/>
      <c r="AD81" s="242"/>
      <c r="AE81" s="242"/>
      <c r="AF81" s="242"/>
      <c r="AG81" s="242"/>
      <c r="AH81" s="242"/>
      <c r="AI81" s="242"/>
      <c r="AJ81" s="242"/>
      <c r="AK81" s="242"/>
      <c r="AL81" s="242"/>
      <c r="AM81" s="242"/>
      <c r="AN81" s="242"/>
      <c r="AO81" s="242"/>
      <c r="AP81" s="242"/>
      <c r="AQ81" s="242"/>
      <c r="AR81" s="243"/>
      <c r="AS81" s="242"/>
      <c r="AT81" s="242"/>
      <c r="AU81" s="242"/>
      <c r="AV81" s="242"/>
      <c r="AW81" s="242"/>
      <c r="AX81" s="242"/>
      <c r="AY81" s="242"/>
      <c r="AZ81" s="242"/>
      <c r="BA81" s="242"/>
      <c r="BB81" s="242"/>
      <c r="BC81" s="242"/>
      <c r="BD81" s="242"/>
      <c r="BE81" s="242"/>
      <c r="BF81" s="242"/>
      <c r="BG81" s="242"/>
      <c r="BH81" s="242"/>
      <c r="BI81" s="242"/>
      <c r="BJ81" s="242"/>
      <c r="BK81" s="242"/>
      <c r="BL81" s="242"/>
      <c r="BM81" s="242"/>
      <c r="BN81" s="242"/>
      <c r="BO81" s="242"/>
      <c r="BP81" s="242"/>
      <c r="BQ81" s="242"/>
      <c r="BR81" s="242"/>
      <c r="BS81" s="242"/>
      <c r="BT81" s="242"/>
      <c r="BU81" s="242"/>
      <c r="BV81" s="242"/>
      <c r="BW81" s="242"/>
      <c r="BX81" s="242"/>
      <c r="BY81" s="242"/>
      <c r="BZ81" s="242"/>
      <c r="CA81" s="242"/>
      <c r="CB81" s="242"/>
      <c r="CC81" s="243"/>
      <c r="CD81" s="243"/>
      <c r="CE81" s="242"/>
      <c r="CF81" s="242"/>
      <c r="CG81" s="242"/>
      <c r="CH81" s="242"/>
      <c r="CI81" s="242"/>
      <c r="CJ81" s="242"/>
      <c r="CK81" s="242"/>
      <c r="CL81" s="242"/>
      <c r="CM81" s="242"/>
      <c r="CN81" s="242"/>
      <c r="CO81" s="242"/>
      <c r="CP81" s="242"/>
      <c r="CQ81" s="242"/>
      <c r="CR81" s="243"/>
      <c r="CS81" s="242"/>
      <c r="CT81" s="242"/>
      <c r="CU81" s="242"/>
      <c r="CV81" s="242"/>
      <c r="CW81" s="242"/>
      <c r="CX81" s="243"/>
      <c r="CY81" s="242"/>
      <c r="CZ81" s="242"/>
      <c r="DA81" s="242"/>
      <c r="DB81" s="242"/>
      <c r="DC81" s="242"/>
      <c r="DD81" s="242"/>
      <c r="DE81" s="242"/>
      <c r="DF81" s="242"/>
      <c r="DG81" s="242"/>
      <c r="DH81" s="242"/>
      <c r="DI81" s="242"/>
      <c r="DJ81" s="242"/>
      <c r="DK81" s="242"/>
      <c r="DL81" s="242"/>
      <c r="DM81" s="242"/>
      <c r="DN81" s="242"/>
      <c r="DO81" s="242"/>
      <c r="DP81" s="242"/>
      <c r="DQ81" s="242"/>
      <c r="DR81" s="242"/>
      <c r="DS81" s="242"/>
      <c r="DT81" s="242"/>
      <c r="DU81" s="242"/>
      <c r="DV81" s="242"/>
      <c r="DW81" s="242"/>
      <c r="DX81" s="242"/>
      <c r="DY81" s="242"/>
      <c r="DZ81" s="242"/>
      <c r="EA81" s="242"/>
      <c r="EB81" s="242"/>
      <c r="EC81" s="242"/>
      <c r="ED81" s="242"/>
      <c r="EE81" s="242"/>
      <c r="EF81" s="242"/>
      <c r="EG81" s="242"/>
      <c r="EH81" s="242"/>
      <c r="EI81" s="242"/>
      <c r="EJ81" s="242"/>
      <c r="EK81" s="242"/>
      <c r="EL81" s="242"/>
      <c r="EM81" s="242"/>
      <c r="EN81" s="242"/>
      <c r="EO81" s="242"/>
      <c r="EP81" s="242"/>
      <c r="EQ81" s="242"/>
      <c r="ER81" s="242"/>
      <c r="ES81" s="242"/>
      <c r="ET81" s="242"/>
      <c r="EU81" s="242"/>
      <c r="EV81" s="242"/>
      <c r="EW81" s="242"/>
      <c r="EX81" s="242"/>
      <c r="EY81" s="242"/>
      <c r="EZ81" s="242"/>
      <c r="FA81" s="242"/>
      <c r="FB81" s="242"/>
      <c r="FC81" s="242"/>
      <c r="FD81" s="242"/>
      <c r="FE81" s="242"/>
      <c r="FF81" s="242"/>
      <c r="FG81" s="242"/>
      <c r="FH81" s="242"/>
      <c r="FI81" s="242"/>
      <c r="FJ81" s="242"/>
      <c r="FK81" s="242"/>
      <c r="FL81" s="242"/>
      <c r="FM81" s="242"/>
      <c r="FN81" s="242"/>
      <c r="FO81" s="242"/>
      <c r="FP81" s="242"/>
      <c r="FQ81" s="243"/>
      <c r="FR81" s="243"/>
      <c r="FS81" s="242"/>
      <c r="FT81" s="242"/>
      <c r="FU81" s="242"/>
      <c r="FV81" s="242"/>
      <c r="FW81" s="242"/>
      <c r="FX81" s="242"/>
      <c r="FY81" s="242"/>
      <c r="FZ81" s="242"/>
      <c r="GA81" s="242"/>
      <c r="GB81" s="242"/>
      <c r="GC81" s="242"/>
      <c r="GD81" s="242"/>
      <c r="GE81" s="242"/>
      <c r="GF81" s="242"/>
      <c r="GG81" s="242"/>
      <c r="GH81" s="242"/>
      <c r="GI81" s="242"/>
      <c r="GJ81" s="242"/>
      <c r="GK81" s="242"/>
      <c r="GL81" s="242"/>
      <c r="GM81" s="242"/>
      <c r="GN81" s="242"/>
      <c r="GO81" s="242"/>
      <c r="GP81" s="242"/>
      <c r="GQ81" s="242"/>
      <c r="GR81" s="242"/>
      <c r="GS81" s="242"/>
      <c r="GT81" s="242"/>
      <c r="GU81" s="242"/>
      <c r="GV81" s="242"/>
      <c r="GW81" s="243"/>
      <c r="GX81" s="242"/>
      <c r="GY81" s="242"/>
      <c r="GZ81" s="242"/>
      <c r="HA81" s="242"/>
      <c r="HB81" s="242"/>
      <c r="HC81" s="242"/>
      <c r="HD81" s="242"/>
      <c r="HE81" s="242"/>
      <c r="HF81" s="242"/>
      <c r="HG81" s="242"/>
      <c r="HH81" s="242"/>
      <c r="HI81" s="242"/>
      <c r="HJ81" s="242"/>
      <c r="HK81" s="242"/>
      <c r="HL81" s="242"/>
      <c r="HM81" s="242"/>
      <c r="HN81" s="242"/>
      <c r="HO81" s="242"/>
      <c r="HP81" s="242"/>
      <c r="HQ81" s="242"/>
      <c r="HR81" s="242"/>
      <c r="HS81" s="242"/>
      <c r="HT81" s="242"/>
      <c r="HU81" s="242"/>
      <c r="HV81" s="242"/>
      <c r="HW81" s="242"/>
      <c r="HX81" s="242"/>
      <c r="HY81" s="242"/>
      <c r="HZ81" s="242"/>
      <c r="IA81" s="242"/>
      <c r="IB81" s="242"/>
      <c r="IC81" s="242"/>
      <c r="ID81" s="242"/>
      <c r="IE81" s="242"/>
      <c r="IF81" s="242"/>
      <c r="IG81" s="242"/>
      <c r="IH81" s="242"/>
      <c r="II81" s="242"/>
      <c r="IJ81" s="242"/>
      <c r="IK81" s="242"/>
      <c r="IL81" s="242"/>
      <c r="IM81" s="242"/>
      <c r="IN81" s="242"/>
      <c r="IO81" s="242"/>
      <c r="IP81" s="242"/>
      <c r="IQ81" s="242"/>
      <c r="IR81" s="242"/>
      <c r="IS81" s="242"/>
      <c r="IT81" s="242"/>
      <c r="IU81" s="242"/>
      <c r="IV81" s="243"/>
      <c r="IW81" s="242"/>
      <c r="IX81" s="242"/>
      <c r="IY81" s="242"/>
      <c r="IZ81" s="242"/>
      <c r="JA81" s="242"/>
      <c r="JB81" s="242"/>
      <c r="JC81" s="242"/>
      <c r="JD81" s="242"/>
      <c r="JE81" s="242"/>
      <c r="JF81" s="242"/>
      <c r="JG81" s="242"/>
      <c r="JH81" s="242"/>
      <c r="JI81" s="242"/>
      <c r="JJ81" s="242"/>
      <c r="JK81" s="242"/>
      <c r="JL81" s="242"/>
      <c r="JM81" s="242"/>
      <c r="JN81" s="242"/>
      <c r="JO81" s="242"/>
      <c r="JP81" s="243"/>
      <c r="JQ81" s="242"/>
      <c r="JR81" s="242"/>
      <c r="JS81" s="242"/>
      <c r="JT81" s="243"/>
      <c r="JU81" s="243"/>
      <c r="JV81" s="242"/>
      <c r="JW81" s="242"/>
      <c r="JX81" s="242"/>
      <c r="JY81" s="242"/>
      <c r="JZ81" s="242"/>
      <c r="KA81" s="242"/>
      <c r="KB81" s="243"/>
      <c r="KC81" s="242"/>
      <c r="KD81" s="242"/>
      <c r="KE81" s="242"/>
      <c r="KF81" s="242"/>
      <c r="KG81" s="242"/>
      <c r="KH81" s="242"/>
      <c r="KI81" s="242"/>
      <c r="KJ81" s="242"/>
      <c r="KK81" s="242"/>
      <c r="KL81" s="242"/>
      <c r="KM81" s="242"/>
      <c r="KN81" s="242"/>
      <c r="KO81" s="242"/>
      <c r="KP81" s="242"/>
      <c r="KQ81" s="242"/>
      <c r="KR81" s="242"/>
      <c r="KS81" s="242"/>
      <c r="KT81" s="242"/>
      <c r="KU81" s="242"/>
      <c r="KV81" s="243"/>
      <c r="KW81" s="242"/>
      <c r="KX81" s="242"/>
      <c r="KY81" s="242"/>
      <c r="KZ81" s="242"/>
      <c r="LA81" s="242"/>
      <c r="LB81" s="242"/>
      <c r="LC81" s="242"/>
      <c r="LD81" s="242"/>
      <c r="LE81" s="242"/>
      <c r="LF81" s="242"/>
      <c r="LG81" s="242"/>
      <c r="LH81" s="242"/>
      <c r="LI81" s="242"/>
      <c r="LJ81" s="242"/>
      <c r="LK81" s="242"/>
      <c r="LL81" s="242"/>
      <c r="LM81" s="242"/>
      <c r="LN81" s="242"/>
      <c r="LO81" s="242"/>
      <c r="LP81" s="242"/>
      <c r="LQ81" s="242"/>
      <c r="LR81" s="242"/>
      <c r="LS81" s="242"/>
      <c r="LT81" s="242"/>
      <c r="LU81" s="242"/>
      <c r="LV81" s="242"/>
      <c r="LW81" s="242"/>
      <c r="LX81" s="242"/>
      <c r="LY81" s="242"/>
      <c r="LZ81" s="242"/>
      <c r="MA81" s="242"/>
      <c r="MB81" s="242"/>
      <c r="MC81" s="242"/>
      <c r="MD81" s="243"/>
      <c r="ME81" s="242"/>
      <c r="MF81" s="242"/>
      <c r="MG81" s="242"/>
      <c r="MH81" s="242"/>
      <c r="MI81" s="242"/>
      <c r="MJ81" s="242"/>
      <c r="MK81" s="242"/>
      <c r="ML81" s="242"/>
      <c r="MM81" s="242"/>
      <c r="MN81" s="242"/>
      <c r="MO81" s="242"/>
      <c r="MP81" s="242"/>
      <c r="MQ81" s="242"/>
      <c r="MR81" s="242"/>
      <c r="MS81" s="242"/>
      <c r="MT81" s="242"/>
      <c r="MU81" s="242"/>
      <c r="MV81" s="242"/>
      <c r="MW81" s="242"/>
      <c r="MX81" s="243"/>
      <c r="MY81" s="242"/>
      <c r="MZ81" s="242"/>
      <c r="NA81" s="242"/>
      <c r="NB81" s="242"/>
      <c r="NC81" s="242"/>
      <c r="ND81" s="242"/>
      <c r="NE81" s="242"/>
      <c r="NF81" s="242"/>
      <c r="NG81" s="242"/>
      <c r="NH81" s="242"/>
      <c r="NI81" s="242"/>
      <c r="NJ81" s="242"/>
      <c r="NK81" s="242"/>
      <c r="NL81" s="242"/>
      <c r="NM81" s="242"/>
      <c r="NN81" s="242"/>
      <c r="NO81" s="242"/>
      <c r="NP81" s="242"/>
      <c r="NQ81" s="242"/>
      <c r="NR81" s="242"/>
      <c r="NS81" s="242"/>
      <c r="NT81" s="242"/>
      <c r="NU81" s="242"/>
      <c r="NV81" s="242"/>
      <c r="NW81" s="242"/>
      <c r="NX81" s="242"/>
      <c r="NY81" s="242"/>
      <c r="NZ81" s="242"/>
      <c r="OA81" s="242"/>
      <c r="OB81" s="242"/>
      <c r="OC81" s="242"/>
      <c r="OD81" s="243"/>
      <c r="OE81" s="243"/>
      <c r="OF81" s="242"/>
      <c r="OG81" s="242"/>
      <c r="OH81" s="242"/>
      <c r="OI81" s="242"/>
      <c r="OJ81" s="242"/>
      <c r="OK81" s="242"/>
      <c r="OL81" s="242"/>
      <c r="OM81" s="242"/>
      <c r="ON81" s="242"/>
      <c r="OO81" s="242"/>
      <c r="OP81" s="242"/>
      <c r="OQ81" s="242"/>
      <c r="OR81" s="242"/>
      <c r="OS81" s="243"/>
      <c r="OT81" s="242">
        <v>6</v>
      </c>
      <c r="OU81" s="242">
        <v>12</v>
      </c>
      <c r="OV81" s="242">
        <v>18</v>
      </c>
      <c r="OW81" s="242">
        <v>24</v>
      </c>
      <c r="OX81" s="242">
        <v>30</v>
      </c>
      <c r="OY81" s="243"/>
      <c r="OZ81" s="242">
        <f t="shared" ref="OZ81:PF82" si="193">+OY81+6</f>
        <v>6</v>
      </c>
      <c r="PA81" s="242">
        <f t="shared" si="193"/>
        <v>12</v>
      </c>
      <c r="PB81" s="242">
        <f t="shared" si="193"/>
        <v>18</v>
      </c>
      <c r="PC81" s="242">
        <f t="shared" si="193"/>
        <v>24</v>
      </c>
      <c r="PD81" s="242">
        <f t="shared" si="193"/>
        <v>30</v>
      </c>
      <c r="PE81" s="242">
        <f t="shared" si="193"/>
        <v>36</v>
      </c>
      <c r="PF81" s="242">
        <f>+PE81+6</f>
        <v>42</v>
      </c>
      <c r="PG81" s="242">
        <f t="shared" ref="PG81:PY82" si="194">+PF81+6</f>
        <v>48</v>
      </c>
      <c r="PH81" s="242">
        <f t="shared" si="194"/>
        <v>54</v>
      </c>
      <c r="PI81" s="242">
        <f t="shared" si="194"/>
        <v>60</v>
      </c>
      <c r="PJ81" s="242">
        <f t="shared" si="194"/>
        <v>66</v>
      </c>
      <c r="PK81" s="242">
        <f t="shared" si="194"/>
        <v>72</v>
      </c>
      <c r="PL81" s="242">
        <f t="shared" si="194"/>
        <v>78</v>
      </c>
      <c r="PM81" s="242">
        <f t="shared" si="194"/>
        <v>84</v>
      </c>
      <c r="PN81" s="242">
        <f t="shared" si="194"/>
        <v>90</v>
      </c>
      <c r="PO81" s="242">
        <f t="shared" si="194"/>
        <v>96</v>
      </c>
      <c r="PP81" s="242">
        <f t="shared" si="194"/>
        <v>102</v>
      </c>
      <c r="PQ81" s="242">
        <f t="shared" si="194"/>
        <v>108</v>
      </c>
      <c r="PR81" s="242">
        <f t="shared" si="194"/>
        <v>114</v>
      </c>
      <c r="PS81" s="242">
        <f t="shared" si="194"/>
        <v>120</v>
      </c>
      <c r="PT81" s="242">
        <f t="shared" si="194"/>
        <v>126</v>
      </c>
      <c r="PU81" s="242">
        <f t="shared" si="194"/>
        <v>132</v>
      </c>
      <c r="PV81" s="242">
        <f t="shared" si="194"/>
        <v>138</v>
      </c>
      <c r="PW81" s="242">
        <f t="shared" si="194"/>
        <v>144</v>
      </c>
      <c r="PX81" s="242">
        <f t="shared" si="194"/>
        <v>150</v>
      </c>
      <c r="PY81" s="242">
        <f t="shared" si="194"/>
        <v>156</v>
      </c>
      <c r="PZ81" s="242">
        <v>190</v>
      </c>
      <c r="QA81" s="242"/>
      <c r="QB81" s="242"/>
      <c r="QC81" s="242"/>
      <c r="QD81" s="242"/>
      <c r="QE81" s="242"/>
      <c r="QF81" s="242"/>
      <c r="QG81" s="242"/>
      <c r="QH81" s="242"/>
      <c r="QI81" s="244"/>
    </row>
    <row r="82" spans="1:451" ht="18" customHeight="1" x14ac:dyDescent="0.2">
      <c r="A82" s="239" t="s">
        <v>468</v>
      </c>
      <c r="B82" s="245"/>
      <c r="C82" s="242"/>
      <c r="D82" s="242"/>
      <c r="E82" s="242"/>
      <c r="F82" s="242"/>
      <c r="G82" s="242"/>
      <c r="H82" s="242"/>
      <c r="I82" s="242"/>
      <c r="J82" s="242"/>
      <c r="K82" s="242"/>
      <c r="L82" s="242"/>
      <c r="M82" s="242"/>
      <c r="N82" s="242"/>
      <c r="O82" s="242"/>
      <c r="P82" s="242"/>
      <c r="Q82" s="242"/>
      <c r="R82" s="242"/>
      <c r="S82" s="242"/>
      <c r="T82" s="242"/>
      <c r="U82" s="242"/>
      <c r="V82" s="242"/>
      <c r="W82" s="242"/>
      <c r="X82" s="242"/>
      <c r="Y82" s="242"/>
      <c r="Z82" s="242"/>
      <c r="AA82" s="242"/>
      <c r="AB82" s="242"/>
      <c r="AC82" s="243"/>
      <c r="AD82" s="242"/>
      <c r="AE82" s="242"/>
      <c r="AF82" s="242"/>
      <c r="AG82" s="242"/>
      <c r="AH82" s="242"/>
      <c r="AI82" s="242"/>
      <c r="AJ82" s="242"/>
      <c r="AK82" s="242"/>
      <c r="AL82" s="242"/>
      <c r="AM82" s="242"/>
      <c r="AN82" s="242"/>
      <c r="AO82" s="242"/>
      <c r="AP82" s="242"/>
      <c r="AQ82" s="242"/>
      <c r="AR82" s="243"/>
      <c r="AS82" s="242"/>
      <c r="AT82" s="242"/>
      <c r="AU82" s="242"/>
      <c r="AV82" s="242"/>
      <c r="AW82" s="242"/>
      <c r="AX82" s="242"/>
      <c r="AY82" s="242"/>
      <c r="AZ82" s="242"/>
      <c r="BA82" s="242"/>
      <c r="BB82" s="242"/>
      <c r="BC82" s="242"/>
      <c r="BD82" s="242"/>
      <c r="BE82" s="242"/>
      <c r="BF82" s="242"/>
      <c r="BG82" s="242"/>
      <c r="BH82" s="242"/>
      <c r="BI82" s="242"/>
      <c r="BJ82" s="242"/>
      <c r="BK82" s="242"/>
      <c r="BL82" s="242"/>
      <c r="BM82" s="242"/>
      <c r="BN82" s="242"/>
      <c r="BO82" s="242"/>
      <c r="BP82" s="242"/>
      <c r="BQ82" s="242"/>
      <c r="BR82" s="242"/>
      <c r="BS82" s="242"/>
      <c r="BT82" s="242"/>
      <c r="BU82" s="242"/>
      <c r="BV82" s="242"/>
      <c r="BW82" s="242"/>
      <c r="BX82" s="242"/>
      <c r="BY82" s="242"/>
      <c r="BZ82" s="242"/>
      <c r="CA82" s="242"/>
      <c r="CB82" s="242"/>
      <c r="CC82" s="243"/>
      <c r="CD82" s="243"/>
      <c r="CE82" s="242"/>
      <c r="CF82" s="242"/>
      <c r="CG82" s="242"/>
      <c r="CH82" s="242"/>
      <c r="CI82" s="242"/>
      <c r="CJ82" s="242"/>
      <c r="CK82" s="242"/>
      <c r="CL82" s="242"/>
      <c r="CM82" s="242"/>
      <c r="CN82" s="242"/>
      <c r="CO82" s="242"/>
      <c r="CP82" s="242"/>
      <c r="CQ82" s="242"/>
      <c r="CR82" s="243"/>
      <c r="CS82" s="242"/>
      <c r="CT82" s="242"/>
      <c r="CU82" s="242"/>
      <c r="CV82" s="242"/>
      <c r="CW82" s="242"/>
      <c r="CX82" s="243"/>
      <c r="CY82" s="242"/>
      <c r="CZ82" s="242"/>
      <c r="DA82" s="242"/>
      <c r="DB82" s="242"/>
      <c r="DC82" s="242"/>
      <c r="DD82" s="242"/>
      <c r="DE82" s="242"/>
      <c r="DF82" s="242"/>
      <c r="DG82" s="242"/>
      <c r="DH82" s="242"/>
      <c r="DI82" s="242"/>
      <c r="DJ82" s="242"/>
      <c r="DK82" s="242"/>
      <c r="DL82" s="242"/>
      <c r="DM82" s="242"/>
      <c r="DN82" s="242"/>
      <c r="DO82" s="242"/>
      <c r="DP82" s="242"/>
      <c r="DQ82" s="242"/>
      <c r="DR82" s="242"/>
      <c r="DS82" s="242"/>
      <c r="DT82" s="242"/>
      <c r="DU82" s="242"/>
      <c r="DV82" s="242"/>
      <c r="DW82" s="242"/>
      <c r="DX82" s="242"/>
      <c r="DY82" s="242"/>
      <c r="DZ82" s="242"/>
      <c r="EA82" s="242"/>
      <c r="EB82" s="242"/>
      <c r="EC82" s="242"/>
      <c r="ED82" s="242"/>
      <c r="EE82" s="242"/>
      <c r="EF82" s="242"/>
      <c r="EG82" s="242"/>
      <c r="EH82" s="242"/>
      <c r="EI82" s="242"/>
      <c r="EJ82" s="242"/>
      <c r="EK82" s="242"/>
      <c r="EL82" s="242"/>
      <c r="EM82" s="242"/>
      <c r="EN82" s="242"/>
      <c r="EO82" s="242"/>
      <c r="EP82" s="242"/>
      <c r="EQ82" s="242"/>
      <c r="ER82" s="242"/>
      <c r="ES82" s="242"/>
      <c r="ET82" s="242"/>
      <c r="EU82" s="242"/>
      <c r="EV82" s="242"/>
      <c r="EW82" s="242"/>
      <c r="EX82" s="242"/>
      <c r="EY82" s="242"/>
      <c r="EZ82" s="242"/>
      <c r="FA82" s="242"/>
      <c r="FB82" s="242"/>
      <c r="FC82" s="242"/>
      <c r="FD82" s="242"/>
      <c r="FE82" s="242"/>
      <c r="FF82" s="242"/>
      <c r="FG82" s="242"/>
      <c r="FH82" s="242"/>
      <c r="FI82" s="242"/>
      <c r="FJ82" s="242"/>
      <c r="FK82" s="242"/>
      <c r="FL82" s="242"/>
      <c r="FM82" s="242"/>
      <c r="FN82" s="242"/>
      <c r="FO82" s="242"/>
      <c r="FP82" s="242"/>
      <c r="FQ82" s="243"/>
      <c r="FR82" s="243"/>
      <c r="FS82" s="242"/>
      <c r="FT82" s="242"/>
      <c r="FU82" s="242"/>
      <c r="FV82" s="242"/>
      <c r="FW82" s="242"/>
      <c r="FX82" s="242"/>
      <c r="FY82" s="242"/>
      <c r="FZ82" s="242"/>
      <c r="GA82" s="242"/>
      <c r="GB82" s="242"/>
      <c r="GC82" s="242"/>
      <c r="GD82" s="242"/>
      <c r="GE82" s="242"/>
      <c r="GF82" s="242"/>
      <c r="GG82" s="242"/>
      <c r="GH82" s="242"/>
      <c r="GI82" s="242"/>
      <c r="GJ82" s="242"/>
      <c r="GK82" s="242"/>
      <c r="GL82" s="242"/>
      <c r="GM82" s="242"/>
      <c r="GN82" s="242"/>
      <c r="GO82" s="242"/>
      <c r="GP82" s="242"/>
      <c r="GQ82" s="242"/>
      <c r="GR82" s="242"/>
      <c r="GS82" s="242"/>
      <c r="GT82" s="242"/>
      <c r="GU82" s="242"/>
      <c r="GV82" s="242"/>
      <c r="GW82" s="243"/>
      <c r="GX82" s="242"/>
      <c r="GY82" s="242"/>
      <c r="GZ82" s="242"/>
      <c r="HA82" s="242"/>
      <c r="HB82" s="242"/>
      <c r="HC82" s="242"/>
      <c r="HD82" s="242"/>
      <c r="HE82" s="242"/>
      <c r="HF82" s="242"/>
      <c r="HG82" s="242"/>
      <c r="HH82" s="242"/>
      <c r="HI82" s="242"/>
      <c r="HJ82" s="242"/>
      <c r="HK82" s="242"/>
      <c r="HL82" s="242"/>
      <c r="HM82" s="242"/>
      <c r="HN82" s="242"/>
      <c r="HO82" s="242"/>
      <c r="HP82" s="242"/>
      <c r="HQ82" s="242"/>
      <c r="HR82" s="242"/>
      <c r="HS82" s="242"/>
      <c r="HT82" s="242"/>
      <c r="HU82" s="242"/>
      <c r="HV82" s="242"/>
      <c r="HW82" s="242"/>
      <c r="HX82" s="242"/>
      <c r="HY82" s="242"/>
      <c r="HZ82" s="242"/>
      <c r="IA82" s="242"/>
      <c r="IB82" s="242"/>
      <c r="IC82" s="242"/>
      <c r="ID82" s="242"/>
      <c r="IE82" s="242"/>
      <c r="IF82" s="242"/>
      <c r="IG82" s="242"/>
      <c r="IH82" s="242"/>
      <c r="II82" s="242"/>
      <c r="IJ82" s="242"/>
      <c r="IK82" s="242"/>
      <c r="IL82" s="242"/>
      <c r="IM82" s="242"/>
      <c r="IN82" s="242"/>
      <c r="IO82" s="242"/>
      <c r="IP82" s="242"/>
      <c r="IQ82" s="242"/>
      <c r="IR82" s="242"/>
      <c r="IS82" s="242"/>
      <c r="IT82" s="242"/>
      <c r="IU82" s="242"/>
      <c r="IV82" s="243"/>
      <c r="IW82" s="242"/>
      <c r="IX82" s="242"/>
      <c r="IY82" s="242"/>
      <c r="IZ82" s="242"/>
      <c r="JA82" s="242"/>
      <c r="JB82" s="242"/>
      <c r="JC82" s="242"/>
      <c r="JD82" s="242"/>
      <c r="JE82" s="242"/>
      <c r="JF82" s="242"/>
      <c r="JG82" s="242"/>
      <c r="JH82" s="242"/>
      <c r="JI82" s="242"/>
      <c r="JJ82" s="242"/>
      <c r="JK82" s="242"/>
      <c r="JL82" s="242"/>
      <c r="JM82" s="242"/>
      <c r="JN82" s="242"/>
      <c r="JO82" s="242"/>
      <c r="JP82" s="243"/>
      <c r="JQ82" s="242"/>
      <c r="JR82" s="242"/>
      <c r="JS82" s="242"/>
      <c r="JT82" s="243"/>
      <c r="JU82" s="243"/>
      <c r="JV82" s="242"/>
      <c r="JW82" s="242"/>
      <c r="JX82" s="242"/>
      <c r="JY82" s="242"/>
      <c r="JZ82" s="242"/>
      <c r="KA82" s="242"/>
      <c r="KB82" s="243"/>
      <c r="KC82" s="242"/>
      <c r="KD82" s="242"/>
      <c r="KE82" s="242"/>
      <c r="KF82" s="242"/>
      <c r="KG82" s="242"/>
      <c r="KH82" s="242"/>
      <c r="KI82" s="242"/>
      <c r="KJ82" s="242"/>
      <c r="KK82" s="242"/>
      <c r="KL82" s="242"/>
      <c r="KM82" s="242"/>
      <c r="KN82" s="242"/>
      <c r="KO82" s="242"/>
      <c r="KP82" s="242"/>
      <c r="KQ82" s="242"/>
      <c r="KR82" s="242"/>
      <c r="KS82" s="242"/>
      <c r="KT82" s="242"/>
      <c r="KU82" s="242"/>
      <c r="KV82" s="243"/>
      <c r="KW82" s="242"/>
      <c r="KX82" s="242"/>
      <c r="KY82" s="242"/>
      <c r="KZ82" s="242"/>
      <c r="LA82" s="242"/>
      <c r="LB82" s="242"/>
      <c r="LC82" s="242"/>
      <c r="LD82" s="242"/>
      <c r="LE82" s="242"/>
      <c r="LF82" s="242"/>
      <c r="LG82" s="242"/>
      <c r="LH82" s="242"/>
      <c r="LI82" s="242"/>
      <c r="LJ82" s="242"/>
      <c r="LK82" s="242"/>
      <c r="LL82" s="242"/>
      <c r="LM82" s="242"/>
      <c r="LN82" s="242"/>
      <c r="LO82" s="242"/>
      <c r="LP82" s="242"/>
      <c r="LQ82" s="242"/>
      <c r="LR82" s="242"/>
      <c r="LS82" s="242"/>
      <c r="LT82" s="242"/>
      <c r="LU82" s="242"/>
      <c r="LV82" s="242"/>
      <c r="LW82" s="242"/>
      <c r="LX82" s="242"/>
      <c r="LY82" s="242"/>
      <c r="LZ82" s="242"/>
      <c r="MA82" s="242"/>
      <c r="MB82" s="242"/>
      <c r="MC82" s="242"/>
      <c r="MD82" s="243"/>
      <c r="ME82" s="242"/>
      <c r="MF82" s="242"/>
      <c r="MG82" s="242"/>
      <c r="MH82" s="242"/>
      <c r="MI82" s="242"/>
      <c r="MJ82" s="242"/>
      <c r="MK82" s="242"/>
      <c r="ML82" s="242"/>
      <c r="MM82" s="242"/>
      <c r="MN82" s="242"/>
      <c r="MO82" s="242"/>
      <c r="MP82" s="242"/>
      <c r="MQ82" s="242"/>
      <c r="MR82" s="242"/>
      <c r="MS82" s="242"/>
      <c r="MT82" s="242"/>
      <c r="MU82" s="242"/>
      <c r="MV82" s="242"/>
      <c r="MW82" s="242"/>
      <c r="MX82" s="243"/>
      <c r="MY82" s="242"/>
      <c r="MZ82" s="242"/>
      <c r="NA82" s="242"/>
      <c r="NB82" s="242"/>
      <c r="NC82" s="242"/>
      <c r="ND82" s="242"/>
      <c r="NE82" s="242"/>
      <c r="NF82" s="242"/>
      <c r="NG82" s="242"/>
      <c r="NH82" s="242"/>
      <c r="NI82" s="242"/>
      <c r="NJ82" s="242"/>
      <c r="NK82" s="242"/>
      <c r="NL82" s="242"/>
      <c r="NM82" s="242"/>
      <c r="NN82" s="242"/>
      <c r="NO82" s="242"/>
      <c r="NP82" s="242"/>
      <c r="NQ82" s="242"/>
      <c r="NR82" s="242"/>
      <c r="NS82" s="242"/>
      <c r="NT82" s="242"/>
      <c r="NU82" s="242"/>
      <c r="NV82" s="242"/>
      <c r="NW82" s="242"/>
      <c r="NX82" s="242"/>
      <c r="NY82" s="242"/>
      <c r="NZ82" s="242"/>
      <c r="OA82" s="242"/>
      <c r="OB82" s="242"/>
      <c r="OC82" s="242"/>
      <c r="OD82" s="243"/>
      <c r="OE82" s="243"/>
      <c r="OF82" s="242"/>
      <c r="OG82" s="242"/>
      <c r="OH82" s="242"/>
      <c r="OI82" s="242"/>
      <c r="OJ82" s="242"/>
      <c r="OK82" s="242"/>
      <c r="OL82" s="242"/>
      <c r="OM82" s="242"/>
      <c r="ON82" s="242"/>
      <c r="OO82" s="242"/>
      <c r="OP82" s="242"/>
      <c r="OQ82" s="242"/>
      <c r="OR82" s="242"/>
      <c r="OS82" s="243"/>
      <c r="OT82" s="242"/>
      <c r="OU82" s="242"/>
      <c r="OV82" s="242"/>
      <c r="OW82" s="242"/>
      <c r="OX82" s="242"/>
      <c r="OY82" s="243"/>
      <c r="OZ82" s="242">
        <v>12</v>
      </c>
      <c r="PA82" s="242">
        <f>+OZ82+6</f>
        <v>18</v>
      </c>
      <c r="PB82" s="242">
        <f t="shared" si="193"/>
        <v>24</v>
      </c>
      <c r="PC82" s="242">
        <f t="shared" si="193"/>
        <v>30</v>
      </c>
      <c r="PD82" s="242">
        <f t="shared" si="193"/>
        <v>36</v>
      </c>
      <c r="PE82" s="242">
        <f t="shared" si="193"/>
        <v>42</v>
      </c>
      <c r="PF82" s="242">
        <f t="shared" si="193"/>
        <v>48</v>
      </c>
      <c r="PG82" s="242">
        <f t="shared" si="194"/>
        <v>54</v>
      </c>
      <c r="PH82" s="242">
        <f t="shared" si="194"/>
        <v>60</v>
      </c>
      <c r="PI82" s="242">
        <f t="shared" si="194"/>
        <v>66</v>
      </c>
      <c r="PJ82" s="242">
        <f>+PI82+6</f>
        <v>72</v>
      </c>
      <c r="PK82" s="242">
        <f t="shared" si="194"/>
        <v>78</v>
      </c>
      <c r="PL82" s="242">
        <f t="shared" si="194"/>
        <v>84</v>
      </c>
      <c r="PM82" s="242">
        <f t="shared" si="194"/>
        <v>90</v>
      </c>
      <c r="PN82" s="242">
        <f t="shared" si="194"/>
        <v>96</v>
      </c>
      <c r="PO82" s="242">
        <f t="shared" si="194"/>
        <v>102</v>
      </c>
      <c r="PP82" s="242">
        <f t="shared" si="194"/>
        <v>108</v>
      </c>
      <c r="PQ82" s="242">
        <f t="shared" si="194"/>
        <v>114</v>
      </c>
      <c r="PR82" s="242">
        <f t="shared" si="194"/>
        <v>120</v>
      </c>
      <c r="PS82" s="242">
        <f t="shared" si="194"/>
        <v>126</v>
      </c>
      <c r="PT82" s="242">
        <f t="shared" si="194"/>
        <v>132</v>
      </c>
      <c r="PU82" s="242">
        <f t="shared" si="194"/>
        <v>138</v>
      </c>
      <c r="PV82" s="242">
        <f t="shared" si="194"/>
        <v>144</v>
      </c>
      <c r="PW82" s="242">
        <f t="shared" si="194"/>
        <v>150</v>
      </c>
      <c r="PX82" s="242">
        <f t="shared" si="194"/>
        <v>156</v>
      </c>
      <c r="PY82" s="242">
        <f t="shared" si="194"/>
        <v>162</v>
      </c>
      <c r="PZ82" s="242">
        <f t="shared" ref="PZ82:QC82" si="195">+PY82+6</f>
        <v>168</v>
      </c>
      <c r="QA82" s="242">
        <f t="shared" si="195"/>
        <v>174</v>
      </c>
      <c r="QB82" s="242">
        <f t="shared" si="195"/>
        <v>180</v>
      </c>
      <c r="QC82" s="242">
        <f t="shared" si="195"/>
        <v>186</v>
      </c>
      <c r="QD82" s="242">
        <v>190</v>
      </c>
      <c r="QE82" s="242"/>
      <c r="QF82" s="242"/>
      <c r="QG82" s="242"/>
      <c r="QH82" s="242"/>
      <c r="QI82" s="244"/>
    </row>
    <row r="83" spans="1:451" ht="18" customHeight="1" x14ac:dyDescent="0.2">
      <c r="A83" s="264" t="s">
        <v>469</v>
      </c>
      <c r="B83" s="265"/>
      <c r="C83" s="266"/>
      <c r="D83" s="266"/>
      <c r="E83" s="266"/>
      <c r="F83" s="266"/>
      <c r="G83" s="266"/>
      <c r="H83" s="266"/>
      <c r="I83" s="266"/>
      <c r="J83" s="266"/>
      <c r="K83" s="266"/>
      <c r="L83" s="266"/>
      <c r="M83" s="266"/>
      <c r="N83" s="266"/>
      <c r="O83" s="266"/>
      <c r="P83" s="266"/>
      <c r="Q83" s="266"/>
      <c r="R83" s="266"/>
      <c r="S83" s="266"/>
      <c r="T83" s="266"/>
      <c r="U83" s="266"/>
      <c r="V83" s="266"/>
      <c r="W83" s="266"/>
      <c r="X83" s="266"/>
      <c r="Y83" s="266"/>
      <c r="Z83" s="266"/>
      <c r="AA83" s="266"/>
      <c r="AB83" s="266"/>
      <c r="AC83" s="267"/>
      <c r="AD83" s="266"/>
      <c r="AE83" s="266"/>
      <c r="AF83" s="266"/>
      <c r="AG83" s="266"/>
      <c r="AH83" s="266"/>
      <c r="AI83" s="266"/>
      <c r="AJ83" s="266"/>
      <c r="AK83" s="266"/>
      <c r="AL83" s="266"/>
      <c r="AM83" s="266"/>
      <c r="AN83" s="266"/>
      <c r="AO83" s="266"/>
      <c r="AP83" s="266"/>
      <c r="AQ83" s="266"/>
      <c r="AR83" s="267"/>
      <c r="AS83" s="266"/>
      <c r="AT83" s="266"/>
      <c r="AU83" s="266"/>
      <c r="AV83" s="266"/>
      <c r="AW83" s="266"/>
      <c r="AX83" s="266"/>
      <c r="AY83" s="266"/>
      <c r="AZ83" s="266"/>
      <c r="BA83" s="266"/>
      <c r="BB83" s="266"/>
      <c r="BC83" s="266"/>
      <c r="BD83" s="266"/>
      <c r="BE83" s="266"/>
      <c r="BF83" s="266"/>
      <c r="BG83" s="266"/>
      <c r="BH83" s="266"/>
      <c r="BI83" s="266"/>
      <c r="BJ83" s="266"/>
      <c r="BK83" s="266"/>
      <c r="BL83" s="266"/>
      <c r="BM83" s="266"/>
      <c r="BN83" s="266"/>
      <c r="BO83" s="266"/>
      <c r="BP83" s="266"/>
      <c r="BQ83" s="266"/>
      <c r="BR83" s="266"/>
      <c r="BS83" s="266"/>
      <c r="BT83" s="266"/>
      <c r="BU83" s="266"/>
      <c r="BV83" s="266"/>
      <c r="BW83" s="266"/>
      <c r="BX83" s="266"/>
      <c r="BY83" s="266"/>
      <c r="BZ83" s="266"/>
      <c r="CA83" s="266"/>
      <c r="CB83" s="266"/>
      <c r="CC83" s="267"/>
      <c r="CD83" s="267"/>
      <c r="CE83" s="266"/>
      <c r="CF83" s="266"/>
      <c r="CG83" s="266"/>
      <c r="CH83" s="266"/>
      <c r="CI83" s="266"/>
      <c r="CJ83" s="266"/>
      <c r="CK83" s="266"/>
      <c r="CL83" s="266"/>
      <c r="CM83" s="266"/>
      <c r="CN83" s="266"/>
      <c r="CO83" s="266"/>
      <c r="CP83" s="266"/>
      <c r="CQ83" s="266"/>
      <c r="CR83" s="267"/>
      <c r="CS83" s="266"/>
      <c r="CT83" s="266"/>
      <c r="CU83" s="266"/>
      <c r="CV83" s="266"/>
      <c r="CW83" s="266"/>
      <c r="CX83" s="267"/>
      <c r="CY83" s="266"/>
      <c r="CZ83" s="266"/>
      <c r="DA83" s="266"/>
      <c r="DB83" s="266"/>
      <c r="DC83" s="266"/>
      <c r="DD83" s="266"/>
      <c r="DE83" s="266"/>
      <c r="DF83" s="266"/>
      <c r="DG83" s="266"/>
      <c r="DH83" s="266"/>
      <c r="DI83" s="266"/>
      <c r="DJ83" s="266"/>
      <c r="DK83" s="266"/>
      <c r="DL83" s="266"/>
      <c r="DM83" s="266"/>
      <c r="DN83" s="266"/>
      <c r="DO83" s="266"/>
      <c r="DP83" s="266"/>
      <c r="DQ83" s="266"/>
      <c r="DR83" s="266"/>
      <c r="DS83" s="266"/>
      <c r="DT83" s="266"/>
      <c r="DU83" s="266"/>
      <c r="DV83" s="266"/>
      <c r="DW83" s="266"/>
      <c r="DX83" s="266"/>
      <c r="DY83" s="266"/>
      <c r="DZ83" s="266"/>
      <c r="EA83" s="266"/>
      <c r="EB83" s="266"/>
      <c r="EC83" s="266"/>
      <c r="ED83" s="266"/>
      <c r="EE83" s="266"/>
      <c r="EF83" s="266"/>
      <c r="EG83" s="266"/>
      <c r="EH83" s="266"/>
      <c r="EI83" s="266"/>
      <c r="EJ83" s="266"/>
      <c r="EK83" s="266"/>
      <c r="EL83" s="266"/>
      <c r="EM83" s="266"/>
      <c r="EN83" s="266"/>
      <c r="EO83" s="266"/>
      <c r="EP83" s="266"/>
      <c r="EQ83" s="266"/>
      <c r="ER83" s="266"/>
      <c r="ES83" s="266"/>
      <c r="ET83" s="266"/>
      <c r="EU83" s="266"/>
      <c r="EV83" s="266"/>
      <c r="EW83" s="266"/>
      <c r="EX83" s="266"/>
      <c r="EY83" s="266"/>
      <c r="EZ83" s="266"/>
      <c r="FA83" s="266"/>
      <c r="FB83" s="266"/>
      <c r="FC83" s="266"/>
      <c r="FD83" s="266"/>
      <c r="FE83" s="266"/>
      <c r="FF83" s="266"/>
      <c r="FG83" s="266"/>
      <c r="FH83" s="266"/>
      <c r="FI83" s="266"/>
      <c r="FJ83" s="266"/>
      <c r="FK83" s="266"/>
      <c r="FL83" s="266"/>
      <c r="FM83" s="266"/>
      <c r="FN83" s="266"/>
      <c r="FO83" s="266"/>
      <c r="FP83" s="266"/>
      <c r="FQ83" s="267"/>
      <c r="FR83" s="267"/>
      <c r="FS83" s="266"/>
      <c r="FT83" s="266"/>
      <c r="FU83" s="266"/>
      <c r="FV83" s="266"/>
      <c r="FW83" s="266"/>
      <c r="FX83" s="266"/>
      <c r="FY83" s="266"/>
      <c r="FZ83" s="266"/>
      <c r="GA83" s="266"/>
      <c r="GB83" s="266"/>
      <c r="GC83" s="266"/>
      <c r="GD83" s="266"/>
      <c r="GE83" s="266"/>
      <c r="GF83" s="266"/>
      <c r="GG83" s="266"/>
      <c r="GH83" s="266"/>
      <c r="GI83" s="266"/>
      <c r="GJ83" s="266"/>
      <c r="GK83" s="266"/>
      <c r="GL83" s="266"/>
      <c r="GM83" s="266"/>
      <c r="GN83" s="266"/>
      <c r="GO83" s="266"/>
      <c r="GP83" s="266"/>
      <c r="GQ83" s="266"/>
      <c r="GR83" s="266"/>
      <c r="GS83" s="266"/>
      <c r="GT83" s="266"/>
      <c r="GU83" s="266"/>
      <c r="GV83" s="266"/>
      <c r="GW83" s="267"/>
      <c r="GX83" s="266"/>
      <c r="GY83" s="266"/>
      <c r="GZ83" s="266"/>
      <c r="HA83" s="266"/>
      <c r="HB83" s="266"/>
      <c r="HC83" s="266"/>
      <c r="HD83" s="266"/>
      <c r="HE83" s="266"/>
      <c r="HF83" s="266"/>
      <c r="HG83" s="266"/>
      <c r="HH83" s="266"/>
      <c r="HI83" s="266"/>
      <c r="HJ83" s="266"/>
      <c r="HK83" s="266"/>
      <c r="HL83" s="266"/>
      <c r="HM83" s="266"/>
      <c r="HN83" s="266"/>
      <c r="HO83" s="266"/>
      <c r="HP83" s="266"/>
      <c r="HQ83" s="266"/>
      <c r="HR83" s="266"/>
      <c r="HS83" s="266"/>
      <c r="HT83" s="266"/>
      <c r="HU83" s="266"/>
      <c r="HV83" s="266"/>
      <c r="HW83" s="266"/>
      <c r="HX83" s="266"/>
      <c r="HY83" s="266"/>
      <c r="HZ83" s="266"/>
      <c r="IA83" s="266"/>
      <c r="IB83" s="266"/>
      <c r="IC83" s="266"/>
      <c r="ID83" s="266"/>
      <c r="IE83" s="266"/>
      <c r="IF83" s="266"/>
      <c r="IG83" s="266"/>
      <c r="IH83" s="266"/>
      <c r="II83" s="266"/>
      <c r="IJ83" s="266"/>
      <c r="IK83" s="266"/>
      <c r="IL83" s="266"/>
      <c r="IM83" s="266"/>
      <c r="IN83" s="266"/>
      <c r="IO83" s="266"/>
      <c r="IP83" s="266"/>
      <c r="IQ83" s="266"/>
      <c r="IR83" s="266"/>
      <c r="IS83" s="266"/>
      <c r="IT83" s="266"/>
      <c r="IU83" s="266"/>
      <c r="IV83" s="267"/>
      <c r="IW83" s="266"/>
      <c r="IX83" s="266"/>
      <c r="IY83" s="266"/>
      <c r="IZ83" s="266"/>
      <c r="JA83" s="266"/>
      <c r="JB83" s="266"/>
      <c r="JC83" s="266"/>
      <c r="JD83" s="266"/>
      <c r="JE83" s="266"/>
      <c r="JF83" s="266"/>
      <c r="JG83" s="266"/>
      <c r="JH83" s="266"/>
      <c r="JI83" s="266"/>
      <c r="JJ83" s="266"/>
      <c r="JK83" s="266"/>
      <c r="JL83" s="266"/>
      <c r="JM83" s="266"/>
      <c r="JN83" s="266"/>
      <c r="JO83" s="266"/>
      <c r="JP83" s="267"/>
      <c r="JQ83" s="266"/>
      <c r="JR83" s="266"/>
      <c r="JS83" s="266"/>
      <c r="JT83" s="267"/>
      <c r="JU83" s="267"/>
      <c r="JV83" s="266"/>
      <c r="JW83" s="266"/>
      <c r="JX83" s="266"/>
      <c r="JY83" s="266"/>
      <c r="JZ83" s="266"/>
      <c r="KA83" s="266"/>
      <c r="KB83" s="267"/>
      <c r="KC83" s="266"/>
      <c r="KD83" s="266"/>
      <c r="KE83" s="266"/>
      <c r="KF83" s="266"/>
      <c r="KG83" s="266"/>
      <c r="KH83" s="266"/>
      <c r="KI83" s="266"/>
      <c r="KJ83" s="266"/>
      <c r="KK83" s="266"/>
      <c r="KL83" s="266"/>
      <c r="KM83" s="266"/>
      <c r="KN83" s="266"/>
      <c r="KO83" s="266"/>
      <c r="KP83" s="266"/>
      <c r="KQ83" s="266"/>
      <c r="KR83" s="266"/>
      <c r="KS83" s="266"/>
      <c r="KT83" s="266"/>
      <c r="KU83" s="266"/>
      <c r="KV83" s="267"/>
      <c r="KW83" s="266"/>
      <c r="KX83" s="266"/>
      <c r="KY83" s="266"/>
      <c r="KZ83" s="266"/>
      <c r="LA83" s="266"/>
      <c r="LB83" s="266"/>
      <c r="LC83" s="266"/>
      <c r="LD83" s="266"/>
      <c r="LE83" s="266"/>
      <c r="LF83" s="266"/>
      <c r="LG83" s="266"/>
      <c r="LH83" s="266"/>
      <c r="LI83" s="266"/>
      <c r="LJ83" s="266"/>
      <c r="LK83" s="266"/>
      <c r="LL83" s="266"/>
      <c r="LM83" s="266"/>
      <c r="LN83" s="266"/>
      <c r="LO83" s="266"/>
      <c r="LP83" s="266"/>
      <c r="LQ83" s="266"/>
      <c r="LR83" s="266"/>
      <c r="LS83" s="266"/>
      <c r="LT83" s="266"/>
      <c r="LU83" s="266"/>
      <c r="LV83" s="266"/>
      <c r="LW83" s="266"/>
      <c r="LX83" s="266"/>
      <c r="LY83" s="266"/>
      <c r="LZ83" s="266"/>
      <c r="MA83" s="266"/>
      <c r="MB83" s="266"/>
      <c r="MC83" s="266"/>
      <c r="MD83" s="267"/>
      <c r="ME83" s="266"/>
      <c r="MF83" s="266"/>
      <c r="MG83" s="266"/>
      <c r="MH83" s="266"/>
      <c r="MI83" s="266"/>
      <c r="MJ83" s="266"/>
      <c r="MK83" s="266"/>
      <c r="ML83" s="266"/>
      <c r="MM83" s="266"/>
      <c r="MN83" s="266"/>
      <c r="MO83" s="266"/>
      <c r="MP83" s="266"/>
      <c r="MQ83" s="266"/>
      <c r="MR83" s="266"/>
      <c r="MS83" s="266"/>
      <c r="MT83" s="266"/>
      <c r="MU83" s="266"/>
      <c r="MV83" s="266"/>
      <c r="MW83" s="266"/>
      <c r="MX83" s="267"/>
      <c r="MY83" s="266"/>
      <c r="MZ83" s="266"/>
      <c r="NA83" s="266"/>
      <c r="NB83" s="266"/>
      <c r="NC83" s="266"/>
      <c r="ND83" s="266"/>
      <c r="NE83" s="266"/>
      <c r="NF83" s="266"/>
      <c r="NG83" s="266"/>
      <c r="NH83" s="266"/>
      <c r="NI83" s="266"/>
      <c r="NJ83" s="266"/>
      <c r="NK83" s="266"/>
      <c r="NL83" s="266"/>
      <c r="NM83" s="266"/>
      <c r="NN83" s="266"/>
      <c r="NO83" s="266"/>
      <c r="NP83" s="266"/>
      <c r="NQ83" s="266"/>
      <c r="NR83" s="266"/>
      <c r="NS83" s="266"/>
      <c r="NT83" s="266"/>
      <c r="NU83" s="266"/>
      <c r="NV83" s="266"/>
      <c r="NW83" s="266"/>
      <c r="NX83" s="266"/>
      <c r="NY83" s="266"/>
      <c r="NZ83" s="266"/>
      <c r="OA83" s="266"/>
      <c r="OB83" s="266"/>
      <c r="OC83" s="266"/>
      <c r="OD83" s="267"/>
      <c r="OE83" s="267"/>
      <c r="OF83" s="266"/>
      <c r="OG83" s="266"/>
      <c r="OH83" s="266"/>
      <c r="OI83" s="266"/>
      <c r="OJ83" s="266"/>
      <c r="OK83" s="266"/>
      <c r="OL83" s="266"/>
      <c r="OM83" s="266"/>
      <c r="ON83" s="266"/>
      <c r="OO83" s="266"/>
      <c r="OP83" s="266"/>
      <c r="OQ83" s="266"/>
      <c r="OR83" s="266"/>
      <c r="OS83" s="267"/>
      <c r="OT83" s="266"/>
      <c r="OU83" s="266"/>
      <c r="OV83" s="266"/>
      <c r="OW83" s="266"/>
      <c r="OX83" s="266"/>
      <c r="OY83" s="267"/>
      <c r="OZ83" s="266"/>
      <c r="PA83" s="266"/>
      <c r="PB83" s="266"/>
      <c r="PC83" s="266"/>
      <c r="PD83" s="266"/>
      <c r="PE83" s="266"/>
      <c r="PF83" s="266"/>
      <c r="PG83" s="266"/>
      <c r="PH83" s="266"/>
      <c r="PI83" s="266"/>
      <c r="PJ83" s="266"/>
      <c r="PK83" s="266"/>
      <c r="PL83" s="266"/>
      <c r="PM83" s="266"/>
      <c r="PN83" s="266"/>
      <c r="PO83" s="266"/>
      <c r="PP83" s="266"/>
      <c r="PQ83" s="266"/>
      <c r="PR83" s="266"/>
      <c r="PS83" s="266"/>
      <c r="PT83" s="266"/>
      <c r="PU83" s="266"/>
      <c r="PV83" s="266"/>
      <c r="PW83" s="266"/>
      <c r="PX83" s="266"/>
      <c r="PY83" s="266"/>
      <c r="PZ83" s="266"/>
      <c r="QA83" s="266"/>
      <c r="QB83" s="266"/>
      <c r="QC83" s="266"/>
      <c r="QD83" s="266"/>
      <c r="QE83" s="266"/>
      <c r="QF83" s="266"/>
      <c r="QG83" s="266"/>
      <c r="QH83" s="266"/>
      <c r="QI83" s="268"/>
    </row>
    <row r="84" spans="1:451" ht="18" customHeight="1" thickBot="1" x14ac:dyDescent="0.25">
      <c r="A84" s="269"/>
      <c r="B84" s="230"/>
      <c r="C84" s="231"/>
      <c r="D84" s="231"/>
      <c r="E84" s="231"/>
      <c r="F84" s="231"/>
      <c r="G84" s="231"/>
      <c r="H84" s="231"/>
      <c r="I84" s="231"/>
      <c r="J84" s="231"/>
      <c r="K84" s="231"/>
      <c r="L84" s="231"/>
      <c r="M84" s="231"/>
      <c r="N84" s="231"/>
      <c r="O84" s="231"/>
      <c r="P84" s="231"/>
      <c r="Q84" s="231"/>
      <c r="R84" s="231"/>
      <c r="S84" s="231"/>
      <c r="T84" s="231"/>
      <c r="U84" s="231"/>
      <c r="V84" s="231"/>
      <c r="W84" s="231"/>
      <c r="X84" s="231"/>
      <c r="Y84" s="231"/>
      <c r="Z84" s="231"/>
      <c r="AA84" s="231"/>
      <c r="AB84" s="231"/>
      <c r="AC84" s="270"/>
      <c r="AD84" s="231"/>
      <c r="AE84" s="231"/>
      <c r="AF84" s="231"/>
      <c r="AG84" s="231"/>
      <c r="AH84" s="231"/>
      <c r="AI84" s="231"/>
      <c r="AJ84" s="231"/>
      <c r="AK84" s="231"/>
      <c r="AL84" s="231"/>
      <c r="AM84" s="231"/>
      <c r="AN84" s="231"/>
      <c r="AO84" s="231"/>
      <c r="AP84" s="231"/>
      <c r="AQ84" s="231"/>
      <c r="AR84" s="270"/>
      <c r="AS84" s="231"/>
      <c r="AT84" s="231"/>
      <c r="AU84" s="231"/>
      <c r="AV84" s="231"/>
      <c r="AW84" s="231"/>
      <c r="AX84" s="231"/>
      <c r="AY84" s="231"/>
      <c r="AZ84" s="231"/>
      <c r="BA84" s="231"/>
      <c r="BB84" s="231"/>
      <c r="BC84" s="231"/>
      <c r="BD84" s="231"/>
      <c r="BE84" s="231"/>
      <c r="BF84" s="231"/>
      <c r="BG84" s="231"/>
      <c r="BH84" s="231"/>
      <c r="BI84" s="231"/>
      <c r="BJ84" s="231"/>
      <c r="BK84" s="231"/>
      <c r="BL84" s="231"/>
      <c r="BM84" s="231"/>
      <c r="BN84" s="231"/>
      <c r="BO84" s="231"/>
      <c r="BP84" s="231"/>
      <c r="BQ84" s="231"/>
      <c r="BR84" s="231"/>
      <c r="BS84" s="231"/>
      <c r="BT84" s="231"/>
      <c r="BU84" s="231"/>
      <c r="BV84" s="231"/>
      <c r="BW84" s="231"/>
      <c r="BX84" s="231"/>
      <c r="BY84" s="231"/>
      <c r="BZ84" s="231"/>
      <c r="CA84" s="231"/>
      <c r="CB84" s="231"/>
      <c r="CC84" s="270"/>
      <c r="CD84" s="270"/>
      <c r="CE84" s="231"/>
      <c r="CF84" s="231"/>
      <c r="CG84" s="231"/>
      <c r="CH84" s="231"/>
      <c r="CI84" s="231"/>
      <c r="CJ84" s="231"/>
      <c r="CK84" s="231"/>
      <c r="CL84" s="231"/>
      <c r="CM84" s="231"/>
      <c r="CN84" s="231"/>
      <c r="CO84" s="231"/>
      <c r="CP84" s="231"/>
      <c r="CQ84" s="231"/>
      <c r="CR84" s="270"/>
      <c r="CS84" s="231"/>
      <c r="CT84" s="231"/>
      <c r="CU84" s="231"/>
      <c r="CV84" s="231"/>
      <c r="CW84" s="231"/>
      <c r="CX84" s="270"/>
      <c r="CY84" s="231"/>
      <c r="CZ84" s="231"/>
      <c r="DA84" s="231"/>
      <c r="DB84" s="231"/>
      <c r="DC84" s="231"/>
      <c r="DD84" s="231"/>
      <c r="DE84" s="231"/>
      <c r="DF84" s="231"/>
      <c r="DG84" s="231"/>
      <c r="DH84" s="231"/>
      <c r="DI84" s="231"/>
      <c r="DJ84" s="231"/>
      <c r="DK84" s="231"/>
      <c r="DL84" s="231"/>
      <c r="DM84" s="231"/>
      <c r="DN84" s="231"/>
      <c r="DO84" s="231"/>
      <c r="DP84" s="231"/>
      <c r="DQ84" s="231"/>
      <c r="DR84" s="231"/>
      <c r="DS84" s="231"/>
      <c r="DT84" s="231"/>
      <c r="DU84" s="231"/>
      <c r="DV84" s="231"/>
      <c r="DW84" s="231"/>
      <c r="DX84" s="231"/>
      <c r="DY84" s="231"/>
      <c r="DZ84" s="231"/>
      <c r="EA84" s="231"/>
      <c r="EB84" s="231"/>
      <c r="EC84" s="231"/>
      <c r="ED84" s="231"/>
      <c r="EE84" s="231"/>
      <c r="EF84" s="231"/>
      <c r="EG84" s="231"/>
      <c r="EH84" s="231"/>
      <c r="EI84" s="231"/>
      <c r="EJ84" s="231"/>
      <c r="EK84" s="231"/>
      <c r="EL84" s="231"/>
      <c r="EM84" s="231"/>
      <c r="EN84" s="231"/>
      <c r="EO84" s="231"/>
      <c r="EP84" s="231"/>
      <c r="EQ84" s="231"/>
      <c r="ER84" s="231"/>
      <c r="ES84" s="231"/>
      <c r="ET84" s="231"/>
      <c r="EU84" s="231"/>
      <c r="EV84" s="231"/>
      <c r="EW84" s="231"/>
      <c r="EX84" s="231"/>
      <c r="EY84" s="231"/>
      <c r="EZ84" s="231"/>
      <c r="FA84" s="231"/>
      <c r="FB84" s="231"/>
      <c r="FC84" s="231"/>
      <c r="FD84" s="231"/>
      <c r="FE84" s="231"/>
      <c r="FF84" s="231"/>
      <c r="FG84" s="231"/>
      <c r="FH84" s="231"/>
      <c r="FI84" s="231"/>
      <c r="FJ84" s="231"/>
      <c r="FK84" s="231"/>
      <c r="FL84" s="231"/>
      <c r="FM84" s="231"/>
      <c r="FN84" s="231"/>
      <c r="FO84" s="231"/>
      <c r="FP84" s="231"/>
      <c r="FQ84" s="270"/>
      <c r="FR84" s="270"/>
      <c r="FS84" s="231"/>
      <c r="FT84" s="231"/>
      <c r="FU84" s="231"/>
      <c r="FV84" s="231"/>
      <c r="FW84" s="231"/>
      <c r="FX84" s="231"/>
      <c r="FY84" s="231"/>
      <c r="FZ84" s="231"/>
      <c r="GA84" s="231"/>
      <c r="GB84" s="231"/>
      <c r="GC84" s="231"/>
      <c r="GD84" s="231"/>
      <c r="GE84" s="231"/>
      <c r="GF84" s="231"/>
      <c r="GG84" s="231"/>
      <c r="GH84" s="231"/>
      <c r="GI84" s="231"/>
      <c r="GJ84" s="231"/>
      <c r="GK84" s="231"/>
      <c r="GL84" s="231"/>
      <c r="GM84" s="231"/>
      <c r="GN84" s="231"/>
      <c r="GO84" s="231"/>
      <c r="GP84" s="231"/>
      <c r="GQ84" s="231"/>
      <c r="GR84" s="231"/>
      <c r="GS84" s="231"/>
      <c r="GT84" s="231"/>
      <c r="GU84" s="231"/>
      <c r="GV84" s="231"/>
      <c r="GW84" s="270"/>
      <c r="GX84" s="231"/>
      <c r="GY84" s="231"/>
      <c r="GZ84" s="231"/>
      <c r="HA84" s="231"/>
      <c r="HB84" s="231"/>
      <c r="HC84" s="231"/>
      <c r="HD84" s="231"/>
      <c r="HE84" s="231"/>
      <c r="HF84" s="231"/>
      <c r="HG84" s="231"/>
      <c r="HH84" s="231"/>
      <c r="HI84" s="231"/>
      <c r="HJ84" s="231"/>
      <c r="HK84" s="231"/>
      <c r="HL84" s="231"/>
      <c r="HM84" s="231"/>
      <c r="HN84" s="231"/>
      <c r="HO84" s="231"/>
      <c r="HP84" s="231"/>
      <c r="HQ84" s="231"/>
      <c r="HR84" s="231"/>
      <c r="HS84" s="231"/>
      <c r="HT84" s="231"/>
      <c r="HU84" s="231"/>
      <c r="HV84" s="231"/>
      <c r="HW84" s="231"/>
      <c r="HX84" s="231"/>
      <c r="HY84" s="231"/>
      <c r="HZ84" s="231"/>
      <c r="IA84" s="231"/>
      <c r="IB84" s="231"/>
      <c r="IC84" s="231"/>
      <c r="ID84" s="231"/>
      <c r="IE84" s="231"/>
      <c r="IF84" s="231"/>
      <c r="IG84" s="231"/>
      <c r="IH84" s="231"/>
      <c r="II84" s="231"/>
      <c r="IJ84" s="231"/>
      <c r="IK84" s="231"/>
      <c r="IL84" s="231"/>
      <c r="IM84" s="231"/>
      <c r="IN84" s="231"/>
      <c r="IO84" s="231"/>
      <c r="IP84" s="231"/>
      <c r="IQ84" s="231"/>
      <c r="IR84" s="231"/>
      <c r="IS84" s="231"/>
      <c r="IT84" s="231"/>
      <c r="IU84" s="231"/>
      <c r="IV84" s="270"/>
      <c r="IW84" s="231"/>
      <c r="IX84" s="231"/>
      <c r="IY84" s="231"/>
      <c r="IZ84" s="231"/>
      <c r="JA84" s="231"/>
      <c r="JB84" s="231"/>
      <c r="JC84" s="231"/>
      <c r="JD84" s="231"/>
      <c r="JE84" s="231"/>
      <c r="JF84" s="231"/>
      <c r="JG84" s="231"/>
      <c r="JH84" s="231"/>
      <c r="JI84" s="231"/>
      <c r="JJ84" s="231"/>
      <c r="JK84" s="231"/>
      <c r="JL84" s="231"/>
      <c r="JM84" s="231"/>
      <c r="JN84" s="231"/>
      <c r="JO84" s="231"/>
      <c r="JP84" s="270"/>
      <c r="JQ84" s="231"/>
      <c r="JR84" s="231"/>
      <c r="JS84" s="231"/>
      <c r="JT84" s="270"/>
      <c r="JU84" s="270"/>
      <c r="JV84" s="231"/>
      <c r="JW84" s="231"/>
      <c r="JX84" s="231"/>
      <c r="JY84" s="231"/>
      <c r="JZ84" s="231"/>
      <c r="KA84" s="231"/>
      <c r="KB84" s="270"/>
      <c r="KC84" s="231"/>
      <c r="KD84" s="231"/>
      <c r="KE84" s="231"/>
      <c r="KF84" s="231"/>
      <c r="KG84" s="231"/>
      <c r="KH84" s="231"/>
      <c r="KI84" s="231"/>
      <c r="KJ84" s="231"/>
      <c r="KK84" s="231"/>
      <c r="KL84" s="231"/>
      <c r="KM84" s="231"/>
      <c r="KN84" s="231"/>
      <c r="KO84" s="231"/>
      <c r="KP84" s="231"/>
      <c r="KQ84" s="231"/>
      <c r="KR84" s="231"/>
      <c r="KS84" s="231"/>
      <c r="KT84" s="231"/>
      <c r="KU84" s="231"/>
      <c r="KV84" s="270"/>
      <c r="KW84" s="231"/>
      <c r="KX84" s="231"/>
      <c r="KY84" s="231"/>
      <c r="KZ84" s="231"/>
      <c r="LA84" s="231"/>
      <c r="LB84" s="231"/>
      <c r="LC84" s="231"/>
      <c r="LD84" s="231"/>
      <c r="LE84" s="231"/>
      <c r="LF84" s="231"/>
      <c r="LG84" s="231"/>
      <c r="LH84" s="231"/>
      <c r="LI84" s="231"/>
      <c r="LJ84" s="231"/>
      <c r="LK84" s="231"/>
      <c r="LL84" s="231"/>
      <c r="LM84" s="231"/>
      <c r="LN84" s="231"/>
      <c r="LO84" s="231"/>
      <c r="LP84" s="231"/>
      <c r="LQ84" s="231"/>
      <c r="LR84" s="231"/>
      <c r="LS84" s="231"/>
      <c r="LT84" s="231"/>
      <c r="LU84" s="231"/>
      <c r="LV84" s="231"/>
      <c r="LW84" s="231"/>
      <c r="LX84" s="231"/>
      <c r="LY84" s="231"/>
      <c r="LZ84" s="231"/>
      <c r="MA84" s="231"/>
      <c r="MB84" s="231"/>
      <c r="MC84" s="231"/>
      <c r="MD84" s="270"/>
      <c r="ME84" s="231"/>
      <c r="MF84" s="231"/>
      <c r="MG84" s="231"/>
      <c r="MH84" s="231"/>
      <c r="MI84" s="231"/>
      <c r="MJ84" s="231"/>
      <c r="MK84" s="231"/>
      <c r="ML84" s="231"/>
      <c r="MM84" s="231"/>
      <c r="MN84" s="231"/>
      <c r="MO84" s="231"/>
      <c r="MP84" s="231"/>
      <c r="MQ84" s="231"/>
      <c r="MR84" s="231"/>
      <c r="MS84" s="231"/>
      <c r="MT84" s="231"/>
      <c r="MU84" s="231"/>
      <c r="MV84" s="231"/>
      <c r="MW84" s="231"/>
      <c r="MX84" s="270"/>
      <c r="MY84" s="231"/>
      <c r="MZ84" s="231"/>
      <c r="NA84" s="231"/>
      <c r="NB84" s="231"/>
      <c r="NC84" s="231"/>
      <c r="ND84" s="231"/>
      <c r="NE84" s="231"/>
      <c r="NF84" s="231"/>
      <c r="NG84" s="231"/>
      <c r="NH84" s="231"/>
      <c r="NI84" s="231"/>
      <c r="NJ84" s="231"/>
      <c r="NK84" s="231"/>
      <c r="NL84" s="231"/>
      <c r="NM84" s="231"/>
      <c r="NN84" s="231"/>
      <c r="NO84" s="231"/>
      <c r="NP84" s="231"/>
      <c r="NQ84" s="231"/>
      <c r="NR84" s="231"/>
      <c r="NS84" s="231"/>
      <c r="NT84" s="231"/>
      <c r="NU84" s="231"/>
      <c r="NV84" s="231"/>
      <c r="NW84" s="231"/>
      <c r="NX84" s="231"/>
      <c r="NY84" s="231"/>
      <c r="NZ84" s="231"/>
      <c r="OA84" s="231"/>
      <c r="OB84" s="231"/>
      <c r="OC84" s="231"/>
      <c r="OD84" s="270"/>
      <c r="OE84" s="270"/>
      <c r="OF84" s="231"/>
      <c r="OG84" s="231"/>
      <c r="OH84" s="231"/>
      <c r="OI84" s="231"/>
      <c r="OJ84" s="231"/>
      <c r="OK84" s="231"/>
      <c r="OL84" s="231"/>
      <c r="OM84" s="231"/>
      <c r="ON84" s="231"/>
      <c r="OO84" s="231"/>
      <c r="OP84" s="231"/>
      <c r="OQ84" s="231"/>
      <c r="OR84" s="231"/>
      <c r="OS84" s="270"/>
      <c r="OT84" s="231"/>
      <c r="OU84" s="231"/>
      <c r="OV84" s="231"/>
      <c r="OW84" s="231"/>
      <c r="OX84" s="231"/>
      <c r="OY84" s="270"/>
      <c r="OZ84" s="231"/>
      <c r="PA84" s="231"/>
      <c r="PB84" s="231"/>
      <c r="PC84" s="231"/>
      <c r="PD84" s="231"/>
      <c r="PE84" s="231"/>
      <c r="PF84" s="231"/>
      <c r="PG84" s="231"/>
      <c r="PH84" s="231"/>
      <c r="PI84" s="231"/>
      <c r="PJ84" s="231"/>
      <c r="PK84" s="231"/>
      <c r="PL84" s="231"/>
      <c r="PM84" s="231"/>
      <c r="PN84" s="231"/>
      <c r="PO84" s="231"/>
      <c r="PP84" s="231"/>
      <c r="PQ84" s="231"/>
      <c r="PR84" s="231"/>
      <c r="PS84" s="231"/>
      <c r="PT84" s="231"/>
      <c r="PU84" s="231"/>
      <c r="PV84" s="231"/>
      <c r="PW84" s="231"/>
      <c r="PX84" s="231"/>
      <c r="PY84" s="231"/>
      <c r="PZ84" s="231"/>
      <c r="QA84" s="231"/>
      <c r="QB84" s="231"/>
      <c r="QC84" s="231"/>
      <c r="QD84" s="231"/>
      <c r="QE84" s="231"/>
      <c r="QF84" s="231"/>
      <c r="QG84" s="231"/>
      <c r="QH84" s="231"/>
      <c r="QI84" s="232"/>
    </row>
    <row r="88" spans="1:451" x14ac:dyDescent="0.2">
      <c r="A88" s="275" t="s">
        <v>483</v>
      </c>
    </row>
  </sheetData>
  <mergeCells count="1">
    <mergeCell ref="A3:A6"/>
  </mergeCells>
  <conditionalFormatting sqref="A6:XFD6">
    <cfRule type="containsText" dxfId="12" priority="2" operator="containsText" text="LU">
      <formula>NOT(ISERROR(SEARCH("LU",A6)))</formula>
    </cfRule>
  </conditionalFormatting>
  <conditionalFormatting sqref="A36:XFD47">
    <cfRule type="expression" dxfId="11" priority="4">
      <formula>AND(NOT(ISNUMBER(--LEFT(A36,1))),RIGHT(A36,1)="6")</formula>
    </cfRule>
    <cfRule type="expression" dxfId="10" priority="5">
      <formula>AND(NOT(ISNUMBER(--LEFT(A36,1))),RIGHT(A36,1)="5")</formula>
    </cfRule>
    <cfRule type="expression" dxfId="9" priority="6">
      <formula>AND(NOT(ISNUMBER(--LEFT(A36,1))),RIGHT(A36,1)="4")</formula>
    </cfRule>
    <cfRule type="expression" dxfId="8" priority="7">
      <formula>AND(NOT(ISNUMBER(--LEFT(A36,1))),RIGHT(A36,1)="3")</formula>
    </cfRule>
    <cfRule type="expression" dxfId="7" priority="8">
      <formula>AND(NOT(ISNUMBER(--LEFT(A36,1))),RIGHT(A36,1)="2")</formula>
    </cfRule>
    <cfRule type="expression" dxfId="6" priority="9">
      <formula>AND(NOT(ISNUMBER(--LEFT(A36,1))),RIGHT(A36,1)="1")</formula>
    </cfRule>
  </conditionalFormatting>
  <conditionalFormatting sqref="B3:QI3">
    <cfRule type="expression" dxfId="5" priority="10">
      <formula>MOD(YEAR(B5),2)=1</formula>
    </cfRule>
    <cfRule type="expression" dxfId="4" priority="11">
      <formula>MOD(YEAR(B5),2)=0</formula>
    </cfRule>
  </conditionalFormatting>
  <conditionalFormatting sqref="B4:QI4">
    <cfRule type="expression" dxfId="3" priority="12">
      <formula>MOD(MONTH(B5),2)=1</formula>
    </cfRule>
    <cfRule type="expression" dxfId="2" priority="13">
      <formula>MOD(MONTH(B5),2)=0</formula>
    </cfRule>
  </conditionalFormatting>
  <conditionalFormatting sqref="B5:QI5">
    <cfRule type="timePeriod" dxfId="1" priority="1" timePeriod="today">
      <formula>FLOOR(B5,1)=TODAY()</formula>
    </cfRule>
  </conditionalFormatting>
  <conditionalFormatting sqref="B49:QI85">
    <cfRule type="expression" dxfId="0" priority="3">
      <formula>ISODD(B49)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M4-E3</vt:lpstr>
      <vt:lpstr>Comparo</vt:lpstr>
      <vt:lpstr>HITOS</vt:lpstr>
      <vt:lpstr>CRONOG 4.3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KONECTAP</dc:creator>
  <cp:lastModifiedBy>Rodrigo Manuel Aguirre Paredes</cp:lastModifiedBy>
  <dcterms:created xsi:type="dcterms:W3CDTF">2008-12-11T19:45:36Z</dcterms:created>
  <dcterms:modified xsi:type="dcterms:W3CDTF">2026-10-23T13:46:11Z</dcterms:modified>
</cp:coreProperties>
</file>