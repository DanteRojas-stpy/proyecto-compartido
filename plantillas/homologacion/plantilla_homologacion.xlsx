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arametros" sheetId="2" state="visible" r:id="rId2"/>
    <sheet name="Partidas" sheetId="3" state="visible" r:id="rId3"/>
    <sheet name="Homologacion" sheetId="4" state="visible" r:id="rId4"/>
    <sheet name="Listas" sheetId="5" state="hidden" r:id="rId5"/>
    <sheet name="Resumen" sheetId="6" state="visible" r:id="rId6"/>
  </sheets>
  <definedNames>
    <definedName name="_xlnm._FilterDatabase" localSheetId="3" hidden="1">'Homologacion'!$A$1:$V$501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B2F63"/>
      </patternFill>
    </fill>
    <fill>
      <patternFill patternType="solid">
        <fgColor rgb="00E6F8FB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0" fontId="0" fillId="3" borderId="1" pivotButton="0" quotePrefix="0" xfId="0"/>
    <xf numFmtId="9" fontId="0" fillId="3" borderId="1" pivotButton="0" quotePrefix="0" xfId="0"/>
    <xf numFmtId="0" fontId="0" fillId="3" borderId="0" pivotButton="0" quotePrefix="0" xfId="0"/>
    <xf numFmtId="4" fontId="0" fillId="3" borderId="0" pivotButton="0" quotePrefix="0" xfId="0"/>
    <xf numFmtId="4" fontId="0" fillId="4" borderId="0" pivotButton="0" quotePrefix="0" xfId="0"/>
    <xf numFmtId="4" fontId="0" fillId="0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 homologación de cotizaciones (E4)</t>
        </is>
      </c>
    </row>
    <row r="2">
      <c r="A2" s="2" t="inlineStr"/>
    </row>
    <row r="3">
      <c r="A3" s="2" t="inlineStr">
        <is>
          <t>1. Carga en Partidas el itemizado de la solicitud: código, descripción, unidad,</t>
        </is>
      </c>
    </row>
    <row r="4">
      <c r="A4" s="2" t="inlineStr">
        <is>
          <t xml:space="preserve">   metrado referencial y costo referencial unitario (presupuesto meta).</t>
        </is>
      </c>
    </row>
    <row r="5">
      <c r="A5" s="2" t="inlineStr">
        <is>
          <t xml:space="preserve">   Sin esto no se puede comparar el precio ofertado con la referencia.</t>
        </is>
      </c>
    </row>
    <row r="6">
      <c r="A6" s="2" t="inlineStr">
        <is>
          <t>2. Llena Parametros con el tipo de cambio autorizado (fecha, fuente y aprobado_por).</t>
        </is>
      </c>
    </row>
    <row r="7">
      <c r="A7" s="2" t="inlineStr">
        <is>
          <t>3. En Homologacion, una fila por partida y proveedor. Solo la versión final vigente.</t>
        </is>
      </c>
    </row>
    <row r="8">
      <c r="A8" s="2" t="inlineStr">
        <is>
          <t>4. Si un dato no aparece en la cotización, déjalo vacío. No lo inventes.</t>
        </is>
      </c>
    </row>
    <row r="9">
      <c r="A9" s="2" t="inlineStr">
        <is>
          <t>5. Las equivalencias y el alcance los decide el especialista: la IA solo propone.</t>
        </is>
      </c>
    </row>
    <row r="10">
      <c r="A10" s="2" t="inlineStr">
        <is>
          <t>6. Toda propuesta con dudas queda en Estado revisión = Pendiente.</t>
        </is>
      </c>
    </row>
    <row r="11">
      <c r="A11" s="2" t="inlineStr"/>
    </row>
    <row r="12">
      <c r="A12" s="2" t="inlineStr">
        <is>
          <t>Las columnas grises con fórmula se calculan solas: no las escribas a mano.</t>
        </is>
      </c>
    </row>
    <row r="13">
      <c r="A13" s="2" t="inlineStr">
        <is>
          <t>Los datos de negocio (plazo, garantía, validez, forma de pago) se registran desde la cotización original.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6" customWidth="1" min="3" max="3"/>
  </cols>
  <sheetData>
    <row r="1" ht="48" customHeight="1">
      <c r="A1" s="3" t="inlineStr">
        <is>
          <t>Parámetro</t>
        </is>
      </c>
      <c r="B1" s="3" t="inlineStr">
        <is>
          <t>Valor</t>
        </is>
      </c>
      <c r="C1" s="3" t="inlineStr">
        <is>
          <t>Nota</t>
        </is>
      </c>
    </row>
    <row r="2">
      <c r="A2" s="4" t="inlineStr">
        <is>
          <t>Tipo de cambio USD a PEN</t>
        </is>
      </c>
      <c r="B2" s="5" t="n"/>
      <c r="C2" t="inlineStr">
        <is>
          <t>Autorizado por el especialista</t>
        </is>
      </c>
    </row>
    <row r="3">
      <c r="A3" s="4" t="inlineStr">
        <is>
          <t>Sentido del cambio</t>
        </is>
      </c>
      <c r="B3" s="5" t="inlineStr">
        <is>
          <t>USD_PEN</t>
        </is>
      </c>
      <c r="C3" t="inlineStr">
        <is>
          <t>Solo USD_PEN en esta versión</t>
        </is>
      </c>
    </row>
    <row r="4">
      <c r="A4" s="4" t="inlineStr">
        <is>
          <t>Fecha del tipo de cambio (AAAA-MM-DD)</t>
        </is>
      </c>
      <c r="B4" s="5" t="n"/>
      <c r="C4" t="inlineStr"/>
    </row>
    <row r="5">
      <c r="A5" s="4" t="inlineStr">
        <is>
          <t>Fuente del tipo de cambio</t>
        </is>
      </c>
      <c r="B5" s="5" t="n"/>
      <c r="C5" t="inlineStr">
        <is>
          <t>Ej.: SUNAT, banco, acuerdo de contrato</t>
        </is>
      </c>
    </row>
    <row r="6">
      <c r="A6" s="4" t="inlineStr">
        <is>
          <t>Aprobado por</t>
        </is>
      </c>
      <c r="B6" s="5" t="n"/>
      <c r="C6" t="inlineStr">
        <is>
          <t>Especialista que lo autoriza</t>
        </is>
      </c>
    </row>
    <row r="7">
      <c r="A7" s="4" t="inlineStr">
        <is>
          <t>IGV</t>
        </is>
      </c>
      <c r="B7" s="6" t="n">
        <v>0.18</v>
      </c>
      <c r="C7" t="inlineStr">
        <is>
          <t>Tasa vigente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10" customWidth="1" min="3" max="3"/>
    <col width="16" customWidth="1" min="4" max="4"/>
    <col width="26" customWidth="1" min="5" max="5"/>
    <col width="22" customWidth="1" min="6" max="6"/>
  </cols>
  <sheetData>
    <row r="1" ht="48" customHeight="1">
      <c r="A1" s="3" t="inlineStr">
        <is>
          <t>Código de partida</t>
        </is>
      </c>
      <c r="B1" s="3" t="inlineStr">
        <is>
          <t>Descripción</t>
        </is>
      </c>
      <c r="C1" s="3" t="inlineStr">
        <is>
          <t>Unidad</t>
        </is>
      </c>
      <c r="D1" s="3" t="inlineStr">
        <is>
          <t>Metrado referencial</t>
        </is>
      </c>
      <c r="E1" s="3" t="inlineStr">
        <is>
          <t>Costo referencial unitario S/ (presupuesto meta)</t>
        </is>
      </c>
      <c r="F1" s="3" t="inlineStr">
        <is>
          <t>Presupuesto referencial S/ (calc.)</t>
        </is>
      </c>
    </row>
    <row r="2">
      <c r="A2" s="7" t="n"/>
      <c r="B2" s="7" t="n"/>
      <c r="C2" s="7" t="n"/>
      <c r="D2" s="7" t="n"/>
      <c r="E2" s="8" t="n"/>
      <c r="F2" s="9">
        <f>IF(OR(D2="",E2=""),"",D2*E2)</f>
        <v/>
      </c>
    </row>
    <row r="3">
      <c r="A3" s="7" t="n"/>
      <c r="B3" s="7" t="n"/>
      <c r="C3" s="7" t="n"/>
      <c r="D3" s="7" t="n"/>
      <c r="E3" s="8" t="n"/>
      <c r="F3" s="9">
        <f>IF(OR(D3="",E3=""),"",D3*E3)</f>
        <v/>
      </c>
    </row>
    <row r="4">
      <c r="A4" s="7" t="n"/>
      <c r="B4" s="7" t="n"/>
      <c r="C4" s="7" t="n"/>
      <c r="D4" s="7" t="n"/>
      <c r="E4" s="8" t="n"/>
      <c r="F4" s="9">
        <f>IF(OR(D4="",E4=""),"",D4*E4)</f>
        <v/>
      </c>
    </row>
    <row r="5">
      <c r="A5" s="7" t="n"/>
      <c r="B5" s="7" t="n"/>
      <c r="C5" s="7" t="n"/>
      <c r="D5" s="7" t="n"/>
      <c r="E5" s="8" t="n"/>
      <c r="F5" s="9">
        <f>IF(OR(D5="",E5=""),"",D5*E5)</f>
        <v/>
      </c>
    </row>
    <row r="6">
      <c r="A6" s="7" t="n"/>
      <c r="B6" s="7" t="n"/>
      <c r="C6" s="7" t="n"/>
      <c r="D6" s="7" t="n"/>
      <c r="E6" s="8" t="n"/>
      <c r="F6" s="9">
        <f>IF(OR(D6="",E6=""),"",D6*E6)</f>
        <v/>
      </c>
    </row>
    <row r="7">
      <c r="A7" s="7" t="n"/>
      <c r="B7" s="7" t="n"/>
      <c r="C7" s="7" t="n"/>
      <c r="D7" s="7" t="n"/>
      <c r="E7" s="8" t="n"/>
      <c r="F7" s="9">
        <f>IF(OR(D7="",E7=""),"",D7*E7)</f>
        <v/>
      </c>
    </row>
    <row r="8">
      <c r="A8" s="7" t="n"/>
      <c r="B8" s="7" t="n"/>
      <c r="C8" s="7" t="n"/>
      <c r="D8" s="7" t="n"/>
      <c r="E8" s="8" t="n"/>
      <c r="F8" s="9">
        <f>IF(OR(D8="",E8=""),"",D8*E8)</f>
        <v/>
      </c>
    </row>
    <row r="9">
      <c r="A9" s="7" t="n"/>
      <c r="B9" s="7" t="n"/>
      <c r="C9" s="7" t="n"/>
      <c r="D9" s="7" t="n"/>
      <c r="E9" s="8" t="n"/>
      <c r="F9" s="9">
        <f>IF(OR(D9="",E9=""),"",D9*E9)</f>
        <v/>
      </c>
    </row>
    <row r="10">
      <c r="A10" s="7" t="n"/>
      <c r="B10" s="7" t="n"/>
      <c r="C10" s="7" t="n"/>
      <c r="D10" s="7" t="n"/>
      <c r="E10" s="8" t="n"/>
      <c r="F10" s="9">
        <f>IF(OR(D10="",E10=""),"",D10*E10)</f>
        <v/>
      </c>
    </row>
    <row r="11">
      <c r="A11" s="7" t="n"/>
      <c r="B11" s="7" t="n"/>
      <c r="C11" s="7" t="n"/>
      <c r="D11" s="7" t="n"/>
      <c r="E11" s="8" t="n"/>
      <c r="F11" s="9">
        <f>IF(OR(D11="",E11=""),"",D11*E11)</f>
        <v/>
      </c>
    </row>
    <row r="12">
      <c r="A12" s="7" t="n"/>
      <c r="B12" s="7" t="n"/>
      <c r="C12" s="7" t="n"/>
      <c r="D12" s="7" t="n"/>
      <c r="E12" s="8" t="n"/>
      <c r="F12" s="9">
        <f>IF(OR(D12="",E12=""),"",D12*E12)</f>
        <v/>
      </c>
    </row>
    <row r="13">
      <c r="A13" s="7" t="n"/>
      <c r="B13" s="7" t="n"/>
      <c r="C13" s="7" t="n"/>
      <c r="D13" s="7" t="n"/>
      <c r="E13" s="8" t="n"/>
      <c r="F13" s="9">
        <f>IF(OR(D13="",E13=""),"",D13*E13)</f>
        <v/>
      </c>
    </row>
    <row r="14">
      <c r="A14" s="7" t="n"/>
      <c r="B14" s="7" t="n"/>
      <c r="C14" s="7" t="n"/>
      <c r="D14" s="7" t="n"/>
      <c r="E14" s="8" t="n"/>
      <c r="F14" s="9">
        <f>IF(OR(D14="",E14=""),"",D14*E14)</f>
        <v/>
      </c>
    </row>
    <row r="15">
      <c r="A15" s="7" t="n"/>
      <c r="B15" s="7" t="n"/>
      <c r="C15" s="7" t="n"/>
      <c r="D15" s="7" t="n"/>
      <c r="E15" s="8" t="n"/>
      <c r="F15" s="9">
        <f>IF(OR(D15="",E15=""),"",D15*E15)</f>
        <v/>
      </c>
    </row>
    <row r="16">
      <c r="A16" s="7" t="n"/>
      <c r="B16" s="7" t="n"/>
      <c r="C16" s="7" t="n"/>
      <c r="D16" s="7" t="n"/>
      <c r="E16" s="8" t="n"/>
      <c r="F16" s="9">
        <f>IF(OR(D16="",E16=""),"",D16*E16)</f>
        <v/>
      </c>
    </row>
    <row r="17">
      <c r="A17" s="7" t="n"/>
      <c r="B17" s="7" t="n"/>
      <c r="C17" s="7" t="n"/>
      <c r="D17" s="7" t="n"/>
      <c r="E17" s="8" t="n"/>
      <c r="F17" s="9">
        <f>IF(OR(D17="",E17=""),"",D17*E17)</f>
        <v/>
      </c>
    </row>
    <row r="18">
      <c r="A18" s="7" t="n"/>
      <c r="B18" s="7" t="n"/>
      <c r="C18" s="7" t="n"/>
      <c r="D18" s="7" t="n"/>
      <c r="E18" s="8" t="n"/>
      <c r="F18" s="9">
        <f>IF(OR(D18="",E18=""),"",D18*E18)</f>
        <v/>
      </c>
    </row>
    <row r="19">
      <c r="A19" s="7" t="n"/>
      <c r="B19" s="7" t="n"/>
      <c r="C19" s="7" t="n"/>
      <c r="D19" s="7" t="n"/>
      <c r="E19" s="8" t="n"/>
      <c r="F19" s="9">
        <f>IF(OR(D19="",E19=""),"",D19*E19)</f>
        <v/>
      </c>
    </row>
    <row r="20">
      <c r="A20" s="7" t="n"/>
      <c r="B20" s="7" t="n"/>
      <c r="C20" s="7" t="n"/>
      <c r="D20" s="7" t="n"/>
      <c r="E20" s="8" t="n"/>
      <c r="F20" s="9">
        <f>IF(OR(D20="",E20=""),"",D20*E20)</f>
        <v/>
      </c>
    </row>
    <row r="21">
      <c r="A21" s="7" t="n"/>
      <c r="B21" s="7" t="n"/>
      <c r="C21" s="7" t="n"/>
      <c r="D21" s="7" t="n"/>
      <c r="E21" s="8" t="n"/>
      <c r="F21" s="9">
        <f>IF(OR(D21="",E21=""),"",D21*E21)</f>
        <v/>
      </c>
    </row>
    <row r="22">
      <c r="A22" s="7" t="n"/>
      <c r="B22" s="7" t="n"/>
      <c r="C22" s="7" t="n"/>
      <c r="D22" s="7" t="n"/>
      <c r="E22" s="8" t="n"/>
      <c r="F22" s="9">
        <f>IF(OR(D22="",E22=""),"",D22*E22)</f>
        <v/>
      </c>
    </row>
    <row r="23">
      <c r="A23" s="7" t="n"/>
      <c r="B23" s="7" t="n"/>
      <c r="C23" s="7" t="n"/>
      <c r="D23" s="7" t="n"/>
      <c r="E23" s="8" t="n"/>
      <c r="F23" s="9">
        <f>IF(OR(D23="",E23=""),"",D23*E23)</f>
        <v/>
      </c>
    </row>
    <row r="24">
      <c r="A24" s="7" t="n"/>
      <c r="B24" s="7" t="n"/>
      <c r="C24" s="7" t="n"/>
      <c r="D24" s="7" t="n"/>
      <c r="E24" s="8" t="n"/>
      <c r="F24" s="9">
        <f>IF(OR(D24="",E24=""),"",D24*E24)</f>
        <v/>
      </c>
    </row>
    <row r="25">
      <c r="A25" s="7" t="n"/>
      <c r="B25" s="7" t="n"/>
      <c r="C25" s="7" t="n"/>
      <c r="D25" s="7" t="n"/>
      <c r="E25" s="8" t="n"/>
      <c r="F25" s="9">
        <f>IF(OR(D25="",E25=""),"",D25*E25)</f>
        <v/>
      </c>
    </row>
    <row r="26">
      <c r="A26" s="7" t="n"/>
      <c r="B26" s="7" t="n"/>
      <c r="C26" s="7" t="n"/>
      <c r="D26" s="7" t="n"/>
      <c r="E26" s="8" t="n"/>
      <c r="F26" s="9">
        <f>IF(OR(D26="",E26=""),"",D26*E26)</f>
        <v/>
      </c>
    </row>
    <row r="27">
      <c r="A27" s="7" t="n"/>
      <c r="B27" s="7" t="n"/>
      <c r="C27" s="7" t="n"/>
      <c r="D27" s="7" t="n"/>
      <c r="E27" s="8" t="n"/>
      <c r="F27" s="9">
        <f>IF(OR(D27="",E27=""),"",D27*E27)</f>
        <v/>
      </c>
    </row>
    <row r="28">
      <c r="A28" s="7" t="n"/>
      <c r="B28" s="7" t="n"/>
      <c r="C28" s="7" t="n"/>
      <c r="D28" s="7" t="n"/>
      <c r="E28" s="8" t="n"/>
      <c r="F28" s="9">
        <f>IF(OR(D28="",E28=""),"",D28*E28)</f>
        <v/>
      </c>
    </row>
    <row r="29">
      <c r="A29" s="7" t="n"/>
      <c r="B29" s="7" t="n"/>
      <c r="C29" s="7" t="n"/>
      <c r="D29" s="7" t="n"/>
      <c r="E29" s="8" t="n"/>
      <c r="F29" s="9">
        <f>IF(OR(D29="",E29=""),"",D29*E29)</f>
        <v/>
      </c>
    </row>
    <row r="30">
      <c r="A30" s="7" t="n"/>
      <c r="B30" s="7" t="n"/>
      <c r="C30" s="7" t="n"/>
      <c r="D30" s="7" t="n"/>
      <c r="E30" s="8" t="n"/>
      <c r="F30" s="9">
        <f>IF(OR(D30="",E30=""),"",D30*E30)</f>
        <v/>
      </c>
    </row>
    <row r="31">
      <c r="A31" s="7" t="n"/>
      <c r="B31" s="7" t="n"/>
      <c r="C31" s="7" t="n"/>
      <c r="D31" s="7" t="n"/>
      <c r="E31" s="8" t="n"/>
      <c r="F31" s="9">
        <f>IF(OR(D31="",E31=""),"",D31*E31)</f>
        <v/>
      </c>
    </row>
    <row r="32">
      <c r="A32" s="7" t="n"/>
      <c r="B32" s="7" t="n"/>
      <c r="C32" s="7" t="n"/>
      <c r="D32" s="7" t="n"/>
      <c r="E32" s="8" t="n"/>
      <c r="F32" s="9">
        <f>IF(OR(D32="",E32=""),"",D32*E32)</f>
        <v/>
      </c>
    </row>
    <row r="33">
      <c r="A33" s="7" t="n"/>
      <c r="B33" s="7" t="n"/>
      <c r="C33" s="7" t="n"/>
      <c r="D33" s="7" t="n"/>
      <c r="E33" s="8" t="n"/>
      <c r="F33" s="9">
        <f>IF(OR(D33="",E33=""),"",D33*E33)</f>
        <v/>
      </c>
    </row>
    <row r="34">
      <c r="A34" s="7" t="n"/>
      <c r="B34" s="7" t="n"/>
      <c r="C34" s="7" t="n"/>
      <c r="D34" s="7" t="n"/>
      <c r="E34" s="8" t="n"/>
      <c r="F34" s="9">
        <f>IF(OR(D34="",E34=""),"",D34*E34)</f>
        <v/>
      </c>
    </row>
    <row r="35">
      <c r="A35" s="7" t="n"/>
      <c r="B35" s="7" t="n"/>
      <c r="C35" s="7" t="n"/>
      <c r="D35" s="7" t="n"/>
      <c r="E35" s="8" t="n"/>
      <c r="F35" s="9">
        <f>IF(OR(D35="",E35=""),"",D35*E35)</f>
        <v/>
      </c>
    </row>
    <row r="36">
      <c r="A36" s="7" t="n"/>
      <c r="B36" s="7" t="n"/>
      <c r="C36" s="7" t="n"/>
      <c r="D36" s="7" t="n"/>
      <c r="E36" s="8" t="n"/>
      <c r="F36" s="9">
        <f>IF(OR(D36="",E36=""),"",D36*E36)</f>
        <v/>
      </c>
    </row>
    <row r="37">
      <c r="A37" s="7" t="n"/>
      <c r="B37" s="7" t="n"/>
      <c r="C37" s="7" t="n"/>
      <c r="D37" s="7" t="n"/>
      <c r="E37" s="8" t="n"/>
      <c r="F37" s="9">
        <f>IF(OR(D37="",E37=""),"",D37*E37)</f>
        <v/>
      </c>
    </row>
    <row r="38">
      <c r="A38" s="7" t="n"/>
      <c r="B38" s="7" t="n"/>
      <c r="C38" s="7" t="n"/>
      <c r="D38" s="7" t="n"/>
      <c r="E38" s="8" t="n"/>
      <c r="F38" s="9">
        <f>IF(OR(D38="",E38=""),"",D38*E38)</f>
        <v/>
      </c>
    </row>
    <row r="39">
      <c r="A39" s="7" t="n"/>
      <c r="B39" s="7" t="n"/>
      <c r="C39" s="7" t="n"/>
      <c r="D39" s="7" t="n"/>
      <c r="E39" s="8" t="n"/>
      <c r="F39" s="9">
        <f>IF(OR(D39="",E39=""),"",D39*E39)</f>
        <v/>
      </c>
    </row>
    <row r="40">
      <c r="A40" s="7" t="n"/>
      <c r="B40" s="7" t="n"/>
      <c r="C40" s="7" t="n"/>
      <c r="D40" s="7" t="n"/>
      <c r="E40" s="8" t="n"/>
      <c r="F40" s="9">
        <f>IF(OR(D40="",E40=""),"",D40*E40)</f>
        <v/>
      </c>
    </row>
    <row r="41">
      <c r="A41" s="7" t="n"/>
      <c r="B41" s="7" t="n"/>
      <c r="C41" s="7" t="n"/>
      <c r="D41" s="7" t="n"/>
      <c r="E41" s="8" t="n"/>
      <c r="F41" s="9">
        <f>IF(OR(D41="",E41=""),"",D41*E41)</f>
        <v/>
      </c>
    </row>
    <row r="42">
      <c r="A42" s="7" t="n"/>
      <c r="B42" s="7" t="n"/>
      <c r="C42" s="7" t="n"/>
      <c r="D42" s="7" t="n"/>
      <c r="E42" s="8" t="n"/>
      <c r="F42" s="9">
        <f>IF(OR(D42="",E42=""),"",D42*E42)</f>
        <v/>
      </c>
    </row>
    <row r="43">
      <c r="A43" s="7" t="n"/>
      <c r="B43" s="7" t="n"/>
      <c r="C43" s="7" t="n"/>
      <c r="D43" s="7" t="n"/>
      <c r="E43" s="8" t="n"/>
      <c r="F43" s="9">
        <f>IF(OR(D43="",E43=""),"",D43*E43)</f>
        <v/>
      </c>
    </row>
    <row r="44">
      <c r="A44" s="7" t="n"/>
      <c r="B44" s="7" t="n"/>
      <c r="C44" s="7" t="n"/>
      <c r="D44" s="7" t="n"/>
      <c r="E44" s="8" t="n"/>
      <c r="F44" s="9">
        <f>IF(OR(D44="",E44=""),"",D44*E44)</f>
        <v/>
      </c>
    </row>
    <row r="45">
      <c r="A45" s="7" t="n"/>
      <c r="B45" s="7" t="n"/>
      <c r="C45" s="7" t="n"/>
      <c r="D45" s="7" t="n"/>
      <c r="E45" s="8" t="n"/>
      <c r="F45" s="9">
        <f>IF(OR(D45="",E45=""),"",D45*E45)</f>
        <v/>
      </c>
    </row>
    <row r="46">
      <c r="A46" s="7" t="n"/>
      <c r="B46" s="7" t="n"/>
      <c r="C46" s="7" t="n"/>
      <c r="D46" s="7" t="n"/>
      <c r="E46" s="8" t="n"/>
      <c r="F46" s="9">
        <f>IF(OR(D46="",E46=""),"",D46*E46)</f>
        <v/>
      </c>
    </row>
    <row r="47">
      <c r="A47" s="7" t="n"/>
      <c r="B47" s="7" t="n"/>
      <c r="C47" s="7" t="n"/>
      <c r="D47" s="7" t="n"/>
      <c r="E47" s="8" t="n"/>
      <c r="F47" s="9">
        <f>IF(OR(D47="",E47=""),"",D47*E47)</f>
        <v/>
      </c>
    </row>
    <row r="48">
      <c r="A48" s="7" t="n"/>
      <c r="B48" s="7" t="n"/>
      <c r="C48" s="7" t="n"/>
      <c r="D48" s="7" t="n"/>
      <c r="E48" s="8" t="n"/>
      <c r="F48" s="9">
        <f>IF(OR(D48="",E48=""),"",D48*E48)</f>
        <v/>
      </c>
    </row>
    <row r="49">
      <c r="A49" s="7" t="n"/>
      <c r="B49" s="7" t="n"/>
      <c r="C49" s="7" t="n"/>
      <c r="D49" s="7" t="n"/>
      <c r="E49" s="8" t="n"/>
      <c r="F49" s="9">
        <f>IF(OR(D49="",E49=""),"",D49*E49)</f>
        <v/>
      </c>
    </row>
    <row r="50">
      <c r="A50" s="7" t="n"/>
      <c r="B50" s="7" t="n"/>
      <c r="C50" s="7" t="n"/>
      <c r="D50" s="7" t="n"/>
      <c r="E50" s="8" t="n"/>
      <c r="F50" s="9">
        <f>IF(OR(D50="",E50=""),"",D50*E50)</f>
        <v/>
      </c>
    </row>
    <row r="51">
      <c r="A51" s="7" t="n"/>
      <c r="B51" s="7" t="n"/>
      <c r="C51" s="7" t="n"/>
      <c r="D51" s="7" t="n"/>
      <c r="E51" s="8" t="n"/>
      <c r="F51" s="9">
        <f>IF(OR(D51="",E51=""),"",D51*E51)</f>
        <v/>
      </c>
    </row>
    <row r="52">
      <c r="A52" s="7" t="n"/>
      <c r="B52" s="7" t="n"/>
      <c r="C52" s="7" t="n"/>
      <c r="D52" s="7" t="n"/>
      <c r="E52" s="8" t="n"/>
      <c r="F52" s="9">
        <f>IF(OR(D52="",E52=""),"",D52*E52)</f>
        <v/>
      </c>
    </row>
    <row r="53">
      <c r="A53" s="7" t="n"/>
      <c r="B53" s="7" t="n"/>
      <c r="C53" s="7" t="n"/>
      <c r="D53" s="7" t="n"/>
      <c r="E53" s="8" t="n"/>
      <c r="F53" s="9">
        <f>IF(OR(D53="",E53=""),"",D53*E53)</f>
        <v/>
      </c>
    </row>
    <row r="54">
      <c r="A54" s="7" t="n"/>
      <c r="B54" s="7" t="n"/>
      <c r="C54" s="7" t="n"/>
      <c r="D54" s="7" t="n"/>
      <c r="E54" s="8" t="n"/>
      <c r="F54" s="9">
        <f>IF(OR(D54="",E54=""),"",D54*E54)</f>
        <v/>
      </c>
    </row>
    <row r="55">
      <c r="A55" s="7" t="n"/>
      <c r="B55" s="7" t="n"/>
      <c r="C55" s="7" t="n"/>
      <c r="D55" s="7" t="n"/>
      <c r="E55" s="8" t="n"/>
      <c r="F55" s="9">
        <f>IF(OR(D55="",E55=""),"",D55*E55)</f>
        <v/>
      </c>
    </row>
    <row r="56">
      <c r="A56" s="7" t="n"/>
      <c r="B56" s="7" t="n"/>
      <c r="C56" s="7" t="n"/>
      <c r="D56" s="7" t="n"/>
      <c r="E56" s="8" t="n"/>
      <c r="F56" s="9">
        <f>IF(OR(D56="",E56=""),"",D56*E56)</f>
        <v/>
      </c>
    </row>
    <row r="57">
      <c r="A57" s="7" t="n"/>
      <c r="B57" s="7" t="n"/>
      <c r="C57" s="7" t="n"/>
      <c r="D57" s="7" t="n"/>
      <c r="E57" s="8" t="n"/>
      <c r="F57" s="9">
        <f>IF(OR(D57="",E57=""),"",D57*E57)</f>
        <v/>
      </c>
    </row>
    <row r="58">
      <c r="A58" s="7" t="n"/>
      <c r="B58" s="7" t="n"/>
      <c r="C58" s="7" t="n"/>
      <c r="D58" s="7" t="n"/>
      <c r="E58" s="8" t="n"/>
      <c r="F58" s="9">
        <f>IF(OR(D58="",E58=""),"",D58*E58)</f>
        <v/>
      </c>
    </row>
    <row r="59">
      <c r="A59" s="7" t="n"/>
      <c r="B59" s="7" t="n"/>
      <c r="C59" s="7" t="n"/>
      <c r="D59" s="7" t="n"/>
      <c r="E59" s="8" t="n"/>
      <c r="F59" s="9">
        <f>IF(OR(D59="",E59=""),"",D59*E59)</f>
        <v/>
      </c>
    </row>
    <row r="60">
      <c r="A60" s="7" t="n"/>
      <c r="B60" s="7" t="n"/>
      <c r="C60" s="7" t="n"/>
      <c r="D60" s="7" t="n"/>
      <c r="E60" s="8" t="n"/>
      <c r="F60" s="9">
        <f>IF(OR(D60="",E60=""),"",D60*E60)</f>
        <v/>
      </c>
    </row>
    <row r="61">
      <c r="A61" s="7" t="n"/>
      <c r="B61" s="7" t="n"/>
      <c r="C61" s="7" t="n"/>
      <c r="D61" s="7" t="n"/>
      <c r="E61" s="8" t="n"/>
      <c r="F61" s="9">
        <f>IF(OR(D61="",E61=""),"",D61*E61)</f>
        <v/>
      </c>
    </row>
    <row r="62">
      <c r="A62" s="7" t="n"/>
      <c r="B62" s="7" t="n"/>
      <c r="C62" s="7" t="n"/>
      <c r="D62" s="7" t="n"/>
      <c r="E62" s="8" t="n"/>
      <c r="F62" s="9">
        <f>IF(OR(D62="",E62=""),"",D62*E62)</f>
        <v/>
      </c>
    </row>
    <row r="63">
      <c r="A63" s="7" t="n"/>
      <c r="B63" s="7" t="n"/>
      <c r="C63" s="7" t="n"/>
      <c r="D63" s="7" t="n"/>
      <c r="E63" s="8" t="n"/>
      <c r="F63" s="9">
        <f>IF(OR(D63="",E63=""),"",D63*E63)</f>
        <v/>
      </c>
    </row>
    <row r="64">
      <c r="A64" s="7" t="n"/>
      <c r="B64" s="7" t="n"/>
      <c r="C64" s="7" t="n"/>
      <c r="D64" s="7" t="n"/>
      <c r="E64" s="8" t="n"/>
      <c r="F64" s="9">
        <f>IF(OR(D64="",E64=""),"",D64*E64)</f>
        <v/>
      </c>
    </row>
    <row r="65">
      <c r="A65" s="7" t="n"/>
      <c r="B65" s="7" t="n"/>
      <c r="C65" s="7" t="n"/>
      <c r="D65" s="7" t="n"/>
      <c r="E65" s="8" t="n"/>
      <c r="F65" s="9">
        <f>IF(OR(D65="",E65=""),"",D65*E65)</f>
        <v/>
      </c>
    </row>
    <row r="66">
      <c r="A66" s="7" t="n"/>
      <c r="B66" s="7" t="n"/>
      <c r="C66" s="7" t="n"/>
      <c r="D66" s="7" t="n"/>
      <c r="E66" s="8" t="n"/>
      <c r="F66" s="9">
        <f>IF(OR(D66="",E66=""),"",D66*E66)</f>
        <v/>
      </c>
    </row>
    <row r="67">
      <c r="A67" s="7" t="n"/>
      <c r="B67" s="7" t="n"/>
      <c r="C67" s="7" t="n"/>
      <c r="D67" s="7" t="n"/>
      <c r="E67" s="8" t="n"/>
      <c r="F67" s="9">
        <f>IF(OR(D67="",E67=""),"",D67*E67)</f>
        <v/>
      </c>
    </row>
    <row r="68">
      <c r="A68" s="7" t="n"/>
      <c r="B68" s="7" t="n"/>
      <c r="C68" s="7" t="n"/>
      <c r="D68" s="7" t="n"/>
      <c r="E68" s="8" t="n"/>
      <c r="F68" s="9">
        <f>IF(OR(D68="",E68=""),"",D68*E68)</f>
        <v/>
      </c>
    </row>
    <row r="69">
      <c r="A69" s="7" t="n"/>
      <c r="B69" s="7" t="n"/>
      <c r="C69" s="7" t="n"/>
      <c r="D69" s="7" t="n"/>
      <c r="E69" s="8" t="n"/>
      <c r="F69" s="9">
        <f>IF(OR(D69="",E69=""),"",D69*E69)</f>
        <v/>
      </c>
    </row>
    <row r="70">
      <c r="A70" s="7" t="n"/>
      <c r="B70" s="7" t="n"/>
      <c r="C70" s="7" t="n"/>
      <c r="D70" s="7" t="n"/>
      <c r="E70" s="8" t="n"/>
      <c r="F70" s="9">
        <f>IF(OR(D70="",E70=""),"",D70*E70)</f>
        <v/>
      </c>
    </row>
    <row r="71">
      <c r="A71" s="7" t="n"/>
      <c r="B71" s="7" t="n"/>
      <c r="C71" s="7" t="n"/>
      <c r="D71" s="7" t="n"/>
      <c r="E71" s="8" t="n"/>
      <c r="F71" s="9">
        <f>IF(OR(D71="",E71=""),"",D71*E71)</f>
        <v/>
      </c>
    </row>
    <row r="72">
      <c r="A72" s="7" t="n"/>
      <c r="B72" s="7" t="n"/>
      <c r="C72" s="7" t="n"/>
      <c r="D72" s="7" t="n"/>
      <c r="E72" s="8" t="n"/>
      <c r="F72" s="9">
        <f>IF(OR(D72="",E72=""),"",D72*E72)</f>
        <v/>
      </c>
    </row>
    <row r="73">
      <c r="A73" s="7" t="n"/>
      <c r="B73" s="7" t="n"/>
      <c r="C73" s="7" t="n"/>
      <c r="D73" s="7" t="n"/>
      <c r="E73" s="8" t="n"/>
      <c r="F73" s="9">
        <f>IF(OR(D73="",E73=""),"",D73*E73)</f>
        <v/>
      </c>
    </row>
    <row r="74">
      <c r="A74" s="7" t="n"/>
      <c r="B74" s="7" t="n"/>
      <c r="C74" s="7" t="n"/>
      <c r="D74" s="7" t="n"/>
      <c r="E74" s="8" t="n"/>
      <c r="F74" s="9">
        <f>IF(OR(D74="",E74=""),"",D74*E74)</f>
        <v/>
      </c>
    </row>
    <row r="75">
      <c r="A75" s="7" t="n"/>
      <c r="B75" s="7" t="n"/>
      <c r="C75" s="7" t="n"/>
      <c r="D75" s="7" t="n"/>
      <c r="E75" s="8" t="n"/>
      <c r="F75" s="9">
        <f>IF(OR(D75="",E75=""),"",D75*E75)</f>
        <v/>
      </c>
    </row>
    <row r="76">
      <c r="A76" s="7" t="n"/>
      <c r="B76" s="7" t="n"/>
      <c r="C76" s="7" t="n"/>
      <c r="D76" s="7" t="n"/>
      <c r="E76" s="8" t="n"/>
      <c r="F76" s="9">
        <f>IF(OR(D76="",E76=""),"",D76*E76)</f>
        <v/>
      </c>
    </row>
    <row r="77">
      <c r="A77" s="7" t="n"/>
      <c r="B77" s="7" t="n"/>
      <c r="C77" s="7" t="n"/>
      <c r="D77" s="7" t="n"/>
      <c r="E77" s="8" t="n"/>
      <c r="F77" s="9">
        <f>IF(OR(D77="",E77=""),"",D77*E77)</f>
        <v/>
      </c>
    </row>
    <row r="78">
      <c r="A78" s="7" t="n"/>
      <c r="B78" s="7" t="n"/>
      <c r="C78" s="7" t="n"/>
      <c r="D78" s="7" t="n"/>
      <c r="E78" s="8" t="n"/>
      <c r="F78" s="9">
        <f>IF(OR(D78="",E78=""),"",D78*E78)</f>
        <v/>
      </c>
    </row>
    <row r="79">
      <c r="A79" s="7" t="n"/>
      <c r="B79" s="7" t="n"/>
      <c r="C79" s="7" t="n"/>
      <c r="D79" s="7" t="n"/>
      <c r="E79" s="8" t="n"/>
      <c r="F79" s="9">
        <f>IF(OR(D79="",E79=""),"",D79*E79)</f>
        <v/>
      </c>
    </row>
    <row r="80">
      <c r="A80" s="7" t="n"/>
      <c r="B80" s="7" t="n"/>
      <c r="C80" s="7" t="n"/>
      <c r="D80" s="7" t="n"/>
      <c r="E80" s="8" t="n"/>
      <c r="F80" s="9">
        <f>IF(OR(D80="",E80=""),"",D80*E80)</f>
        <v/>
      </c>
    </row>
    <row r="81">
      <c r="A81" s="7" t="n"/>
      <c r="B81" s="7" t="n"/>
      <c r="C81" s="7" t="n"/>
      <c r="D81" s="7" t="n"/>
      <c r="E81" s="8" t="n"/>
      <c r="F81" s="9">
        <f>IF(OR(D81="",E81=""),"",D81*E81)</f>
        <v/>
      </c>
    </row>
    <row r="82">
      <c r="A82" s="7" t="n"/>
      <c r="B82" s="7" t="n"/>
      <c r="C82" s="7" t="n"/>
      <c r="D82" s="7" t="n"/>
      <c r="E82" s="8" t="n"/>
      <c r="F82" s="9">
        <f>IF(OR(D82="",E82=""),"",D82*E82)</f>
        <v/>
      </c>
    </row>
    <row r="83">
      <c r="A83" s="7" t="n"/>
      <c r="B83" s="7" t="n"/>
      <c r="C83" s="7" t="n"/>
      <c r="D83" s="7" t="n"/>
      <c r="E83" s="8" t="n"/>
      <c r="F83" s="9">
        <f>IF(OR(D83="",E83=""),"",D83*E83)</f>
        <v/>
      </c>
    </row>
    <row r="84">
      <c r="A84" s="7" t="n"/>
      <c r="B84" s="7" t="n"/>
      <c r="C84" s="7" t="n"/>
      <c r="D84" s="7" t="n"/>
      <c r="E84" s="8" t="n"/>
      <c r="F84" s="9">
        <f>IF(OR(D84="",E84=""),"",D84*E84)</f>
        <v/>
      </c>
    </row>
    <row r="85">
      <c r="A85" s="7" t="n"/>
      <c r="B85" s="7" t="n"/>
      <c r="C85" s="7" t="n"/>
      <c r="D85" s="7" t="n"/>
      <c r="E85" s="8" t="n"/>
      <c r="F85" s="9">
        <f>IF(OR(D85="",E85=""),"",D85*E85)</f>
        <v/>
      </c>
    </row>
    <row r="86">
      <c r="A86" s="7" t="n"/>
      <c r="B86" s="7" t="n"/>
      <c r="C86" s="7" t="n"/>
      <c r="D86" s="7" t="n"/>
      <c r="E86" s="8" t="n"/>
      <c r="F86" s="9">
        <f>IF(OR(D86="",E86=""),"",D86*E86)</f>
        <v/>
      </c>
    </row>
    <row r="87">
      <c r="A87" s="7" t="n"/>
      <c r="B87" s="7" t="n"/>
      <c r="C87" s="7" t="n"/>
      <c r="D87" s="7" t="n"/>
      <c r="E87" s="8" t="n"/>
      <c r="F87" s="9">
        <f>IF(OR(D87="",E87=""),"",D87*E87)</f>
        <v/>
      </c>
    </row>
    <row r="88">
      <c r="A88" s="7" t="n"/>
      <c r="B88" s="7" t="n"/>
      <c r="C88" s="7" t="n"/>
      <c r="D88" s="7" t="n"/>
      <c r="E88" s="8" t="n"/>
      <c r="F88" s="9">
        <f>IF(OR(D88="",E88=""),"",D88*E88)</f>
        <v/>
      </c>
    </row>
    <row r="89">
      <c r="A89" s="7" t="n"/>
      <c r="B89" s="7" t="n"/>
      <c r="C89" s="7" t="n"/>
      <c r="D89" s="7" t="n"/>
      <c r="E89" s="8" t="n"/>
      <c r="F89" s="9">
        <f>IF(OR(D89="",E89=""),"",D89*E89)</f>
        <v/>
      </c>
    </row>
    <row r="90">
      <c r="A90" s="7" t="n"/>
      <c r="B90" s="7" t="n"/>
      <c r="C90" s="7" t="n"/>
      <c r="D90" s="7" t="n"/>
      <c r="E90" s="8" t="n"/>
      <c r="F90" s="9">
        <f>IF(OR(D90="",E90=""),"",D90*E90)</f>
        <v/>
      </c>
    </row>
    <row r="91">
      <c r="A91" s="7" t="n"/>
      <c r="B91" s="7" t="n"/>
      <c r="C91" s="7" t="n"/>
      <c r="D91" s="7" t="n"/>
      <c r="E91" s="8" t="n"/>
      <c r="F91" s="9">
        <f>IF(OR(D91="",E91=""),"",D91*E91)</f>
        <v/>
      </c>
    </row>
    <row r="92">
      <c r="A92" s="7" t="n"/>
      <c r="B92" s="7" t="n"/>
      <c r="C92" s="7" t="n"/>
      <c r="D92" s="7" t="n"/>
      <c r="E92" s="8" t="n"/>
      <c r="F92" s="9">
        <f>IF(OR(D92="",E92=""),"",D92*E92)</f>
        <v/>
      </c>
    </row>
    <row r="93">
      <c r="A93" s="7" t="n"/>
      <c r="B93" s="7" t="n"/>
      <c r="C93" s="7" t="n"/>
      <c r="D93" s="7" t="n"/>
      <c r="E93" s="8" t="n"/>
      <c r="F93" s="9">
        <f>IF(OR(D93="",E93=""),"",D93*E93)</f>
        <v/>
      </c>
    </row>
    <row r="94">
      <c r="A94" s="7" t="n"/>
      <c r="B94" s="7" t="n"/>
      <c r="C94" s="7" t="n"/>
      <c r="D94" s="7" t="n"/>
      <c r="E94" s="8" t="n"/>
      <c r="F94" s="9">
        <f>IF(OR(D94="",E94=""),"",D94*E94)</f>
        <v/>
      </c>
    </row>
    <row r="95">
      <c r="A95" s="7" t="n"/>
      <c r="B95" s="7" t="n"/>
      <c r="C95" s="7" t="n"/>
      <c r="D95" s="7" t="n"/>
      <c r="E95" s="8" t="n"/>
      <c r="F95" s="9">
        <f>IF(OR(D95="",E95=""),"",D95*E95)</f>
        <v/>
      </c>
    </row>
    <row r="96">
      <c r="A96" s="7" t="n"/>
      <c r="B96" s="7" t="n"/>
      <c r="C96" s="7" t="n"/>
      <c r="D96" s="7" t="n"/>
      <c r="E96" s="8" t="n"/>
      <c r="F96" s="9">
        <f>IF(OR(D96="",E96=""),"",D96*E96)</f>
        <v/>
      </c>
    </row>
    <row r="97">
      <c r="A97" s="7" t="n"/>
      <c r="B97" s="7" t="n"/>
      <c r="C97" s="7" t="n"/>
      <c r="D97" s="7" t="n"/>
      <c r="E97" s="8" t="n"/>
      <c r="F97" s="9">
        <f>IF(OR(D97="",E97=""),"",D97*E97)</f>
        <v/>
      </c>
    </row>
    <row r="98">
      <c r="A98" s="7" t="n"/>
      <c r="B98" s="7" t="n"/>
      <c r="C98" s="7" t="n"/>
      <c r="D98" s="7" t="n"/>
      <c r="E98" s="8" t="n"/>
      <c r="F98" s="9">
        <f>IF(OR(D98="",E98=""),"",D98*E98)</f>
        <v/>
      </c>
    </row>
    <row r="99">
      <c r="A99" s="7" t="n"/>
      <c r="B99" s="7" t="n"/>
      <c r="C99" s="7" t="n"/>
      <c r="D99" s="7" t="n"/>
      <c r="E99" s="8" t="n"/>
      <c r="F99" s="9">
        <f>IF(OR(D99="",E99=""),"",D99*E99)</f>
        <v/>
      </c>
    </row>
    <row r="100">
      <c r="A100" s="7" t="n"/>
      <c r="B100" s="7" t="n"/>
      <c r="C100" s="7" t="n"/>
      <c r="D100" s="7" t="n"/>
      <c r="E100" s="8" t="n"/>
      <c r="F100" s="9">
        <f>IF(OR(D100="",E100=""),"",D100*E100)</f>
        <v/>
      </c>
    </row>
    <row r="101">
      <c r="A101" s="7" t="n"/>
      <c r="B101" s="7" t="n"/>
      <c r="C101" s="7" t="n"/>
      <c r="D101" s="7" t="n"/>
      <c r="E101" s="8" t="n"/>
      <c r="F101" s="9">
        <f>IF(OR(D101="",E101=""),"",D101*E101)</f>
        <v/>
      </c>
    </row>
    <row r="102">
      <c r="A102" s="7" t="n"/>
      <c r="B102" s="7" t="n"/>
      <c r="C102" s="7" t="n"/>
      <c r="D102" s="7" t="n"/>
      <c r="E102" s="8" t="n"/>
      <c r="F102" s="9">
        <f>IF(OR(D102="",E102=""),"",D102*E102)</f>
        <v/>
      </c>
    </row>
    <row r="103">
      <c r="A103" s="7" t="n"/>
      <c r="B103" s="7" t="n"/>
      <c r="C103" s="7" t="n"/>
      <c r="D103" s="7" t="n"/>
      <c r="E103" s="8" t="n"/>
      <c r="F103" s="9">
        <f>IF(OR(D103="",E103=""),"",D103*E103)</f>
        <v/>
      </c>
    </row>
    <row r="104">
      <c r="A104" s="7" t="n"/>
      <c r="B104" s="7" t="n"/>
      <c r="C104" s="7" t="n"/>
      <c r="D104" s="7" t="n"/>
      <c r="E104" s="8" t="n"/>
      <c r="F104" s="9">
        <f>IF(OR(D104="",E104=""),"",D104*E104)</f>
        <v/>
      </c>
    </row>
    <row r="105">
      <c r="A105" s="7" t="n"/>
      <c r="B105" s="7" t="n"/>
      <c r="C105" s="7" t="n"/>
      <c r="D105" s="7" t="n"/>
      <c r="E105" s="8" t="n"/>
      <c r="F105" s="9">
        <f>IF(OR(D105="",E105=""),"",D105*E105)</f>
        <v/>
      </c>
    </row>
    <row r="106">
      <c r="A106" s="7" t="n"/>
      <c r="B106" s="7" t="n"/>
      <c r="C106" s="7" t="n"/>
      <c r="D106" s="7" t="n"/>
      <c r="E106" s="8" t="n"/>
      <c r="F106" s="9">
        <f>IF(OR(D106="",E106=""),"",D106*E106)</f>
        <v/>
      </c>
    </row>
    <row r="107">
      <c r="A107" s="7" t="n"/>
      <c r="B107" s="7" t="n"/>
      <c r="C107" s="7" t="n"/>
      <c r="D107" s="7" t="n"/>
      <c r="E107" s="8" t="n"/>
      <c r="F107" s="9">
        <f>IF(OR(D107="",E107=""),"",D107*E107)</f>
        <v/>
      </c>
    </row>
    <row r="108">
      <c r="A108" s="7" t="n"/>
      <c r="B108" s="7" t="n"/>
      <c r="C108" s="7" t="n"/>
      <c r="D108" s="7" t="n"/>
      <c r="E108" s="8" t="n"/>
      <c r="F108" s="9">
        <f>IF(OR(D108="",E108=""),"",D108*E108)</f>
        <v/>
      </c>
    </row>
    <row r="109">
      <c r="A109" s="7" t="n"/>
      <c r="B109" s="7" t="n"/>
      <c r="C109" s="7" t="n"/>
      <c r="D109" s="7" t="n"/>
      <c r="E109" s="8" t="n"/>
      <c r="F109" s="9">
        <f>IF(OR(D109="",E109=""),"",D109*E109)</f>
        <v/>
      </c>
    </row>
    <row r="110">
      <c r="A110" s="7" t="n"/>
      <c r="B110" s="7" t="n"/>
      <c r="C110" s="7" t="n"/>
      <c r="D110" s="7" t="n"/>
      <c r="E110" s="8" t="n"/>
      <c r="F110" s="9">
        <f>IF(OR(D110="",E110=""),"",D110*E110)</f>
        <v/>
      </c>
    </row>
    <row r="111">
      <c r="A111" s="7" t="n"/>
      <c r="B111" s="7" t="n"/>
      <c r="C111" s="7" t="n"/>
      <c r="D111" s="7" t="n"/>
      <c r="E111" s="8" t="n"/>
      <c r="F111" s="9">
        <f>IF(OR(D111="",E111=""),"",D111*E111)</f>
        <v/>
      </c>
    </row>
    <row r="112">
      <c r="A112" s="7" t="n"/>
      <c r="B112" s="7" t="n"/>
      <c r="C112" s="7" t="n"/>
      <c r="D112" s="7" t="n"/>
      <c r="E112" s="8" t="n"/>
      <c r="F112" s="9">
        <f>IF(OR(D112="",E112=""),"",D112*E112)</f>
        <v/>
      </c>
    </row>
    <row r="113">
      <c r="A113" s="7" t="n"/>
      <c r="B113" s="7" t="n"/>
      <c r="C113" s="7" t="n"/>
      <c r="D113" s="7" t="n"/>
      <c r="E113" s="8" t="n"/>
      <c r="F113" s="9">
        <f>IF(OR(D113="",E113=""),"",D113*E113)</f>
        <v/>
      </c>
    </row>
    <row r="114">
      <c r="A114" s="7" t="n"/>
      <c r="B114" s="7" t="n"/>
      <c r="C114" s="7" t="n"/>
      <c r="D114" s="7" t="n"/>
      <c r="E114" s="8" t="n"/>
      <c r="F114" s="9">
        <f>IF(OR(D114="",E114=""),"",D114*E114)</f>
        <v/>
      </c>
    </row>
    <row r="115">
      <c r="A115" s="7" t="n"/>
      <c r="B115" s="7" t="n"/>
      <c r="C115" s="7" t="n"/>
      <c r="D115" s="7" t="n"/>
      <c r="E115" s="8" t="n"/>
      <c r="F115" s="9">
        <f>IF(OR(D115="",E115=""),"",D115*E115)</f>
        <v/>
      </c>
    </row>
    <row r="116">
      <c r="A116" s="7" t="n"/>
      <c r="B116" s="7" t="n"/>
      <c r="C116" s="7" t="n"/>
      <c r="D116" s="7" t="n"/>
      <c r="E116" s="8" t="n"/>
      <c r="F116" s="9">
        <f>IF(OR(D116="",E116=""),"",D116*E116)</f>
        <v/>
      </c>
    </row>
    <row r="117">
      <c r="A117" s="7" t="n"/>
      <c r="B117" s="7" t="n"/>
      <c r="C117" s="7" t="n"/>
      <c r="D117" s="7" t="n"/>
      <c r="E117" s="8" t="n"/>
      <c r="F117" s="9">
        <f>IF(OR(D117="",E117=""),"",D117*E117)</f>
        <v/>
      </c>
    </row>
    <row r="118">
      <c r="A118" s="7" t="n"/>
      <c r="B118" s="7" t="n"/>
      <c r="C118" s="7" t="n"/>
      <c r="D118" s="7" t="n"/>
      <c r="E118" s="8" t="n"/>
      <c r="F118" s="9">
        <f>IF(OR(D118="",E118=""),"",D118*E118)</f>
        <v/>
      </c>
    </row>
    <row r="119">
      <c r="A119" s="7" t="n"/>
      <c r="B119" s="7" t="n"/>
      <c r="C119" s="7" t="n"/>
      <c r="D119" s="7" t="n"/>
      <c r="E119" s="8" t="n"/>
      <c r="F119" s="9">
        <f>IF(OR(D119="",E119=""),"",D119*E119)</f>
        <v/>
      </c>
    </row>
    <row r="120">
      <c r="A120" s="7" t="n"/>
      <c r="B120" s="7" t="n"/>
      <c r="C120" s="7" t="n"/>
      <c r="D120" s="7" t="n"/>
      <c r="E120" s="8" t="n"/>
      <c r="F120" s="9">
        <f>IF(OR(D120="",E120=""),"",D120*E120)</f>
        <v/>
      </c>
    </row>
    <row r="121">
      <c r="A121" s="7" t="n"/>
      <c r="B121" s="7" t="n"/>
      <c r="C121" s="7" t="n"/>
      <c r="D121" s="7" t="n"/>
      <c r="E121" s="8" t="n"/>
      <c r="F121" s="9">
        <f>IF(OR(D121="",E121=""),"",D121*E121)</f>
        <v/>
      </c>
    </row>
    <row r="122">
      <c r="A122" s="7" t="n"/>
      <c r="B122" s="7" t="n"/>
      <c r="C122" s="7" t="n"/>
      <c r="D122" s="7" t="n"/>
      <c r="E122" s="8" t="n"/>
      <c r="F122" s="9">
        <f>IF(OR(D122="",E122=""),"",D122*E122)</f>
        <v/>
      </c>
    </row>
    <row r="123">
      <c r="A123" s="7" t="n"/>
      <c r="B123" s="7" t="n"/>
      <c r="C123" s="7" t="n"/>
      <c r="D123" s="7" t="n"/>
      <c r="E123" s="8" t="n"/>
      <c r="F123" s="9">
        <f>IF(OR(D123="",E123=""),"",D123*E123)</f>
        <v/>
      </c>
    </row>
    <row r="124">
      <c r="A124" s="7" t="n"/>
      <c r="B124" s="7" t="n"/>
      <c r="C124" s="7" t="n"/>
      <c r="D124" s="7" t="n"/>
      <c r="E124" s="8" t="n"/>
      <c r="F124" s="9">
        <f>IF(OR(D124="",E124=""),"",D124*E124)</f>
        <v/>
      </c>
    </row>
    <row r="125">
      <c r="A125" s="7" t="n"/>
      <c r="B125" s="7" t="n"/>
      <c r="C125" s="7" t="n"/>
      <c r="D125" s="7" t="n"/>
      <c r="E125" s="8" t="n"/>
      <c r="F125" s="9">
        <f>IF(OR(D125="",E125=""),"",D125*E125)</f>
        <v/>
      </c>
    </row>
    <row r="126">
      <c r="A126" s="7" t="n"/>
      <c r="B126" s="7" t="n"/>
      <c r="C126" s="7" t="n"/>
      <c r="D126" s="7" t="n"/>
      <c r="E126" s="8" t="n"/>
      <c r="F126" s="9">
        <f>IF(OR(D126="",E126=""),"",D126*E126)</f>
        <v/>
      </c>
    </row>
    <row r="127">
      <c r="A127" s="7" t="n"/>
      <c r="B127" s="7" t="n"/>
      <c r="C127" s="7" t="n"/>
      <c r="D127" s="7" t="n"/>
      <c r="E127" s="8" t="n"/>
      <c r="F127" s="9">
        <f>IF(OR(D127="",E127=""),"",D127*E127)</f>
        <v/>
      </c>
    </row>
    <row r="128">
      <c r="A128" s="7" t="n"/>
      <c r="B128" s="7" t="n"/>
      <c r="C128" s="7" t="n"/>
      <c r="D128" s="7" t="n"/>
      <c r="E128" s="8" t="n"/>
      <c r="F128" s="9">
        <f>IF(OR(D128="",E128=""),"",D128*E128)</f>
        <v/>
      </c>
    </row>
    <row r="129">
      <c r="A129" s="7" t="n"/>
      <c r="B129" s="7" t="n"/>
      <c r="C129" s="7" t="n"/>
      <c r="D129" s="7" t="n"/>
      <c r="E129" s="8" t="n"/>
      <c r="F129" s="9">
        <f>IF(OR(D129="",E129=""),"",D129*E129)</f>
        <v/>
      </c>
    </row>
    <row r="130">
      <c r="A130" s="7" t="n"/>
      <c r="B130" s="7" t="n"/>
      <c r="C130" s="7" t="n"/>
      <c r="D130" s="7" t="n"/>
      <c r="E130" s="8" t="n"/>
      <c r="F130" s="9">
        <f>IF(OR(D130="",E130=""),"",D130*E130)</f>
        <v/>
      </c>
    </row>
    <row r="131">
      <c r="A131" s="7" t="n"/>
      <c r="B131" s="7" t="n"/>
      <c r="C131" s="7" t="n"/>
      <c r="D131" s="7" t="n"/>
      <c r="E131" s="8" t="n"/>
      <c r="F131" s="9">
        <f>IF(OR(D131="",E131=""),"",D131*E131)</f>
        <v/>
      </c>
    </row>
    <row r="132">
      <c r="A132" s="7" t="n"/>
      <c r="B132" s="7" t="n"/>
      <c r="C132" s="7" t="n"/>
      <c r="D132" s="7" t="n"/>
      <c r="E132" s="8" t="n"/>
      <c r="F132" s="9">
        <f>IF(OR(D132="",E132=""),"",D132*E132)</f>
        <v/>
      </c>
    </row>
    <row r="133">
      <c r="A133" s="7" t="n"/>
      <c r="B133" s="7" t="n"/>
      <c r="C133" s="7" t="n"/>
      <c r="D133" s="7" t="n"/>
      <c r="E133" s="8" t="n"/>
      <c r="F133" s="9">
        <f>IF(OR(D133="",E133=""),"",D133*E133)</f>
        <v/>
      </c>
    </row>
    <row r="134">
      <c r="A134" s="7" t="n"/>
      <c r="B134" s="7" t="n"/>
      <c r="C134" s="7" t="n"/>
      <c r="D134" s="7" t="n"/>
      <c r="E134" s="8" t="n"/>
      <c r="F134" s="9">
        <f>IF(OR(D134="",E134=""),"",D134*E134)</f>
        <v/>
      </c>
    </row>
    <row r="135">
      <c r="A135" s="7" t="n"/>
      <c r="B135" s="7" t="n"/>
      <c r="C135" s="7" t="n"/>
      <c r="D135" s="7" t="n"/>
      <c r="E135" s="8" t="n"/>
      <c r="F135" s="9">
        <f>IF(OR(D135="",E135=""),"",D135*E135)</f>
        <v/>
      </c>
    </row>
    <row r="136">
      <c r="A136" s="7" t="n"/>
      <c r="B136" s="7" t="n"/>
      <c r="C136" s="7" t="n"/>
      <c r="D136" s="7" t="n"/>
      <c r="E136" s="8" t="n"/>
      <c r="F136" s="9">
        <f>IF(OR(D136="",E136=""),"",D136*E136)</f>
        <v/>
      </c>
    </row>
    <row r="137">
      <c r="A137" s="7" t="n"/>
      <c r="B137" s="7" t="n"/>
      <c r="C137" s="7" t="n"/>
      <c r="D137" s="7" t="n"/>
      <c r="E137" s="8" t="n"/>
      <c r="F137" s="9">
        <f>IF(OR(D137="",E137=""),"",D137*E137)</f>
        <v/>
      </c>
    </row>
    <row r="138">
      <c r="A138" s="7" t="n"/>
      <c r="B138" s="7" t="n"/>
      <c r="C138" s="7" t="n"/>
      <c r="D138" s="7" t="n"/>
      <c r="E138" s="8" t="n"/>
      <c r="F138" s="9">
        <f>IF(OR(D138="",E138=""),"",D138*E138)</f>
        <v/>
      </c>
    </row>
    <row r="139">
      <c r="A139" s="7" t="n"/>
      <c r="B139" s="7" t="n"/>
      <c r="C139" s="7" t="n"/>
      <c r="D139" s="7" t="n"/>
      <c r="E139" s="8" t="n"/>
      <c r="F139" s="9">
        <f>IF(OR(D139="",E139=""),"",D139*E139)</f>
        <v/>
      </c>
    </row>
    <row r="140">
      <c r="A140" s="7" t="n"/>
      <c r="B140" s="7" t="n"/>
      <c r="C140" s="7" t="n"/>
      <c r="D140" s="7" t="n"/>
      <c r="E140" s="8" t="n"/>
      <c r="F140" s="9">
        <f>IF(OR(D140="",E140=""),"",D140*E140)</f>
        <v/>
      </c>
    </row>
    <row r="141">
      <c r="A141" s="7" t="n"/>
      <c r="B141" s="7" t="n"/>
      <c r="C141" s="7" t="n"/>
      <c r="D141" s="7" t="n"/>
      <c r="E141" s="8" t="n"/>
      <c r="F141" s="9">
        <f>IF(OR(D141="",E141=""),"",D141*E141)</f>
        <v/>
      </c>
    </row>
    <row r="142">
      <c r="A142" s="7" t="n"/>
      <c r="B142" s="7" t="n"/>
      <c r="C142" s="7" t="n"/>
      <c r="D142" s="7" t="n"/>
      <c r="E142" s="8" t="n"/>
      <c r="F142" s="9">
        <f>IF(OR(D142="",E142=""),"",D142*E142)</f>
        <v/>
      </c>
    </row>
    <row r="143">
      <c r="A143" s="7" t="n"/>
      <c r="B143" s="7" t="n"/>
      <c r="C143" s="7" t="n"/>
      <c r="D143" s="7" t="n"/>
      <c r="E143" s="8" t="n"/>
      <c r="F143" s="9">
        <f>IF(OR(D143="",E143=""),"",D143*E143)</f>
        <v/>
      </c>
    </row>
    <row r="144">
      <c r="A144" s="7" t="n"/>
      <c r="B144" s="7" t="n"/>
      <c r="C144" s="7" t="n"/>
      <c r="D144" s="7" t="n"/>
      <c r="E144" s="8" t="n"/>
      <c r="F144" s="9">
        <f>IF(OR(D144="",E144=""),"",D144*E144)</f>
        <v/>
      </c>
    </row>
    <row r="145">
      <c r="A145" s="7" t="n"/>
      <c r="B145" s="7" t="n"/>
      <c r="C145" s="7" t="n"/>
      <c r="D145" s="7" t="n"/>
      <c r="E145" s="8" t="n"/>
      <c r="F145" s="9">
        <f>IF(OR(D145="",E145=""),"",D145*E145)</f>
        <v/>
      </c>
    </row>
    <row r="146">
      <c r="A146" s="7" t="n"/>
      <c r="B146" s="7" t="n"/>
      <c r="C146" s="7" t="n"/>
      <c r="D146" s="7" t="n"/>
      <c r="E146" s="8" t="n"/>
      <c r="F146" s="9">
        <f>IF(OR(D146="",E146=""),"",D146*E146)</f>
        <v/>
      </c>
    </row>
    <row r="147">
      <c r="A147" s="7" t="n"/>
      <c r="B147" s="7" t="n"/>
      <c r="C147" s="7" t="n"/>
      <c r="D147" s="7" t="n"/>
      <c r="E147" s="8" t="n"/>
      <c r="F147" s="9">
        <f>IF(OR(D147="",E147=""),"",D147*E147)</f>
        <v/>
      </c>
    </row>
    <row r="148">
      <c r="A148" s="7" t="n"/>
      <c r="B148" s="7" t="n"/>
      <c r="C148" s="7" t="n"/>
      <c r="D148" s="7" t="n"/>
      <c r="E148" s="8" t="n"/>
      <c r="F148" s="9">
        <f>IF(OR(D148="",E148=""),"",D148*E148)</f>
        <v/>
      </c>
    </row>
    <row r="149">
      <c r="A149" s="7" t="n"/>
      <c r="B149" s="7" t="n"/>
      <c r="C149" s="7" t="n"/>
      <c r="D149" s="7" t="n"/>
      <c r="E149" s="8" t="n"/>
      <c r="F149" s="9">
        <f>IF(OR(D149="",E149=""),"",D149*E149)</f>
        <v/>
      </c>
    </row>
    <row r="150">
      <c r="A150" s="7" t="n"/>
      <c r="B150" s="7" t="n"/>
      <c r="C150" s="7" t="n"/>
      <c r="D150" s="7" t="n"/>
      <c r="E150" s="8" t="n"/>
      <c r="F150" s="9">
        <f>IF(OR(D150="",E150=""),"",D150*E150)</f>
        <v/>
      </c>
    </row>
    <row r="151">
      <c r="A151" s="7" t="n"/>
      <c r="B151" s="7" t="n"/>
      <c r="C151" s="7" t="n"/>
      <c r="D151" s="7" t="n"/>
      <c r="E151" s="8" t="n"/>
      <c r="F151" s="9">
        <f>IF(OR(D151="",E151=""),"",D151*E151)</f>
        <v/>
      </c>
    </row>
    <row r="152">
      <c r="A152" s="7" t="n"/>
      <c r="B152" s="7" t="n"/>
      <c r="C152" s="7" t="n"/>
      <c r="D152" s="7" t="n"/>
      <c r="E152" s="8" t="n"/>
      <c r="F152" s="9">
        <f>IF(OR(D152="",E152=""),"",D152*E152)</f>
        <v/>
      </c>
    </row>
    <row r="153">
      <c r="A153" s="7" t="n"/>
      <c r="B153" s="7" t="n"/>
      <c r="C153" s="7" t="n"/>
      <c r="D153" s="7" t="n"/>
      <c r="E153" s="8" t="n"/>
      <c r="F153" s="9">
        <f>IF(OR(D153="",E153=""),"",D153*E153)</f>
        <v/>
      </c>
    </row>
    <row r="154">
      <c r="A154" s="7" t="n"/>
      <c r="B154" s="7" t="n"/>
      <c r="C154" s="7" t="n"/>
      <c r="D154" s="7" t="n"/>
      <c r="E154" s="8" t="n"/>
      <c r="F154" s="9">
        <f>IF(OR(D154="",E154=""),"",D154*E154)</f>
        <v/>
      </c>
    </row>
    <row r="155">
      <c r="A155" s="7" t="n"/>
      <c r="B155" s="7" t="n"/>
      <c r="C155" s="7" t="n"/>
      <c r="D155" s="7" t="n"/>
      <c r="E155" s="8" t="n"/>
      <c r="F155" s="9">
        <f>IF(OR(D155="",E155=""),"",D155*E155)</f>
        <v/>
      </c>
    </row>
    <row r="156">
      <c r="A156" s="7" t="n"/>
      <c r="B156" s="7" t="n"/>
      <c r="C156" s="7" t="n"/>
      <c r="D156" s="7" t="n"/>
      <c r="E156" s="8" t="n"/>
      <c r="F156" s="9">
        <f>IF(OR(D156="",E156=""),"",D156*E156)</f>
        <v/>
      </c>
    </row>
    <row r="157">
      <c r="A157" s="7" t="n"/>
      <c r="B157" s="7" t="n"/>
      <c r="C157" s="7" t="n"/>
      <c r="D157" s="7" t="n"/>
      <c r="E157" s="8" t="n"/>
      <c r="F157" s="9">
        <f>IF(OR(D157="",E157=""),"",D157*E157)</f>
        <v/>
      </c>
    </row>
    <row r="158">
      <c r="A158" s="7" t="n"/>
      <c r="B158" s="7" t="n"/>
      <c r="C158" s="7" t="n"/>
      <c r="D158" s="7" t="n"/>
      <c r="E158" s="8" t="n"/>
      <c r="F158" s="9">
        <f>IF(OR(D158="",E158=""),"",D158*E158)</f>
        <v/>
      </c>
    </row>
    <row r="159">
      <c r="A159" s="7" t="n"/>
      <c r="B159" s="7" t="n"/>
      <c r="C159" s="7" t="n"/>
      <c r="D159" s="7" t="n"/>
      <c r="E159" s="8" t="n"/>
      <c r="F159" s="9">
        <f>IF(OR(D159="",E159=""),"",D159*E159)</f>
        <v/>
      </c>
    </row>
    <row r="160">
      <c r="A160" s="7" t="n"/>
      <c r="B160" s="7" t="n"/>
      <c r="C160" s="7" t="n"/>
      <c r="D160" s="7" t="n"/>
      <c r="E160" s="8" t="n"/>
      <c r="F160" s="9">
        <f>IF(OR(D160="",E160=""),"",D160*E160)</f>
        <v/>
      </c>
    </row>
    <row r="161">
      <c r="A161" s="7" t="n"/>
      <c r="B161" s="7" t="n"/>
      <c r="C161" s="7" t="n"/>
      <c r="D161" s="7" t="n"/>
      <c r="E161" s="8" t="n"/>
      <c r="F161" s="9">
        <f>IF(OR(D161="",E161=""),"",D161*E161)</f>
        <v/>
      </c>
    </row>
    <row r="162">
      <c r="A162" s="7" t="n"/>
      <c r="B162" s="7" t="n"/>
      <c r="C162" s="7" t="n"/>
      <c r="D162" s="7" t="n"/>
      <c r="E162" s="8" t="n"/>
      <c r="F162" s="9">
        <f>IF(OR(D162="",E162=""),"",D162*E162)</f>
        <v/>
      </c>
    </row>
    <row r="163">
      <c r="A163" s="7" t="n"/>
      <c r="B163" s="7" t="n"/>
      <c r="C163" s="7" t="n"/>
      <c r="D163" s="7" t="n"/>
      <c r="E163" s="8" t="n"/>
      <c r="F163" s="9">
        <f>IF(OR(D163="",E163=""),"",D163*E163)</f>
        <v/>
      </c>
    </row>
    <row r="164">
      <c r="A164" s="7" t="n"/>
      <c r="B164" s="7" t="n"/>
      <c r="C164" s="7" t="n"/>
      <c r="D164" s="7" t="n"/>
      <c r="E164" s="8" t="n"/>
      <c r="F164" s="9">
        <f>IF(OR(D164="",E164=""),"",D164*E164)</f>
        <v/>
      </c>
    </row>
    <row r="165">
      <c r="A165" s="7" t="n"/>
      <c r="B165" s="7" t="n"/>
      <c r="C165" s="7" t="n"/>
      <c r="D165" s="7" t="n"/>
      <c r="E165" s="8" t="n"/>
      <c r="F165" s="9">
        <f>IF(OR(D165="",E165=""),"",D165*E165)</f>
        <v/>
      </c>
    </row>
    <row r="166">
      <c r="A166" s="7" t="n"/>
      <c r="B166" s="7" t="n"/>
      <c r="C166" s="7" t="n"/>
      <c r="D166" s="7" t="n"/>
      <c r="E166" s="8" t="n"/>
      <c r="F166" s="9">
        <f>IF(OR(D166="",E166=""),"",D166*E166)</f>
        <v/>
      </c>
    </row>
    <row r="167">
      <c r="A167" s="7" t="n"/>
      <c r="B167" s="7" t="n"/>
      <c r="C167" s="7" t="n"/>
      <c r="D167" s="7" t="n"/>
      <c r="E167" s="8" t="n"/>
      <c r="F167" s="9">
        <f>IF(OR(D167="",E167=""),"",D167*E167)</f>
        <v/>
      </c>
    </row>
    <row r="168">
      <c r="A168" s="7" t="n"/>
      <c r="B168" s="7" t="n"/>
      <c r="C168" s="7" t="n"/>
      <c r="D168" s="7" t="n"/>
      <c r="E168" s="8" t="n"/>
      <c r="F168" s="9">
        <f>IF(OR(D168="",E168=""),"",D168*E168)</f>
        <v/>
      </c>
    </row>
    <row r="169">
      <c r="A169" s="7" t="n"/>
      <c r="B169" s="7" t="n"/>
      <c r="C169" s="7" t="n"/>
      <c r="D169" s="7" t="n"/>
      <c r="E169" s="8" t="n"/>
      <c r="F169" s="9">
        <f>IF(OR(D169="",E169=""),"",D169*E169)</f>
        <v/>
      </c>
    </row>
    <row r="170">
      <c r="A170" s="7" t="n"/>
      <c r="B170" s="7" t="n"/>
      <c r="C170" s="7" t="n"/>
      <c r="D170" s="7" t="n"/>
      <c r="E170" s="8" t="n"/>
      <c r="F170" s="9">
        <f>IF(OR(D170="",E170=""),"",D170*E170)</f>
        <v/>
      </c>
    </row>
    <row r="171">
      <c r="A171" s="7" t="n"/>
      <c r="B171" s="7" t="n"/>
      <c r="C171" s="7" t="n"/>
      <c r="D171" s="7" t="n"/>
      <c r="E171" s="8" t="n"/>
      <c r="F171" s="9">
        <f>IF(OR(D171="",E171=""),"",D171*E171)</f>
        <v/>
      </c>
    </row>
    <row r="172">
      <c r="A172" s="7" t="n"/>
      <c r="B172" s="7" t="n"/>
      <c r="C172" s="7" t="n"/>
      <c r="D172" s="7" t="n"/>
      <c r="E172" s="8" t="n"/>
      <c r="F172" s="9">
        <f>IF(OR(D172="",E172=""),"",D172*E172)</f>
        <v/>
      </c>
    </row>
    <row r="173">
      <c r="A173" s="7" t="n"/>
      <c r="B173" s="7" t="n"/>
      <c r="C173" s="7" t="n"/>
      <c r="D173" s="7" t="n"/>
      <c r="E173" s="8" t="n"/>
      <c r="F173" s="9">
        <f>IF(OR(D173="",E173=""),"",D173*E173)</f>
        <v/>
      </c>
    </row>
    <row r="174">
      <c r="A174" s="7" t="n"/>
      <c r="B174" s="7" t="n"/>
      <c r="C174" s="7" t="n"/>
      <c r="D174" s="7" t="n"/>
      <c r="E174" s="8" t="n"/>
      <c r="F174" s="9">
        <f>IF(OR(D174="",E174=""),"",D174*E174)</f>
        <v/>
      </c>
    </row>
    <row r="175">
      <c r="A175" s="7" t="n"/>
      <c r="B175" s="7" t="n"/>
      <c r="C175" s="7" t="n"/>
      <c r="D175" s="7" t="n"/>
      <c r="E175" s="8" t="n"/>
      <c r="F175" s="9">
        <f>IF(OR(D175="",E175=""),"",D175*E175)</f>
        <v/>
      </c>
    </row>
    <row r="176">
      <c r="A176" s="7" t="n"/>
      <c r="B176" s="7" t="n"/>
      <c r="C176" s="7" t="n"/>
      <c r="D176" s="7" t="n"/>
      <c r="E176" s="8" t="n"/>
      <c r="F176" s="9">
        <f>IF(OR(D176="",E176=""),"",D176*E176)</f>
        <v/>
      </c>
    </row>
    <row r="177">
      <c r="A177" s="7" t="n"/>
      <c r="B177" s="7" t="n"/>
      <c r="C177" s="7" t="n"/>
      <c r="D177" s="7" t="n"/>
      <c r="E177" s="8" t="n"/>
      <c r="F177" s="9">
        <f>IF(OR(D177="",E177=""),"",D177*E177)</f>
        <v/>
      </c>
    </row>
    <row r="178">
      <c r="A178" s="7" t="n"/>
      <c r="B178" s="7" t="n"/>
      <c r="C178" s="7" t="n"/>
      <c r="D178" s="7" t="n"/>
      <c r="E178" s="8" t="n"/>
      <c r="F178" s="9">
        <f>IF(OR(D178="",E178=""),"",D178*E178)</f>
        <v/>
      </c>
    </row>
    <row r="179">
      <c r="A179" s="7" t="n"/>
      <c r="B179" s="7" t="n"/>
      <c r="C179" s="7" t="n"/>
      <c r="D179" s="7" t="n"/>
      <c r="E179" s="8" t="n"/>
      <c r="F179" s="9">
        <f>IF(OR(D179="",E179=""),"",D179*E179)</f>
        <v/>
      </c>
    </row>
    <row r="180">
      <c r="A180" s="7" t="n"/>
      <c r="B180" s="7" t="n"/>
      <c r="C180" s="7" t="n"/>
      <c r="D180" s="7" t="n"/>
      <c r="E180" s="8" t="n"/>
      <c r="F180" s="9">
        <f>IF(OR(D180="",E180=""),"",D180*E180)</f>
        <v/>
      </c>
    </row>
    <row r="181">
      <c r="A181" s="7" t="n"/>
      <c r="B181" s="7" t="n"/>
      <c r="C181" s="7" t="n"/>
      <c r="D181" s="7" t="n"/>
      <c r="E181" s="8" t="n"/>
      <c r="F181" s="9">
        <f>IF(OR(D181="",E181=""),"",D181*E181)</f>
        <v/>
      </c>
    </row>
    <row r="182">
      <c r="A182" s="7" t="n"/>
      <c r="B182" s="7" t="n"/>
      <c r="C182" s="7" t="n"/>
      <c r="D182" s="7" t="n"/>
      <c r="E182" s="8" t="n"/>
      <c r="F182" s="9">
        <f>IF(OR(D182="",E182=""),"",D182*E182)</f>
        <v/>
      </c>
    </row>
    <row r="183">
      <c r="A183" s="7" t="n"/>
      <c r="B183" s="7" t="n"/>
      <c r="C183" s="7" t="n"/>
      <c r="D183" s="7" t="n"/>
      <c r="E183" s="8" t="n"/>
      <c r="F183" s="9">
        <f>IF(OR(D183="",E183=""),"",D183*E183)</f>
        <v/>
      </c>
    </row>
    <row r="184">
      <c r="A184" s="7" t="n"/>
      <c r="B184" s="7" t="n"/>
      <c r="C184" s="7" t="n"/>
      <c r="D184" s="7" t="n"/>
      <c r="E184" s="8" t="n"/>
      <c r="F184" s="9">
        <f>IF(OR(D184="",E184=""),"",D184*E184)</f>
        <v/>
      </c>
    </row>
    <row r="185">
      <c r="A185" s="7" t="n"/>
      <c r="B185" s="7" t="n"/>
      <c r="C185" s="7" t="n"/>
      <c r="D185" s="7" t="n"/>
      <c r="E185" s="8" t="n"/>
      <c r="F185" s="9">
        <f>IF(OR(D185="",E185=""),"",D185*E185)</f>
        <v/>
      </c>
    </row>
    <row r="186">
      <c r="A186" s="7" t="n"/>
      <c r="B186" s="7" t="n"/>
      <c r="C186" s="7" t="n"/>
      <c r="D186" s="7" t="n"/>
      <c r="E186" s="8" t="n"/>
      <c r="F186" s="9">
        <f>IF(OR(D186="",E186=""),"",D186*E186)</f>
        <v/>
      </c>
    </row>
    <row r="187">
      <c r="A187" s="7" t="n"/>
      <c r="B187" s="7" t="n"/>
      <c r="C187" s="7" t="n"/>
      <c r="D187" s="7" t="n"/>
      <c r="E187" s="8" t="n"/>
      <c r="F187" s="9">
        <f>IF(OR(D187="",E187=""),"",D187*E187)</f>
        <v/>
      </c>
    </row>
    <row r="188">
      <c r="A188" s="7" t="n"/>
      <c r="B188" s="7" t="n"/>
      <c r="C188" s="7" t="n"/>
      <c r="D188" s="7" t="n"/>
      <c r="E188" s="8" t="n"/>
      <c r="F188" s="9">
        <f>IF(OR(D188="",E188=""),"",D188*E188)</f>
        <v/>
      </c>
    </row>
    <row r="189">
      <c r="A189" s="7" t="n"/>
      <c r="B189" s="7" t="n"/>
      <c r="C189" s="7" t="n"/>
      <c r="D189" s="7" t="n"/>
      <c r="E189" s="8" t="n"/>
      <c r="F189" s="9">
        <f>IF(OR(D189="",E189=""),"",D189*E189)</f>
        <v/>
      </c>
    </row>
    <row r="190">
      <c r="A190" s="7" t="n"/>
      <c r="B190" s="7" t="n"/>
      <c r="C190" s="7" t="n"/>
      <c r="D190" s="7" t="n"/>
      <c r="E190" s="8" t="n"/>
      <c r="F190" s="9">
        <f>IF(OR(D190="",E190=""),"",D190*E190)</f>
        <v/>
      </c>
    </row>
    <row r="191">
      <c r="A191" s="7" t="n"/>
      <c r="B191" s="7" t="n"/>
      <c r="C191" s="7" t="n"/>
      <c r="D191" s="7" t="n"/>
      <c r="E191" s="8" t="n"/>
      <c r="F191" s="9">
        <f>IF(OR(D191="",E191=""),"",D191*E191)</f>
        <v/>
      </c>
    </row>
    <row r="192">
      <c r="A192" s="7" t="n"/>
      <c r="B192" s="7" t="n"/>
      <c r="C192" s="7" t="n"/>
      <c r="D192" s="7" t="n"/>
      <c r="E192" s="8" t="n"/>
      <c r="F192" s="9">
        <f>IF(OR(D192="",E192=""),"",D192*E192)</f>
        <v/>
      </c>
    </row>
    <row r="193">
      <c r="A193" s="7" t="n"/>
      <c r="B193" s="7" t="n"/>
      <c r="C193" s="7" t="n"/>
      <c r="D193" s="7" t="n"/>
      <c r="E193" s="8" t="n"/>
      <c r="F193" s="9">
        <f>IF(OR(D193="",E193=""),"",D193*E193)</f>
        <v/>
      </c>
    </row>
    <row r="194">
      <c r="A194" s="7" t="n"/>
      <c r="B194" s="7" t="n"/>
      <c r="C194" s="7" t="n"/>
      <c r="D194" s="7" t="n"/>
      <c r="E194" s="8" t="n"/>
      <c r="F194" s="9">
        <f>IF(OR(D194="",E194=""),"",D194*E194)</f>
        <v/>
      </c>
    </row>
    <row r="195">
      <c r="A195" s="7" t="n"/>
      <c r="B195" s="7" t="n"/>
      <c r="C195" s="7" t="n"/>
      <c r="D195" s="7" t="n"/>
      <c r="E195" s="8" t="n"/>
      <c r="F195" s="9">
        <f>IF(OR(D195="",E195=""),"",D195*E195)</f>
        <v/>
      </c>
    </row>
    <row r="196">
      <c r="A196" s="7" t="n"/>
      <c r="B196" s="7" t="n"/>
      <c r="C196" s="7" t="n"/>
      <c r="D196" s="7" t="n"/>
      <c r="E196" s="8" t="n"/>
      <c r="F196" s="9">
        <f>IF(OR(D196="",E196=""),"",D196*E196)</f>
        <v/>
      </c>
    </row>
    <row r="197">
      <c r="A197" s="7" t="n"/>
      <c r="B197" s="7" t="n"/>
      <c r="C197" s="7" t="n"/>
      <c r="D197" s="7" t="n"/>
      <c r="E197" s="8" t="n"/>
      <c r="F197" s="9">
        <f>IF(OR(D197="",E197=""),"",D197*E197)</f>
        <v/>
      </c>
    </row>
    <row r="198">
      <c r="A198" s="7" t="n"/>
      <c r="B198" s="7" t="n"/>
      <c r="C198" s="7" t="n"/>
      <c r="D198" s="7" t="n"/>
      <c r="E198" s="8" t="n"/>
      <c r="F198" s="9">
        <f>IF(OR(D198="",E198=""),"",D198*E198)</f>
        <v/>
      </c>
    </row>
    <row r="199">
      <c r="A199" s="7" t="n"/>
      <c r="B199" s="7" t="n"/>
      <c r="C199" s="7" t="n"/>
      <c r="D199" s="7" t="n"/>
      <c r="E199" s="8" t="n"/>
      <c r="F199" s="9">
        <f>IF(OR(D199="",E199=""),"",D199*E199)</f>
        <v/>
      </c>
    </row>
    <row r="200">
      <c r="A200" s="7" t="n"/>
      <c r="B200" s="7" t="n"/>
      <c r="C200" s="7" t="n"/>
      <c r="D200" s="7" t="n"/>
      <c r="E200" s="8" t="n"/>
      <c r="F200" s="9">
        <f>IF(OR(D200="",E200=""),"",D200*E200)</f>
        <v/>
      </c>
    </row>
    <row r="201">
      <c r="A201" s="7" t="n"/>
      <c r="B201" s="7" t="n"/>
      <c r="C201" s="7" t="n"/>
      <c r="D201" s="7" t="n"/>
      <c r="E201" s="8" t="n"/>
      <c r="F201" s="9">
        <f>IF(OR(D201="",E201=""),"",D201*E201)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20" customWidth="1" min="11" max="11"/>
    <col width="18" customWidth="1" min="12" max="12"/>
    <col width="20" customWidth="1" min="13" max="13"/>
    <col width="20" customWidth="1" min="14" max="14"/>
    <col width="16" customWidth="1" min="15" max="15"/>
    <col width="18" customWidth="1" min="16" max="16"/>
    <col width="18" customWidth="1" min="17" max="17"/>
    <col width="36" customWidth="1" min="18" max="18"/>
    <col width="34" customWidth="1" min="19" max="19"/>
    <col width="8" customWidth="1" min="20" max="20"/>
    <col width="22" customWidth="1" min="21" max="21"/>
    <col width="40" customWidth="1" min="22" max="22"/>
  </cols>
  <sheetData>
    <row r="1" ht="48" customHeight="1">
      <c r="A1" s="3" t="inlineStr">
        <is>
          <t>Código partida</t>
        </is>
      </c>
      <c r="B1" s="3" t="inlineStr">
        <is>
          <t>Descripción partida (itemizado)</t>
        </is>
      </c>
      <c r="C1" s="3" t="inlineStr">
        <is>
          <t>Proveedor</t>
        </is>
      </c>
      <c r="D1" s="3" t="inlineStr">
        <is>
          <t>Versión final (Sí/No)</t>
        </is>
      </c>
      <c r="E1" s="3" t="inlineStr">
        <is>
          <t>Moneda original (PEN/USD)</t>
        </is>
      </c>
      <c r="F1" s="3" t="inlineStr">
        <is>
          <t>Unidad ofertada</t>
        </is>
      </c>
      <c r="G1" s="3" t="inlineStr">
        <is>
          <t>Cantidad ofertada</t>
        </is>
      </c>
      <c r="H1" s="3" t="inlineStr">
        <is>
          <t>Precio unitario original</t>
        </is>
      </c>
      <c r="I1" s="3" t="inlineStr">
        <is>
          <t>Precio unitario S/ (calc.)</t>
        </is>
      </c>
      <c r="J1" s="3" t="inlineStr">
        <is>
          <t>Metrado referencial (calc.)</t>
        </is>
      </c>
      <c r="K1" s="3" t="inlineStr">
        <is>
          <t>Costo referencial unitario S/ (calc.)</t>
        </is>
      </c>
      <c r="L1" s="3" t="inlineStr">
        <is>
          <t>Parcial S/ ofertado (calc.)</t>
        </is>
      </c>
      <c r="M1" s="3" t="inlineStr">
        <is>
          <t>Presupuesto referencial S/ (calc.)</t>
        </is>
      </c>
      <c r="N1" s="3" t="inlineStr">
        <is>
          <t>Desviación de precio vs referencia % (calc.)</t>
        </is>
      </c>
      <c r="O1" s="3" t="inlineStr">
        <is>
          <t>Diferencia de metrado (calc.)</t>
        </is>
      </c>
      <c r="P1" s="3" t="inlineStr">
        <is>
          <t>IGV incluido (Sí/No/Pendiente)</t>
        </is>
      </c>
      <c r="Q1" s="3" t="inlineStr">
        <is>
          <t>Alcance coincide (Sí/No/Pendiente)</t>
        </is>
      </c>
      <c r="R1" s="3" t="inlineStr">
        <is>
          <t>Equivalencia propuesta</t>
        </is>
      </c>
      <c r="S1" s="3" t="inlineStr">
        <is>
          <t>Archivo de evidencia</t>
        </is>
      </c>
      <c r="T1" s="3" t="inlineStr">
        <is>
          <t>Página</t>
        </is>
      </c>
      <c r="U1" s="3" t="inlineStr">
        <is>
          <t>Estado revisión (Pendiente/Aprobado/Rechazado)</t>
        </is>
      </c>
      <c r="V1" s="3" t="inlineStr">
        <is>
          <t>Observación</t>
        </is>
      </c>
    </row>
    <row r="2">
      <c r="H2" s="10" t="n"/>
      <c r="I2" s="9">
        <f>IF(H2="","",IF(E2="USD",H2*Parametros!$B$2,H2))</f>
        <v/>
      </c>
      <c r="J2" s="9">
        <f>IF(A2="","",IFERROR(VLOOKUP(A2,Partidas!$A$2:$E$201,4,FALSE),""))</f>
        <v/>
      </c>
      <c r="K2" s="9">
        <f>IF(A2="","",IFERROR(VLOOKUP(A2,Partidas!$A$2:$E$201,5,FALSE),""))</f>
        <v/>
      </c>
      <c r="L2" s="9">
        <f>IF(OR(I2="",G2=""),"",G2*I2)</f>
        <v/>
      </c>
      <c r="M2" s="9">
        <f>IF(OR(J2="",K2=""),"",J2*K2)</f>
        <v/>
      </c>
      <c r="N2" s="11">
        <f>IF(OR(I2="",K2="",K2=0),"",(I2-K2)/K2)</f>
        <v/>
      </c>
      <c r="O2" s="9">
        <f>IF(OR(G2="",J2=""),"",G2-J2)</f>
        <v/>
      </c>
    </row>
    <row r="3">
      <c r="H3" s="10" t="n"/>
      <c r="I3" s="9">
        <f>IF(H3="","",IF(E3="USD",H3*Parametros!$B$2,H3))</f>
        <v/>
      </c>
      <c r="J3" s="9">
        <f>IF(A3="","",IFERROR(VLOOKUP(A3,Partidas!$A$2:$E$201,4,FALSE),""))</f>
        <v/>
      </c>
      <c r="K3" s="9">
        <f>IF(A3="","",IFERROR(VLOOKUP(A3,Partidas!$A$2:$E$201,5,FALSE),""))</f>
        <v/>
      </c>
      <c r="L3" s="9">
        <f>IF(OR(I3="",G3=""),"",G3*I3)</f>
        <v/>
      </c>
      <c r="M3" s="9">
        <f>IF(OR(J3="",K3=""),"",J3*K3)</f>
        <v/>
      </c>
      <c r="N3" s="11">
        <f>IF(OR(I3="",K3="",K3=0),"",(I3-K3)/K3)</f>
        <v/>
      </c>
      <c r="O3" s="9">
        <f>IF(OR(G3="",J3=""),"",G3-J3)</f>
        <v/>
      </c>
    </row>
    <row r="4">
      <c r="H4" s="10" t="n"/>
      <c r="I4" s="9">
        <f>IF(H4="","",IF(E4="USD",H4*Parametros!$B$2,H4))</f>
        <v/>
      </c>
      <c r="J4" s="9">
        <f>IF(A4="","",IFERROR(VLOOKUP(A4,Partidas!$A$2:$E$201,4,FALSE),""))</f>
        <v/>
      </c>
      <c r="K4" s="9">
        <f>IF(A4="","",IFERROR(VLOOKUP(A4,Partidas!$A$2:$E$201,5,FALSE),""))</f>
        <v/>
      </c>
      <c r="L4" s="9">
        <f>IF(OR(I4="",G4=""),"",G4*I4)</f>
        <v/>
      </c>
      <c r="M4" s="9">
        <f>IF(OR(J4="",K4=""),"",J4*K4)</f>
        <v/>
      </c>
      <c r="N4" s="11">
        <f>IF(OR(I4="",K4="",K4=0),"",(I4-K4)/K4)</f>
        <v/>
      </c>
      <c r="O4" s="9">
        <f>IF(OR(G4="",J4=""),"",G4-J4)</f>
        <v/>
      </c>
    </row>
    <row r="5">
      <c r="H5" s="10" t="n"/>
      <c r="I5" s="9">
        <f>IF(H5="","",IF(E5="USD",H5*Parametros!$B$2,H5))</f>
        <v/>
      </c>
      <c r="J5" s="9">
        <f>IF(A5="","",IFERROR(VLOOKUP(A5,Partidas!$A$2:$E$201,4,FALSE),""))</f>
        <v/>
      </c>
      <c r="K5" s="9">
        <f>IF(A5="","",IFERROR(VLOOKUP(A5,Partidas!$A$2:$E$201,5,FALSE),""))</f>
        <v/>
      </c>
      <c r="L5" s="9">
        <f>IF(OR(I5="",G5=""),"",G5*I5)</f>
        <v/>
      </c>
      <c r="M5" s="9">
        <f>IF(OR(J5="",K5=""),"",J5*K5)</f>
        <v/>
      </c>
      <c r="N5" s="11">
        <f>IF(OR(I5="",K5="",K5=0),"",(I5-K5)/K5)</f>
        <v/>
      </c>
      <c r="O5" s="9">
        <f>IF(OR(G5="",J5=""),"",G5-J5)</f>
        <v/>
      </c>
    </row>
    <row r="6">
      <c r="H6" s="10" t="n"/>
      <c r="I6" s="9">
        <f>IF(H6="","",IF(E6="USD",H6*Parametros!$B$2,H6))</f>
        <v/>
      </c>
      <c r="J6" s="9">
        <f>IF(A6="","",IFERROR(VLOOKUP(A6,Partidas!$A$2:$E$201,4,FALSE),""))</f>
        <v/>
      </c>
      <c r="K6" s="9">
        <f>IF(A6="","",IFERROR(VLOOKUP(A6,Partidas!$A$2:$E$201,5,FALSE),""))</f>
        <v/>
      </c>
      <c r="L6" s="9">
        <f>IF(OR(I6="",G6=""),"",G6*I6)</f>
        <v/>
      </c>
      <c r="M6" s="9">
        <f>IF(OR(J6="",K6=""),"",J6*K6)</f>
        <v/>
      </c>
      <c r="N6" s="11">
        <f>IF(OR(I6="",K6="",K6=0),"",(I6-K6)/K6)</f>
        <v/>
      </c>
      <c r="O6" s="9">
        <f>IF(OR(G6="",J6=""),"",G6-J6)</f>
        <v/>
      </c>
    </row>
    <row r="7">
      <c r="H7" s="10" t="n"/>
      <c r="I7" s="9">
        <f>IF(H7="","",IF(E7="USD",H7*Parametros!$B$2,H7))</f>
        <v/>
      </c>
      <c r="J7" s="9">
        <f>IF(A7="","",IFERROR(VLOOKUP(A7,Partidas!$A$2:$E$201,4,FALSE),""))</f>
        <v/>
      </c>
      <c r="K7" s="9">
        <f>IF(A7="","",IFERROR(VLOOKUP(A7,Partidas!$A$2:$E$201,5,FALSE),""))</f>
        <v/>
      </c>
      <c r="L7" s="9">
        <f>IF(OR(I7="",G7=""),"",G7*I7)</f>
        <v/>
      </c>
      <c r="M7" s="9">
        <f>IF(OR(J7="",K7=""),"",J7*K7)</f>
        <v/>
      </c>
      <c r="N7" s="11">
        <f>IF(OR(I7="",K7="",K7=0),"",(I7-K7)/K7)</f>
        <v/>
      </c>
      <c r="O7" s="9">
        <f>IF(OR(G7="",J7=""),"",G7-J7)</f>
        <v/>
      </c>
    </row>
    <row r="8">
      <c r="H8" s="10" t="n"/>
      <c r="I8" s="9">
        <f>IF(H8="","",IF(E8="USD",H8*Parametros!$B$2,H8))</f>
        <v/>
      </c>
      <c r="J8" s="9">
        <f>IF(A8="","",IFERROR(VLOOKUP(A8,Partidas!$A$2:$E$201,4,FALSE),""))</f>
        <v/>
      </c>
      <c r="K8" s="9">
        <f>IF(A8="","",IFERROR(VLOOKUP(A8,Partidas!$A$2:$E$201,5,FALSE),""))</f>
        <v/>
      </c>
      <c r="L8" s="9">
        <f>IF(OR(I8="",G8=""),"",G8*I8)</f>
        <v/>
      </c>
      <c r="M8" s="9">
        <f>IF(OR(J8="",K8=""),"",J8*K8)</f>
        <v/>
      </c>
      <c r="N8" s="11">
        <f>IF(OR(I8="",K8="",K8=0),"",(I8-K8)/K8)</f>
        <v/>
      </c>
      <c r="O8" s="9">
        <f>IF(OR(G8="",J8=""),"",G8-J8)</f>
        <v/>
      </c>
    </row>
    <row r="9">
      <c r="H9" s="10" t="n"/>
      <c r="I9" s="9">
        <f>IF(H9="","",IF(E9="USD",H9*Parametros!$B$2,H9))</f>
        <v/>
      </c>
      <c r="J9" s="9">
        <f>IF(A9="","",IFERROR(VLOOKUP(A9,Partidas!$A$2:$E$201,4,FALSE),""))</f>
        <v/>
      </c>
      <c r="K9" s="9">
        <f>IF(A9="","",IFERROR(VLOOKUP(A9,Partidas!$A$2:$E$201,5,FALSE),""))</f>
        <v/>
      </c>
      <c r="L9" s="9">
        <f>IF(OR(I9="",G9=""),"",G9*I9)</f>
        <v/>
      </c>
      <c r="M9" s="9">
        <f>IF(OR(J9="",K9=""),"",J9*K9)</f>
        <v/>
      </c>
      <c r="N9" s="11">
        <f>IF(OR(I9="",K9="",K9=0),"",(I9-K9)/K9)</f>
        <v/>
      </c>
      <c r="O9" s="9">
        <f>IF(OR(G9="",J9=""),"",G9-J9)</f>
        <v/>
      </c>
    </row>
    <row r="10">
      <c r="H10" s="10" t="n"/>
      <c r="I10" s="9">
        <f>IF(H10="","",IF(E10="USD",H10*Parametros!$B$2,H10))</f>
        <v/>
      </c>
      <c r="J10" s="9">
        <f>IF(A10="","",IFERROR(VLOOKUP(A10,Partidas!$A$2:$E$201,4,FALSE),""))</f>
        <v/>
      </c>
      <c r="K10" s="9">
        <f>IF(A10="","",IFERROR(VLOOKUP(A10,Partidas!$A$2:$E$201,5,FALSE),""))</f>
        <v/>
      </c>
      <c r="L10" s="9">
        <f>IF(OR(I10="",G10=""),"",G10*I10)</f>
        <v/>
      </c>
      <c r="M10" s="9">
        <f>IF(OR(J10="",K10=""),"",J10*K10)</f>
        <v/>
      </c>
      <c r="N10" s="11">
        <f>IF(OR(I10="",K10="",K10=0),"",(I10-K10)/K10)</f>
        <v/>
      </c>
      <c r="O10" s="9">
        <f>IF(OR(G10="",J10=""),"",G10-J10)</f>
        <v/>
      </c>
    </row>
    <row r="11">
      <c r="H11" s="10" t="n"/>
      <c r="I11" s="9">
        <f>IF(H11="","",IF(E11="USD",H11*Parametros!$B$2,H11))</f>
        <v/>
      </c>
      <c r="J11" s="9">
        <f>IF(A11="","",IFERROR(VLOOKUP(A11,Partidas!$A$2:$E$201,4,FALSE),""))</f>
        <v/>
      </c>
      <c r="K11" s="9">
        <f>IF(A11="","",IFERROR(VLOOKUP(A11,Partidas!$A$2:$E$201,5,FALSE),""))</f>
        <v/>
      </c>
      <c r="L11" s="9">
        <f>IF(OR(I11="",G11=""),"",G11*I11)</f>
        <v/>
      </c>
      <c r="M11" s="9">
        <f>IF(OR(J11="",K11=""),"",J11*K11)</f>
        <v/>
      </c>
      <c r="N11" s="11">
        <f>IF(OR(I11="",K11="",K11=0),"",(I11-K11)/K11)</f>
        <v/>
      </c>
      <c r="O11" s="9">
        <f>IF(OR(G11="",J11=""),"",G11-J11)</f>
        <v/>
      </c>
    </row>
    <row r="12">
      <c r="H12" s="10" t="n"/>
      <c r="I12" s="9">
        <f>IF(H12="","",IF(E12="USD",H12*Parametros!$B$2,H12))</f>
        <v/>
      </c>
      <c r="J12" s="9">
        <f>IF(A12="","",IFERROR(VLOOKUP(A12,Partidas!$A$2:$E$201,4,FALSE),""))</f>
        <v/>
      </c>
      <c r="K12" s="9">
        <f>IF(A12="","",IFERROR(VLOOKUP(A12,Partidas!$A$2:$E$201,5,FALSE),""))</f>
        <v/>
      </c>
      <c r="L12" s="9">
        <f>IF(OR(I12="",G12=""),"",G12*I12)</f>
        <v/>
      </c>
      <c r="M12" s="9">
        <f>IF(OR(J12="",K12=""),"",J12*K12)</f>
        <v/>
      </c>
      <c r="N12" s="11">
        <f>IF(OR(I12="",K12="",K12=0),"",(I12-K12)/K12)</f>
        <v/>
      </c>
      <c r="O12" s="9">
        <f>IF(OR(G12="",J12=""),"",G12-J12)</f>
        <v/>
      </c>
    </row>
    <row r="13">
      <c r="H13" s="10" t="n"/>
      <c r="I13" s="9">
        <f>IF(H13="","",IF(E13="USD",H13*Parametros!$B$2,H13))</f>
        <v/>
      </c>
      <c r="J13" s="9">
        <f>IF(A13="","",IFERROR(VLOOKUP(A13,Partidas!$A$2:$E$201,4,FALSE),""))</f>
        <v/>
      </c>
      <c r="K13" s="9">
        <f>IF(A13="","",IFERROR(VLOOKUP(A13,Partidas!$A$2:$E$201,5,FALSE),""))</f>
        <v/>
      </c>
      <c r="L13" s="9">
        <f>IF(OR(I13="",G13=""),"",G13*I13)</f>
        <v/>
      </c>
      <c r="M13" s="9">
        <f>IF(OR(J13="",K13=""),"",J13*K13)</f>
        <v/>
      </c>
      <c r="N13" s="11">
        <f>IF(OR(I13="",K13="",K13=0),"",(I13-K13)/K13)</f>
        <v/>
      </c>
      <c r="O13" s="9">
        <f>IF(OR(G13="",J13=""),"",G13-J13)</f>
        <v/>
      </c>
    </row>
    <row r="14">
      <c r="H14" s="10" t="n"/>
      <c r="I14" s="9">
        <f>IF(H14="","",IF(E14="USD",H14*Parametros!$B$2,H14))</f>
        <v/>
      </c>
      <c r="J14" s="9">
        <f>IF(A14="","",IFERROR(VLOOKUP(A14,Partidas!$A$2:$E$201,4,FALSE),""))</f>
        <v/>
      </c>
      <c r="K14" s="9">
        <f>IF(A14="","",IFERROR(VLOOKUP(A14,Partidas!$A$2:$E$201,5,FALSE),""))</f>
        <v/>
      </c>
      <c r="L14" s="9">
        <f>IF(OR(I14="",G14=""),"",G14*I14)</f>
        <v/>
      </c>
      <c r="M14" s="9">
        <f>IF(OR(J14="",K14=""),"",J14*K14)</f>
        <v/>
      </c>
      <c r="N14" s="11">
        <f>IF(OR(I14="",K14="",K14=0),"",(I14-K14)/K14)</f>
        <v/>
      </c>
      <c r="O14" s="9">
        <f>IF(OR(G14="",J14=""),"",G14-J14)</f>
        <v/>
      </c>
    </row>
    <row r="15">
      <c r="H15" s="10" t="n"/>
      <c r="I15" s="9">
        <f>IF(H15="","",IF(E15="USD",H15*Parametros!$B$2,H15))</f>
        <v/>
      </c>
      <c r="J15" s="9">
        <f>IF(A15="","",IFERROR(VLOOKUP(A15,Partidas!$A$2:$E$201,4,FALSE),""))</f>
        <v/>
      </c>
      <c r="K15" s="9">
        <f>IF(A15="","",IFERROR(VLOOKUP(A15,Partidas!$A$2:$E$201,5,FALSE),""))</f>
        <v/>
      </c>
      <c r="L15" s="9">
        <f>IF(OR(I15="",G15=""),"",G15*I15)</f>
        <v/>
      </c>
      <c r="M15" s="9">
        <f>IF(OR(J15="",K15=""),"",J15*K15)</f>
        <v/>
      </c>
      <c r="N15" s="11">
        <f>IF(OR(I15="",K15="",K15=0),"",(I15-K15)/K15)</f>
        <v/>
      </c>
      <c r="O15" s="9">
        <f>IF(OR(G15="",J15=""),"",G15-J15)</f>
        <v/>
      </c>
    </row>
    <row r="16">
      <c r="H16" s="10" t="n"/>
      <c r="I16" s="9">
        <f>IF(H16="","",IF(E16="USD",H16*Parametros!$B$2,H16))</f>
        <v/>
      </c>
      <c r="J16" s="9">
        <f>IF(A16="","",IFERROR(VLOOKUP(A16,Partidas!$A$2:$E$201,4,FALSE),""))</f>
        <v/>
      </c>
      <c r="K16" s="9">
        <f>IF(A16="","",IFERROR(VLOOKUP(A16,Partidas!$A$2:$E$201,5,FALSE),""))</f>
        <v/>
      </c>
      <c r="L16" s="9">
        <f>IF(OR(I16="",G16=""),"",G16*I16)</f>
        <v/>
      </c>
      <c r="M16" s="9">
        <f>IF(OR(J16="",K16=""),"",J16*K16)</f>
        <v/>
      </c>
      <c r="N16" s="11">
        <f>IF(OR(I16="",K16="",K16=0),"",(I16-K16)/K16)</f>
        <v/>
      </c>
      <c r="O16" s="9">
        <f>IF(OR(G16="",J16=""),"",G16-J16)</f>
        <v/>
      </c>
    </row>
    <row r="17">
      <c r="H17" s="10" t="n"/>
      <c r="I17" s="9">
        <f>IF(H17="","",IF(E17="USD",H17*Parametros!$B$2,H17))</f>
        <v/>
      </c>
      <c r="J17" s="9">
        <f>IF(A17="","",IFERROR(VLOOKUP(A17,Partidas!$A$2:$E$201,4,FALSE),""))</f>
        <v/>
      </c>
      <c r="K17" s="9">
        <f>IF(A17="","",IFERROR(VLOOKUP(A17,Partidas!$A$2:$E$201,5,FALSE),""))</f>
        <v/>
      </c>
      <c r="L17" s="9">
        <f>IF(OR(I17="",G17=""),"",G17*I17)</f>
        <v/>
      </c>
      <c r="M17" s="9">
        <f>IF(OR(J17="",K17=""),"",J17*K17)</f>
        <v/>
      </c>
      <c r="N17" s="11">
        <f>IF(OR(I17="",K17="",K17=0),"",(I17-K17)/K17)</f>
        <v/>
      </c>
      <c r="O17" s="9">
        <f>IF(OR(G17="",J17=""),"",G17-J17)</f>
        <v/>
      </c>
    </row>
    <row r="18">
      <c r="H18" s="10" t="n"/>
      <c r="I18" s="9">
        <f>IF(H18="","",IF(E18="USD",H18*Parametros!$B$2,H18))</f>
        <v/>
      </c>
      <c r="J18" s="9">
        <f>IF(A18="","",IFERROR(VLOOKUP(A18,Partidas!$A$2:$E$201,4,FALSE),""))</f>
        <v/>
      </c>
      <c r="K18" s="9">
        <f>IF(A18="","",IFERROR(VLOOKUP(A18,Partidas!$A$2:$E$201,5,FALSE),""))</f>
        <v/>
      </c>
      <c r="L18" s="9">
        <f>IF(OR(I18="",G18=""),"",G18*I18)</f>
        <v/>
      </c>
      <c r="M18" s="9">
        <f>IF(OR(J18="",K18=""),"",J18*K18)</f>
        <v/>
      </c>
      <c r="N18" s="11">
        <f>IF(OR(I18="",K18="",K18=0),"",(I18-K18)/K18)</f>
        <v/>
      </c>
      <c r="O18" s="9">
        <f>IF(OR(G18="",J18=""),"",G18-J18)</f>
        <v/>
      </c>
    </row>
    <row r="19">
      <c r="H19" s="10" t="n"/>
      <c r="I19" s="9">
        <f>IF(H19="","",IF(E19="USD",H19*Parametros!$B$2,H19))</f>
        <v/>
      </c>
      <c r="J19" s="9">
        <f>IF(A19="","",IFERROR(VLOOKUP(A19,Partidas!$A$2:$E$201,4,FALSE),""))</f>
        <v/>
      </c>
      <c r="K19" s="9">
        <f>IF(A19="","",IFERROR(VLOOKUP(A19,Partidas!$A$2:$E$201,5,FALSE),""))</f>
        <v/>
      </c>
      <c r="L19" s="9">
        <f>IF(OR(I19="",G19=""),"",G19*I19)</f>
        <v/>
      </c>
      <c r="M19" s="9">
        <f>IF(OR(J19="",K19=""),"",J19*K19)</f>
        <v/>
      </c>
      <c r="N19" s="11">
        <f>IF(OR(I19="",K19="",K19=0),"",(I19-K19)/K19)</f>
        <v/>
      </c>
      <c r="O19" s="9">
        <f>IF(OR(G19="",J19=""),"",G19-J19)</f>
        <v/>
      </c>
    </row>
    <row r="20">
      <c r="H20" s="10" t="n"/>
      <c r="I20" s="9">
        <f>IF(H20="","",IF(E20="USD",H20*Parametros!$B$2,H20))</f>
        <v/>
      </c>
      <c r="J20" s="9">
        <f>IF(A20="","",IFERROR(VLOOKUP(A20,Partidas!$A$2:$E$201,4,FALSE),""))</f>
        <v/>
      </c>
      <c r="K20" s="9">
        <f>IF(A20="","",IFERROR(VLOOKUP(A20,Partidas!$A$2:$E$201,5,FALSE),""))</f>
        <v/>
      </c>
      <c r="L20" s="9">
        <f>IF(OR(I20="",G20=""),"",G20*I20)</f>
        <v/>
      </c>
      <c r="M20" s="9">
        <f>IF(OR(J20="",K20=""),"",J20*K20)</f>
        <v/>
      </c>
      <c r="N20" s="11">
        <f>IF(OR(I20="",K20="",K20=0),"",(I20-K20)/K20)</f>
        <v/>
      </c>
      <c r="O20" s="9">
        <f>IF(OR(G20="",J20=""),"",G20-J20)</f>
        <v/>
      </c>
    </row>
    <row r="21">
      <c r="H21" s="10" t="n"/>
      <c r="I21" s="9">
        <f>IF(H21="","",IF(E21="USD",H21*Parametros!$B$2,H21))</f>
        <v/>
      </c>
      <c r="J21" s="9">
        <f>IF(A21="","",IFERROR(VLOOKUP(A21,Partidas!$A$2:$E$201,4,FALSE),""))</f>
        <v/>
      </c>
      <c r="K21" s="9">
        <f>IF(A21="","",IFERROR(VLOOKUP(A21,Partidas!$A$2:$E$201,5,FALSE),""))</f>
        <v/>
      </c>
      <c r="L21" s="9">
        <f>IF(OR(I21="",G21=""),"",G21*I21)</f>
        <v/>
      </c>
      <c r="M21" s="9">
        <f>IF(OR(J21="",K21=""),"",J21*K21)</f>
        <v/>
      </c>
      <c r="N21" s="11">
        <f>IF(OR(I21="",K21="",K21=0),"",(I21-K21)/K21)</f>
        <v/>
      </c>
      <c r="O21" s="9">
        <f>IF(OR(G21="",J21=""),"",G21-J21)</f>
        <v/>
      </c>
    </row>
    <row r="22">
      <c r="H22" s="10" t="n"/>
      <c r="I22" s="9">
        <f>IF(H22="","",IF(E22="USD",H22*Parametros!$B$2,H22))</f>
        <v/>
      </c>
      <c r="J22" s="9">
        <f>IF(A22="","",IFERROR(VLOOKUP(A22,Partidas!$A$2:$E$201,4,FALSE),""))</f>
        <v/>
      </c>
      <c r="K22" s="9">
        <f>IF(A22="","",IFERROR(VLOOKUP(A22,Partidas!$A$2:$E$201,5,FALSE),""))</f>
        <v/>
      </c>
      <c r="L22" s="9">
        <f>IF(OR(I22="",G22=""),"",G22*I22)</f>
        <v/>
      </c>
      <c r="M22" s="9">
        <f>IF(OR(J22="",K22=""),"",J22*K22)</f>
        <v/>
      </c>
      <c r="N22" s="11">
        <f>IF(OR(I22="",K22="",K22=0),"",(I22-K22)/K22)</f>
        <v/>
      </c>
      <c r="O22" s="9">
        <f>IF(OR(G22="",J22=""),"",G22-J22)</f>
        <v/>
      </c>
    </row>
    <row r="23">
      <c r="H23" s="10" t="n"/>
      <c r="I23" s="9">
        <f>IF(H23="","",IF(E23="USD",H23*Parametros!$B$2,H23))</f>
        <v/>
      </c>
      <c r="J23" s="9">
        <f>IF(A23="","",IFERROR(VLOOKUP(A23,Partidas!$A$2:$E$201,4,FALSE),""))</f>
        <v/>
      </c>
      <c r="K23" s="9">
        <f>IF(A23="","",IFERROR(VLOOKUP(A23,Partidas!$A$2:$E$201,5,FALSE),""))</f>
        <v/>
      </c>
      <c r="L23" s="9">
        <f>IF(OR(I23="",G23=""),"",G23*I23)</f>
        <v/>
      </c>
      <c r="M23" s="9">
        <f>IF(OR(J23="",K23=""),"",J23*K23)</f>
        <v/>
      </c>
      <c r="N23" s="11">
        <f>IF(OR(I23="",K23="",K23=0),"",(I23-K23)/K23)</f>
        <v/>
      </c>
      <c r="O23" s="9">
        <f>IF(OR(G23="",J23=""),"",G23-J23)</f>
        <v/>
      </c>
    </row>
    <row r="24">
      <c r="H24" s="10" t="n"/>
      <c r="I24" s="9">
        <f>IF(H24="","",IF(E24="USD",H24*Parametros!$B$2,H24))</f>
        <v/>
      </c>
      <c r="J24" s="9">
        <f>IF(A24="","",IFERROR(VLOOKUP(A24,Partidas!$A$2:$E$201,4,FALSE),""))</f>
        <v/>
      </c>
      <c r="K24" s="9">
        <f>IF(A24="","",IFERROR(VLOOKUP(A24,Partidas!$A$2:$E$201,5,FALSE),""))</f>
        <v/>
      </c>
      <c r="L24" s="9">
        <f>IF(OR(I24="",G24=""),"",G24*I24)</f>
        <v/>
      </c>
      <c r="M24" s="9">
        <f>IF(OR(J24="",K24=""),"",J24*K24)</f>
        <v/>
      </c>
      <c r="N24" s="11">
        <f>IF(OR(I24="",K24="",K24=0),"",(I24-K24)/K24)</f>
        <v/>
      </c>
      <c r="O24" s="9">
        <f>IF(OR(G24="",J24=""),"",G24-J24)</f>
        <v/>
      </c>
    </row>
    <row r="25">
      <c r="H25" s="10" t="n"/>
      <c r="I25" s="9">
        <f>IF(H25="","",IF(E25="USD",H25*Parametros!$B$2,H25))</f>
        <v/>
      </c>
      <c r="J25" s="9">
        <f>IF(A25="","",IFERROR(VLOOKUP(A25,Partidas!$A$2:$E$201,4,FALSE),""))</f>
        <v/>
      </c>
      <c r="K25" s="9">
        <f>IF(A25="","",IFERROR(VLOOKUP(A25,Partidas!$A$2:$E$201,5,FALSE),""))</f>
        <v/>
      </c>
      <c r="L25" s="9">
        <f>IF(OR(I25="",G25=""),"",G25*I25)</f>
        <v/>
      </c>
      <c r="M25" s="9">
        <f>IF(OR(J25="",K25=""),"",J25*K25)</f>
        <v/>
      </c>
      <c r="N25" s="11">
        <f>IF(OR(I25="",K25="",K25=0),"",(I25-K25)/K25)</f>
        <v/>
      </c>
      <c r="O25" s="9">
        <f>IF(OR(G25="",J25=""),"",G25-J25)</f>
        <v/>
      </c>
    </row>
    <row r="26">
      <c r="H26" s="10" t="n"/>
      <c r="I26" s="9">
        <f>IF(H26="","",IF(E26="USD",H26*Parametros!$B$2,H26))</f>
        <v/>
      </c>
      <c r="J26" s="9">
        <f>IF(A26="","",IFERROR(VLOOKUP(A26,Partidas!$A$2:$E$201,4,FALSE),""))</f>
        <v/>
      </c>
      <c r="K26" s="9">
        <f>IF(A26="","",IFERROR(VLOOKUP(A26,Partidas!$A$2:$E$201,5,FALSE),""))</f>
        <v/>
      </c>
      <c r="L26" s="9">
        <f>IF(OR(I26="",G26=""),"",G26*I26)</f>
        <v/>
      </c>
      <c r="M26" s="9">
        <f>IF(OR(J26="",K26=""),"",J26*K26)</f>
        <v/>
      </c>
      <c r="N26" s="11">
        <f>IF(OR(I26="",K26="",K26=0),"",(I26-K26)/K26)</f>
        <v/>
      </c>
      <c r="O26" s="9">
        <f>IF(OR(G26="",J26=""),"",G26-J26)</f>
        <v/>
      </c>
    </row>
    <row r="27">
      <c r="H27" s="10" t="n"/>
      <c r="I27" s="9">
        <f>IF(H27="","",IF(E27="USD",H27*Parametros!$B$2,H27))</f>
        <v/>
      </c>
      <c r="J27" s="9">
        <f>IF(A27="","",IFERROR(VLOOKUP(A27,Partidas!$A$2:$E$201,4,FALSE),""))</f>
        <v/>
      </c>
      <c r="K27" s="9">
        <f>IF(A27="","",IFERROR(VLOOKUP(A27,Partidas!$A$2:$E$201,5,FALSE),""))</f>
        <v/>
      </c>
      <c r="L27" s="9">
        <f>IF(OR(I27="",G27=""),"",G27*I27)</f>
        <v/>
      </c>
      <c r="M27" s="9">
        <f>IF(OR(J27="",K27=""),"",J27*K27)</f>
        <v/>
      </c>
      <c r="N27" s="11">
        <f>IF(OR(I27="",K27="",K27=0),"",(I27-K27)/K27)</f>
        <v/>
      </c>
      <c r="O27" s="9">
        <f>IF(OR(G27="",J27=""),"",G27-J27)</f>
        <v/>
      </c>
    </row>
    <row r="28">
      <c r="H28" s="10" t="n"/>
      <c r="I28" s="9">
        <f>IF(H28="","",IF(E28="USD",H28*Parametros!$B$2,H28))</f>
        <v/>
      </c>
      <c r="J28" s="9">
        <f>IF(A28="","",IFERROR(VLOOKUP(A28,Partidas!$A$2:$E$201,4,FALSE),""))</f>
        <v/>
      </c>
      <c r="K28" s="9">
        <f>IF(A28="","",IFERROR(VLOOKUP(A28,Partidas!$A$2:$E$201,5,FALSE),""))</f>
        <v/>
      </c>
      <c r="L28" s="9">
        <f>IF(OR(I28="",G28=""),"",G28*I28)</f>
        <v/>
      </c>
      <c r="M28" s="9">
        <f>IF(OR(J28="",K28=""),"",J28*K28)</f>
        <v/>
      </c>
      <c r="N28" s="11">
        <f>IF(OR(I28="",K28="",K28=0),"",(I28-K28)/K28)</f>
        <v/>
      </c>
      <c r="O28" s="9">
        <f>IF(OR(G28="",J28=""),"",G28-J28)</f>
        <v/>
      </c>
    </row>
    <row r="29">
      <c r="H29" s="10" t="n"/>
      <c r="I29" s="9">
        <f>IF(H29="","",IF(E29="USD",H29*Parametros!$B$2,H29))</f>
        <v/>
      </c>
      <c r="J29" s="9">
        <f>IF(A29="","",IFERROR(VLOOKUP(A29,Partidas!$A$2:$E$201,4,FALSE),""))</f>
        <v/>
      </c>
      <c r="K29" s="9">
        <f>IF(A29="","",IFERROR(VLOOKUP(A29,Partidas!$A$2:$E$201,5,FALSE),""))</f>
        <v/>
      </c>
      <c r="L29" s="9">
        <f>IF(OR(I29="",G29=""),"",G29*I29)</f>
        <v/>
      </c>
      <c r="M29" s="9">
        <f>IF(OR(J29="",K29=""),"",J29*K29)</f>
        <v/>
      </c>
      <c r="N29" s="11">
        <f>IF(OR(I29="",K29="",K29=0),"",(I29-K29)/K29)</f>
        <v/>
      </c>
      <c r="O29" s="9">
        <f>IF(OR(G29="",J29=""),"",G29-J29)</f>
        <v/>
      </c>
    </row>
    <row r="30">
      <c r="H30" s="10" t="n"/>
      <c r="I30" s="9">
        <f>IF(H30="","",IF(E30="USD",H30*Parametros!$B$2,H30))</f>
        <v/>
      </c>
      <c r="J30" s="9">
        <f>IF(A30="","",IFERROR(VLOOKUP(A30,Partidas!$A$2:$E$201,4,FALSE),""))</f>
        <v/>
      </c>
      <c r="K30" s="9">
        <f>IF(A30="","",IFERROR(VLOOKUP(A30,Partidas!$A$2:$E$201,5,FALSE),""))</f>
        <v/>
      </c>
      <c r="L30" s="9">
        <f>IF(OR(I30="",G30=""),"",G30*I30)</f>
        <v/>
      </c>
      <c r="M30" s="9">
        <f>IF(OR(J30="",K30=""),"",J30*K30)</f>
        <v/>
      </c>
      <c r="N30" s="11">
        <f>IF(OR(I30="",K30="",K30=0),"",(I30-K30)/K30)</f>
        <v/>
      </c>
      <c r="O30" s="9">
        <f>IF(OR(G30="",J30=""),"",G30-J30)</f>
        <v/>
      </c>
    </row>
    <row r="31">
      <c r="H31" s="10" t="n"/>
      <c r="I31" s="9">
        <f>IF(H31="","",IF(E31="USD",H31*Parametros!$B$2,H31))</f>
        <v/>
      </c>
      <c r="J31" s="9">
        <f>IF(A31="","",IFERROR(VLOOKUP(A31,Partidas!$A$2:$E$201,4,FALSE),""))</f>
        <v/>
      </c>
      <c r="K31" s="9">
        <f>IF(A31="","",IFERROR(VLOOKUP(A31,Partidas!$A$2:$E$201,5,FALSE),""))</f>
        <v/>
      </c>
      <c r="L31" s="9">
        <f>IF(OR(I31="",G31=""),"",G31*I31)</f>
        <v/>
      </c>
      <c r="M31" s="9">
        <f>IF(OR(J31="",K31=""),"",J31*K31)</f>
        <v/>
      </c>
      <c r="N31" s="11">
        <f>IF(OR(I31="",K31="",K31=0),"",(I31-K31)/K31)</f>
        <v/>
      </c>
      <c r="O31" s="9">
        <f>IF(OR(G31="",J31=""),"",G31-J31)</f>
        <v/>
      </c>
    </row>
    <row r="32">
      <c r="H32" s="10" t="n"/>
      <c r="I32" s="9">
        <f>IF(H32="","",IF(E32="USD",H32*Parametros!$B$2,H32))</f>
        <v/>
      </c>
      <c r="J32" s="9">
        <f>IF(A32="","",IFERROR(VLOOKUP(A32,Partidas!$A$2:$E$201,4,FALSE),""))</f>
        <v/>
      </c>
      <c r="K32" s="9">
        <f>IF(A32="","",IFERROR(VLOOKUP(A32,Partidas!$A$2:$E$201,5,FALSE),""))</f>
        <v/>
      </c>
      <c r="L32" s="9">
        <f>IF(OR(I32="",G32=""),"",G32*I32)</f>
        <v/>
      </c>
      <c r="M32" s="9">
        <f>IF(OR(J32="",K32=""),"",J32*K32)</f>
        <v/>
      </c>
      <c r="N32" s="11">
        <f>IF(OR(I32="",K32="",K32=0),"",(I32-K32)/K32)</f>
        <v/>
      </c>
      <c r="O32" s="9">
        <f>IF(OR(G32="",J32=""),"",G32-J32)</f>
        <v/>
      </c>
    </row>
    <row r="33">
      <c r="H33" s="10" t="n"/>
      <c r="I33" s="9">
        <f>IF(H33="","",IF(E33="USD",H33*Parametros!$B$2,H33))</f>
        <v/>
      </c>
      <c r="J33" s="9">
        <f>IF(A33="","",IFERROR(VLOOKUP(A33,Partidas!$A$2:$E$201,4,FALSE),""))</f>
        <v/>
      </c>
      <c r="K33" s="9">
        <f>IF(A33="","",IFERROR(VLOOKUP(A33,Partidas!$A$2:$E$201,5,FALSE),""))</f>
        <v/>
      </c>
      <c r="L33" s="9">
        <f>IF(OR(I33="",G33=""),"",G33*I33)</f>
        <v/>
      </c>
      <c r="M33" s="9">
        <f>IF(OR(J33="",K33=""),"",J33*K33)</f>
        <v/>
      </c>
      <c r="N33" s="11">
        <f>IF(OR(I33="",K33="",K33=0),"",(I33-K33)/K33)</f>
        <v/>
      </c>
      <c r="O33" s="9">
        <f>IF(OR(G33="",J33=""),"",G33-J33)</f>
        <v/>
      </c>
    </row>
    <row r="34">
      <c r="H34" s="10" t="n"/>
      <c r="I34" s="9">
        <f>IF(H34="","",IF(E34="USD",H34*Parametros!$B$2,H34))</f>
        <v/>
      </c>
      <c r="J34" s="9">
        <f>IF(A34="","",IFERROR(VLOOKUP(A34,Partidas!$A$2:$E$201,4,FALSE),""))</f>
        <v/>
      </c>
      <c r="K34" s="9">
        <f>IF(A34="","",IFERROR(VLOOKUP(A34,Partidas!$A$2:$E$201,5,FALSE),""))</f>
        <v/>
      </c>
      <c r="L34" s="9">
        <f>IF(OR(I34="",G34=""),"",G34*I34)</f>
        <v/>
      </c>
      <c r="M34" s="9">
        <f>IF(OR(J34="",K34=""),"",J34*K34)</f>
        <v/>
      </c>
      <c r="N34" s="11">
        <f>IF(OR(I34="",K34="",K34=0),"",(I34-K34)/K34)</f>
        <v/>
      </c>
      <c r="O34" s="9">
        <f>IF(OR(G34="",J34=""),"",G34-J34)</f>
        <v/>
      </c>
    </row>
    <row r="35">
      <c r="H35" s="10" t="n"/>
      <c r="I35" s="9">
        <f>IF(H35="","",IF(E35="USD",H35*Parametros!$B$2,H35))</f>
        <v/>
      </c>
      <c r="J35" s="9">
        <f>IF(A35="","",IFERROR(VLOOKUP(A35,Partidas!$A$2:$E$201,4,FALSE),""))</f>
        <v/>
      </c>
      <c r="K35" s="9">
        <f>IF(A35="","",IFERROR(VLOOKUP(A35,Partidas!$A$2:$E$201,5,FALSE),""))</f>
        <v/>
      </c>
      <c r="L35" s="9">
        <f>IF(OR(I35="",G35=""),"",G35*I35)</f>
        <v/>
      </c>
      <c r="M35" s="9">
        <f>IF(OR(J35="",K35=""),"",J35*K35)</f>
        <v/>
      </c>
      <c r="N35" s="11">
        <f>IF(OR(I35="",K35="",K35=0),"",(I35-K35)/K35)</f>
        <v/>
      </c>
      <c r="O35" s="9">
        <f>IF(OR(G35="",J35=""),"",G35-J35)</f>
        <v/>
      </c>
    </row>
    <row r="36">
      <c r="H36" s="10" t="n"/>
      <c r="I36" s="9">
        <f>IF(H36="","",IF(E36="USD",H36*Parametros!$B$2,H36))</f>
        <v/>
      </c>
      <c r="J36" s="9">
        <f>IF(A36="","",IFERROR(VLOOKUP(A36,Partidas!$A$2:$E$201,4,FALSE),""))</f>
        <v/>
      </c>
      <c r="K36" s="9">
        <f>IF(A36="","",IFERROR(VLOOKUP(A36,Partidas!$A$2:$E$201,5,FALSE),""))</f>
        <v/>
      </c>
      <c r="L36" s="9">
        <f>IF(OR(I36="",G36=""),"",G36*I36)</f>
        <v/>
      </c>
      <c r="M36" s="9">
        <f>IF(OR(J36="",K36=""),"",J36*K36)</f>
        <v/>
      </c>
      <c r="N36" s="11">
        <f>IF(OR(I36="",K36="",K36=0),"",(I36-K36)/K36)</f>
        <v/>
      </c>
      <c r="O36" s="9">
        <f>IF(OR(G36="",J36=""),"",G36-J36)</f>
        <v/>
      </c>
    </row>
    <row r="37">
      <c r="H37" s="10" t="n"/>
      <c r="I37" s="9">
        <f>IF(H37="","",IF(E37="USD",H37*Parametros!$B$2,H37))</f>
        <v/>
      </c>
      <c r="J37" s="9">
        <f>IF(A37="","",IFERROR(VLOOKUP(A37,Partidas!$A$2:$E$201,4,FALSE),""))</f>
        <v/>
      </c>
      <c r="K37" s="9">
        <f>IF(A37="","",IFERROR(VLOOKUP(A37,Partidas!$A$2:$E$201,5,FALSE),""))</f>
        <v/>
      </c>
      <c r="L37" s="9">
        <f>IF(OR(I37="",G37=""),"",G37*I37)</f>
        <v/>
      </c>
      <c r="M37" s="9">
        <f>IF(OR(J37="",K37=""),"",J37*K37)</f>
        <v/>
      </c>
      <c r="N37" s="11">
        <f>IF(OR(I37="",K37="",K37=0),"",(I37-K37)/K37)</f>
        <v/>
      </c>
      <c r="O37" s="9">
        <f>IF(OR(G37="",J37=""),"",G37-J37)</f>
        <v/>
      </c>
    </row>
    <row r="38">
      <c r="H38" s="10" t="n"/>
      <c r="I38" s="9">
        <f>IF(H38="","",IF(E38="USD",H38*Parametros!$B$2,H38))</f>
        <v/>
      </c>
      <c r="J38" s="9">
        <f>IF(A38="","",IFERROR(VLOOKUP(A38,Partidas!$A$2:$E$201,4,FALSE),""))</f>
        <v/>
      </c>
      <c r="K38" s="9">
        <f>IF(A38="","",IFERROR(VLOOKUP(A38,Partidas!$A$2:$E$201,5,FALSE),""))</f>
        <v/>
      </c>
      <c r="L38" s="9">
        <f>IF(OR(I38="",G38=""),"",G38*I38)</f>
        <v/>
      </c>
      <c r="M38" s="9">
        <f>IF(OR(J38="",K38=""),"",J38*K38)</f>
        <v/>
      </c>
      <c r="N38" s="11">
        <f>IF(OR(I38="",K38="",K38=0),"",(I38-K38)/K38)</f>
        <v/>
      </c>
      <c r="O38" s="9">
        <f>IF(OR(G38="",J38=""),"",G38-J38)</f>
        <v/>
      </c>
    </row>
    <row r="39">
      <c r="H39" s="10" t="n"/>
      <c r="I39" s="9">
        <f>IF(H39="","",IF(E39="USD",H39*Parametros!$B$2,H39))</f>
        <v/>
      </c>
      <c r="J39" s="9">
        <f>IF(A39="","",IFERROR(VLOOKUP(A39,Partidas!$A$2:$E$201,4,FALSE),""))</f>
        <v/>
      </c>
      <c r="K39" s="9">
        <f>IF(A39="","",IFERROR(VLOOKUP(A39,Partidas!$A$2:$E$201,5,FALSE),""))</f>
        <v/>
      </c>
      <c r="L39" s="9">
        <f>IF(OR(I39="",G39=""),"",G39*I39)</f>
        <v/>
      </c>
      <c r="M39" s="9">
        <f>IF(OR(J39="",K39=""),"",J39*K39)</f>
        <v/>
      </c>
      <c r="N39" s="11">
        <f>IF(OR(I39="",K39="",K39=0),"",(I39-K39)/K39)</f>
        <v/>
      </c>
      <c r="O39" s="9">
        <f>IF(OR(G39="",J39=""),"",G39-J39)</f>
        <v/>
      </c>
    </row>
    <row r="40">
      <c r="H40" s="10" t="n"/>
      <c r="I40" s="9">
        <f>IF(H40="","",IF(E40="USD",H40*Parametros!$B$2,H40))</f>
        <v/>
      </c>
      <c r="J40" s="9">
        <f>IF(A40="","",IFERROR(VLOOKUP(A40,Partidas!$A$2:$E$201,4,FALSE),""))</f>
        <v/>
      </c>
      <c r="K40" s="9">
        <f>IF(A40="","",IFERROR(VLOOKUP(A40,Partidas!$A$2:$E$201,5,FALSE),""))</f>
        <v/>
      </c>
      <c r="L40" s="9">
        <f>IF(OR(I40="",G40=""),"",G40*I40)</f>
        <v/>
      </c>
      <c r="M40" s="9">
        <f>IF(OR(J40="",K40=""),"",J40*K40)</f>
        <v/>
      </c>
      <c r="N40" s="11">
        <f>IF(OR(I40="",K40="",K40=0),"",(I40-K40)/K40)</f>
        <v/>
      </c>
      <c r="O40" s="9">
        <f>IF(OR(G40="",J40=""),"",G40-J40)</f>
        <v/>
      </c>
    </row>
    <row r="41">
      <c r="H41" s="10" t="n"/>
      <c r="I41" s="9">
        <f>IF(H41="","",IF(E41="USD",H41*Parametros!$B$2,H41))</f>
        <v/>
      </c>
      <c r="J41" s="9">
        <f>IF(A41="","",IFERROR(VLOOKUP(A41,Partidas!$A$2:$E$201,4,FALSE),""))</f>
        <v/>
      </c>
      <c r="K41" s="9">
        <f>IF(A41="","",IFERROR(VLOOKUP(A41,Partidas!$A$2:$E$201,5,FALSE),""))</f>
        <v/>
      </c>
      <c r="L41" s="9">
        <f>IF(OR(I41="",G41=""),"",G41*I41)</f>
        <v/>
      </c>
      <c r="M41" s="9">
        <f>IF(OR(J41="",K41=""),"",J41*K41)</f>
        <v/>
      </c>
      <c r="N41" s="11">
        <f>IF(OR(I41="",K41="",K41=0),"",(I41-K41)/K41)</f>
        <v/>
      </c>
      <c r="O41" s="9">
        <f>IF(OR(G41="",J41=""),"",G41-J41)</f>
        <v/>
      </c>
    </row>
    <row r="42">
      <c r="H42" s="10" t="n"/>
      <c r="I42" s="9">
        <f>IF(H42="","",IF(E42="USD",H42*Parametros!$B$2,H42))</f>
        <v/>
      </c>
      <c r="J42" s="9">
        <f>IF(A42="","",IFERROR(VLOOKUP(A42,Partidas!$A$2:$E$201,4,FALSE),""))</f>
        <v/>
      </c>
      <c r="K42" s="9">
        <f>IF(A42="","",IFERROR(VLOOKUP(A42,Partidas!$A$2:$E$201,5,FALSE),""))</f>
        <v/>
      </c>
      <c r="L42" s="9">
        <f>IF(OR(I42="",G42=""),"",G42*I42)</f>
        <v/>
      </c>
      <c r="M42" s="9">
        <f>IF(OR(J42="",K42=""),"",J42*K42)</f>
        <v/>
      </c>
      <c r="N42" s="11">
        <f>IF(OR(I42="",K42="",K42=0),"",(I42-K42)/K42)</f>
        <v/>
      </c>
      <c r="O42" s="9">
        <f>IF(OR(G42="",J42=""),"",G42-J42)</f>
        <v/>
      </c>
    </row>
    <row r="43">
      <c r="H43" s="10" t="n"/>
      <c r="I43" s="9">
        <f>IF(H43="","",IF(E43="USD",H43*Parametros!$B$2,H43))</f>
        <v/>
      </c>
      <c r="J43" s="9">
        <f>IF(A43="","",IFERROR(VLOOKUP(A43,Partidas!$A$2:$E$201,4,FALSE),""))</f>
        <v/>
      </c>
      <c r="K43" s="9">
        <f>IF(A43="","",IFERROR(VLOOKUP(A43,Partidas!$A$2:$E$201,5,FALSE),""))</f>
        <v/>
      </c>
      <c r="L43" s="9">
        <f>IF(OR(I43="",G43=""),"",G43*I43)</f>
        <v/>
      </c>
      <c r="M43" s="9">
        <f>IF(OR(J43="",K43=""),"",J43*K43)</f>
        <v/>
      </c>
      <c r="N43" s="11">
        <f>IF(OR(I43="",K43="",K43=0),"",(I43-K43)/K43)</f>
        <v/>
      </c>
      <c r="O43" s="9">
        <f>IF(OR(G43="",J43=""),"",G43-J43)</f>
        <v/>
      </c>
    </row>
    <row r="44">
      <c r="H44" s="10" t="n"/>
      <c r="I44" s="9">
        <f>IF(H44="","",IF(E44="USD",H44*Parametros!$B$2,H44))</f>
        <v/>
      </c>
      <c r="J44" s="9">
        <f>IF(A44="","",IFERROR(VLOOKUP(A44,Partidas!$A$2:$E$201,4,FALSE),""))</f>
        <v/>
      </c>
      <c r="K44" s="9">
        <f>IF(A44="","",IFERROR(VLOOKUP(A44,Partidas!$A$2:$E$201,5,FALSE),""))</f>
        <v/>
      </c>
      <c r="L44" s="9">
        <f>IF(OR(I44="",G44=""),"",G44*I44)</f>
        <v/>
      </c>
      <c r="M44" s="9">
        <f>IF(OR(J44="",K44=""),"",J44*K44)</f>
        <v/>
      </c>
      <c r="N44" s="11">
        <f>IF(OR(I44="",K44="",K44=0),"",(I44-K44)/K44)</f>
        <v/>
      </c>
      <c r="O44" s="9">
        <f>IF(OR(G44="",J44=""),"",G44-J44)</f>
        <v/>
      </c>
    </row>
    <row r="45">
      <c r="H45" s="10" t="n"/>
      <c r="I45" s="9">
        <f>IF(H45="","",IF(E45="USD",H45*Parametros!$B$2,H45))</f>
        <v/>
      </c>
      <c r="J45" s="9">
        <f>IF(A45="","",IFERROR(VLOOKUP(A45,Partidas!$A$2:$E$201,4,FALSE),""))</f>
        <v/>
      </c>
      <c r="K45" s="9">
        <f>IF(A45="","",IFERROR(VLOOKUP(A45,Partidas!$A$2:$E$201,5,FALSE),""))</f>
        <v/>
      </c>
      <c r="L45" s="9">
        <f>IF(OR(I45="",G45=""),"",G45*I45)</f>
        <v/>
      </c>
      <c r="M45" s="9">
        <f>IF(OR(J45="",K45=""),"",J45*K45)</f>
        <v/>
      </c>
      <c r="N45" s="11">
        <f>IF(OR(I45="",K45="",K45=0),"",(I45-K45)/K45)</f>
        <v/>
      </c>
      <c r="O45" s="9">
        <f>IF(OR(G45="",J45=""),"",G45-J45)</f>
        <v/>
      </c>
    </row>
    <row r="46">
      <c r="H46" s="10" t="n"/>
      <c r="I46" s="9">
        <f>IF(H46="","",IF(E46="USD",H46*Parametros!$B$2,H46))</f>
        <v/>
      </c>
      <c r="J46" s="9">
        <f>IF(A46="","",IFERROR(VLOOKUP(A46,Partidas!$A$2:$E$201,4,FALSE),""))</f>
        <v/>
      </c>
      <c r="K46" s="9">
        <f>IF(A46="","",IFERROR(VLOOKUP(A46,Partidas!$A$2:$E$201,5,FALSE),""))</f>
        <v/>
      </c>
      <c r="L46" s="9">
        <f>IF(OR(I46="",G46=""),"",G46*I46)</f>
        <v/>
      </c>
      <c r="M46" s="9">
        <f>IF(OR(J46="",K46=""),"",J46*K46)</f>
        <v/>
      </c>
      <c r="N46" s="11">
        <f>IF(OR(I46="",K46="",K46=0),"",(I46-K46)/K46)</f>
        <v/>
      </c>
      <c r="O46" s="9">
        <f>IF(OR(G46="",J46=""),"",G46-J46)</f>
        <v/>
      </c>
    </row>
    <row r="47">
      <c r="H47" s="10" t="n"/>
      <c r="I47" s="9">
        <f>IF(H47="","",IF(E47="USD",H47*Parametros!$B$2,H47))</f>
        <v/>
      </c>
      <c r="J47" s="9">
        <f>IF(A47="","",IFERROR(VLOOKUP(A47,Partidas!$A$2:$E$201,4,FALSE),""))</f>
        <v/>
      </c>
      <c r="K47" s="9">
        <f>IF(A47="","",IFERROR(VLOOKUP(A47,Partidas!$A$2:$E$201,5,FALSE),""))</f>
        <v/>
      </c>
      <c r="L47" s="9">
        <f>IF(OR(I47="",G47=""),"",G47*I47)</f>
        <v/>
      </c>
      <c r="M47" s="9">
        <f>IF(OR(J47="",K47=""),"",J47*K47)</f>
        <v/>
      </c>
      <c r="N47" s="11">
        <f>IF(OR(I47="",K47="",K47=0),"",(I47-K47)/K47)</f>
        <v/>
      </c>
      <c r="O47" s="9">
        <f>IF(OR(G47="",J47=""),"",G47-J47)</f>
        <v/>
      </c>
    </row>
    <row r="48">
      <c r="H48" s="10" t="n"/>
      <c r="I48" s="9">
        <f>IF(H48="","",IF(E48="USD",H48*Parametros!$B$2,H48))</f>
        <v/>
      </c>
      <c r="J48" s="9">
        <f>IF(A48="","",IFERROR(VLOOKUP(A48,Partidas!$A$2:$E$201,4,FALSE),""))</f>
        <v/>
      </c>
      <c r="K48" s="9">
        <f>IF(A48="","",IFERROR(VLOOKUP(A48,Partidas!$A$2:$E$201,5,FALSE),""))</f>
        <v/>
      </c>
      <c r="L48" s="9">
        <f>IF(OR(I48="",G48=""),"",G48*I48)</f>
        <v/>
      </c>
      <c r="M48" s="9">
        <f>IF(OR(J48="",K48=""),"",J48*K48)</f>
        <v/>
      </c>
      <c r="N48" s="11">
        <f>IF(OR(I48="",K48="",K48=0),"",(I48-K48)/K48)</f>
        <v/>
      </c>
      <c r="O48" s="9">
        <f>IF(OR(G48="",J48=""),"",G48-J48)</f>
        <v/>
      </c>
    </row>
    <row r="49">
      <c r="H49" s="10" t="n"/>
      <c r="I49" s="9">
        <f>IF(H49="","",IF(E49="USD",H49*Parametros!$B$2,H49))</f>
        <v/>
      </c>
      <c r="J49" s="9">
        <f>IF(A49="","",IFERROR(VLOOKUP(A49,Partidas!$A$2:$E$201,4,FALSE),""))</f>
        <v/>
      </c>
      <c r="K49" s="9">
        <f>IF(A49="","",IFERROR(VLOOKUP(A49,Partidas!$A$2:$E$201,5,FALSE),""))</f>
        <v/>
      </c>
      <c r="L49" s="9">
        <f>IF(OR(I49="",G49=""),"",G49*I49)</f>
        <v/>
      </c>
      <c r="M49" s="9">
        <f>IF(OR(J49="",K49=""),"",J49*K49)</f>
        <v/>
      </c>
      <c r="N49" s="11">
        <f>IF(OR(I49="",K49="",K49=0),"",(I49-K49)/K49)</f>
        <v/>
      </c>
      <c r="O49" s="9">
        <f>IF(OR(G49="",J49=""),"",G49-J49)</f>
        <v/>
      </c>
    </row>
    <row r="50">
      <c r="H50" s="10" t="n"/>
      <c r="I50" s="9">
        <f>IF(H50="","",IF(E50="USD",H50*Parametros!$B$2,H50))</f>
        <v/>
      </c>
      <c r="J50" s="9">
        <f>IF(A50="","",IFERROR(VLOOKUP(A50,Partidas!$A$2:$E$201,4,FALSE),""))</f>
        <v/>
      </c>
      <c r="K50" s="9">
        <f>IF(A50="","",IFERROR(VLOOKUP(A50,Partidas!$A$2:$E$201,5,FALSE),""))</f>
        <v/>
      </c>
      <c r="L50" s="9">
        <f>IF(OR(I50="",G50=""),"",G50*I50)</f>
        <v/>
      </c>
      <c r="M50" s="9">
        <f>IF(OR(J50="",K50=""),"",J50*K50)</f>
        <v/>
      </c>
      <c r="N50" s="11">
        <f>IF(OR(I50="",K50="",K50=0),"",(I50-K50)/K50)</f>
        <v/>
      </c>
      <c r="O50" s="9">
        <f>IF(OR(G50="",J50=""),"",G50-J50)</f>
        <v/>
      </c>
    </row>
    <row r="51">
      <c r="H51" s="10" t="n"/>
      <c r="I51" s="9">
        <f>IF(H51="","",IF(E51="USD",H51*Parametros!$B$2,H51))</f>
        <v/>
      </c>
      <c r="J51" s="9">
        <f>IF(A51="","",IFERROR(VLOOKUP(A51,Partidas!$A$2:$E$201,4,FALSE),""))</f>
        <v/>
      </c>
      <c r="K51" s="9">
        <f>IF(A51="","",IFERROR(VLOOKUP(A51,Partidas!$A$2:$E$201,5,FALSE),""))</f>
        <v/>
      </c>
      <c r="L51" s="9">
        <f>IF(OR(I51="",G51=""),"",G51*I51)</f>
        <v/>
      </c>
      <c r="M51" s="9">
        <f>IF(OR(J51="",K51=""),"",J51*K51)</f>
        <v/>
      </c>
      <c r="N51" s="11">
        <f>IF(OR(I51="",K51="",K51=0),"",(I51-K51)/K51)</f>
        <v/>
      </c>
      <c r="O51" s="9">
        <f>IF(OR(G51="",J51=""),"",G51-J51)</f>
        <v/>
      </c>
    </row>
    <row r="52">
      <c r="H52" s="10" t="n"/>
      <c r="I52" s="9">
        <f>IF(H52="","",IF(E52="USD",H52*Parametros!$B$2,H52))</f>
        <v/>
      </c>
      <c r="J52" s="9">
        <f>IF(A52="","",IFERROR(VLOOKUP(A52,Partidas!$A$2:$E$201,4,FALSE),""))</f>
        <v/>
      </c>
      <c r="K52" s="9">
        <f>IF(A52="","",IFERROR(VLOOKUP(A52,Partidas!$A$2:$E$201,5,FALSE),""))</f>
        <v/>
      </c>
      <c r="L52" s="9">
        <f>IF(OR(I52="",G52=""),"",G52*I52)</f>
        <v/>
      </c>
      <c r="M52" s="9">
        <f>IF(OR(J52="",K52=""),"",J52*K52)</f>
        <v/>
      </c>
      <c r="N52" s="11">
        <f>IF(OR(I52="",K52="",K52=0),"",(I52-K52)/K52)</f>
        <v/>
      </c>
      <c r="O52" s="9">
        <f>IF(OR(G52="",J52=""),"",G52-J52)</f>
        <v/>
      </c>
    </row>
    <row r="53">
      <c r="H53" s="10" t="n"/>
      <c r="I53" s="9">
        <f>IF(H53="","",IF(E53="USD",H53*Parametros!$B$2,H53))</f>
        <v/>
      </c>
      <c r="J53" s="9">
        <f>IF(A53="","",IFERROR(VLOOKUP(A53,Partidas!$A$2:$E$201,4,FALSE),""))</f>
        <v/>
      </c>
      <c r="K53" s="9">
        <f>IF(A53="","",IFERROR(VLOOKUP(A53,Partidas!$A$2:$E$201,5,FALSE),""))</f>
        <v/>
      </c>
      <c r="L53" s="9">
        <f>IF(OR(I53="",G53=""),"",G53*I53)</f>
        <v/>
      </c>
      <c r="M53" s="9">
        <f>IF(OR(J53="",K53=""),"",J53*K53)</f>
        <v/>
      </c>
      <c r="N53" s="11">
        <f>IF(OR(I53="",K53="",K53=0),"",(I53-K53)/K53)</f>
        <v/>
      </c>
      <c r="O53" s="9">
        <f>IF(OR(G53="",J53=""),"",G53-J53)</f>
        <v/>
      </c>
    </row>
    <row r="54">
      <c r="H54" s="10" t="n"/>
      <c r="I54" s="9">
        <f>IF(H54="","",IF(E54="USD",H54*Parametros!$B$2,H54))</f>
        <v/>
      </c>
      <c r="J54" s="9">
        <f>IF(A54="","",IFERROR(VLOOKUP(A54,Partidas!$A$2:$E$201,4,FALSE),""))</f>
        <v/>
      </c>
      <c r="K54" s="9">
        <f>IF(A54="","",IFERROR(VLOOKUP(A54,Partidas!$A$2:$E$201,5,FALSE),""))</f>
        <v/>
      </c>
      <c r="L54" s="9">
        <f>IF(OR(I54="",G54=""),"",G54*I54)</f>
        <v/>
      </c>
      <c r="M54" s="9">
        <f>IF(OR(J54="",K54=""),"",J54*K54)</f>
        <v/>
      </c>
      <c r="N54" s="11">
        <f>IF(OR(I54="",K54="",K54=0),"",(I54-K54)/K54)</f>
        <v/>
      </c>
      <c r="O54" s="9">
        <f>IF(OR(G54="",J54=""),"",G54-J54)</f>
        <v/>
      </c>
    </row>
    <row r="55">
      <c r="H55" s="10" t="n"/>
      <c r="I55" s="9">
        <f>IF(H55="","",IF(E55="USD",H55*Parametros!$B$2,H55))</f>
        <v/>
      </c>
      <c r="J55" s="9">
        <f>IF(A55="","",IFERROR(VLOOKUP(A55,Partidas!$A$2:$E$201,4,FALSE),""))</f>
        <v/>
      </c>
      <c r="K55" s="9">
        <f>IF(A55="","",IFERROR(VLOOKUP(A55,Partidas!$A$2:$E$201,5,FALSE),""))</f>
        <v/>
      </c>
      <c r="L55" s="9">
        <f>IF(OR(I55="",G55=""),"",G55*I55)</f>
        <v/>
      </c>
      <c r="M55" s="9">
        <f>IF(OR(J55="",K55=""),"",J55*K55)</f>
        <v/>
      </c>
      <c r="N55" s="11">
        <f>IF(OR(I55="",K55="",K55=0),"",(I55-K55)/K55)</f>
        <v/>
      </c>
      <c r="O55" s="9">
        <f>IF(OR(G55="",J55=""),"",G55-J55)</f>
        <v/>
      </c>
    </row>
    <row r="56">
      <c r="H56" s="10" t="n"/>
      <c r="I56" s="9">
        <f>IF(H56="","",IF(E56="USD",H56*Parametros!$B$2,H56))</f>
        <v/>
      </c>
      <c r="J56" s="9">
        <f>IF(A56="","",IFERROR(VLOOKUP(A56,Partidas!$A$2:$E$201,4,FALSE),""))</f>
        <v/>
      </c>
      <c r="K56" s="9">
        <f>IF(A56="","",IFERROR(VLOOKUP(A56,Partidas!$A$2:$E$201,5,FALSE),""))</f>
        <v/>
      </c>
      <c r="L56" s="9">
        <f>IF(OR(I56="",G56=""),"",G56*I56)</f>
        <v/>
      </c>
      <c r="M56" s="9">
        <f>IF(OR(J56="",K56=""),"",J56*K56)</f>
        <v/>
      </c>
      <c r="N56" s="11">
        <f>IF(OR(I56="",K56="",K56=0),"",(I56-K56)/K56)</f>
        <v/>
      </c>
      <c r="O56" s="9">
        <f>IF(OR(G56="",J56=""),"",G56-J56)</f>
        <v/>
      </c>
    </row>
    <row r="57">
      <c r="H57" s="10" t="n"/>
      <c r="I57" s="9">
        <f>IF(H57="","",IF(E57="USD",H57*Parametros!$B$2,H57))</f>
        <v/>
      </c>
      <c r="J57" s="9">
        <f>IF(A57="","",IFERROR(VLOOKUP(A57,Partidas!$A$2:$E$201,4,FALSE),""))</f>
        <v/>
      </c>
      <c r="K57" s="9">
        <f>IF(A57="","",IFERROR(VLOOKUP(A57,Partidas!$A$2:$E$201,5,FALSE),""))</f>
        <v/>
      </c>
      <c r="L57" s="9">
        <f>IF(OR(I57="",G57=""),"",G57*I57)</f>
        <v/>
      </c>
      <c r="M57" s="9">
        <f>IF(OR(J57="",K57=""),"",J57*K57)</f>
        <v/>
      </c>
      <c r="N57" s="11">
        <f>IF(OR(I57="",K57="",K57=0),"",(I57-K57)/K57)</f>
        <v/>
      </c>
      <c r="O57" s="9">
        <f>IF(OR(G57="",J57=""),"",G57-J57)</f>
        <v/>
      </c>
    </row>
    <row r="58">
      <c r="H58" s="10" t="n"/>
      <c r="I58" s="9">
        <f>IF(H58="","",IF(E58="USD",H58*Parametros!$B$2,H58))</f>
        <v/>
      </c>
      <c r="J58" s="9">
        <f>IF(A58="","",IFERROR(VLOOKUP(A58,Partidas!$A$2:$E$201,4,FALSE),""))</f>
        <v/>
      </c>
      <c r="K58" s="9">
        <f>IF(A58="","",IFERROR(VLOOKUP(A58,Partidas!$A$2:$E$201,5,FALSE),""))</f>
        <v/>
      </c>
      <c r="L58" s="9">
        <f>IF(OR(I58="",G58=""),"",G58*I58)</f>
        <v/>
      </c>
      <c r="M58" s="9">
        <f>IF(OR(J58="",K58=""),"",J58*K58)</f>
        <v/>
      </c>
      <c r="N58" s="11">
        <f>IF(OR(I58="",K58="",K58=0),"",(I58-K58)/K58)</f>
        <v/>
      </c>
      <c r="O58" s="9">
        <f>IF(OR(G58="",J58=""),"",G58-J58)</f>
        <v/>
      </c>
    </row>
    <row r="59">
      <c r="H59" s="10" t="n"/>
      <c r="I59" s="9">
        <f>IF(H59="","",IF(E59="USD",H59*Parametros!$B$2,H59))</f>
        <v/>
      </c>
      <c r="J59" s="9">
        <f>IF(A59="","",IFERROR(VLOOKUP(A59,Partidas!$A$2:$E$201,4,FALSE),""))</f>
        <v/>
      </c>
      <c r="K59" s="9">
        <f>IF(A59="","",IFERROR(VLOOKUP(A59,Partidas!$A$2:$E$201,5,FALSE),""))</f>
        <v/>
      </c>
      <c r="L59" s="9">
        <f>IF(OR(I59="",G59=""),"",G59*I59)</f>
        <v/>
      </c>
      <c r="M59" s="9">
        <f>IF(OR(J59="",K59=""),"",J59*K59)</f>
        <v/>
      </c>
      <c r="N59" s="11">
        <f>IF(OR(I59="",K59="",K59=0),"",(I59-K59)/K59)</f>
        <v/>
      </c>
      <c r="O59" s="9">
        <f>IF(OR(G59="",J59=""),"",G59-J59)</f>
        <v/>
      </c>
    </row>
    <row r="60">
      <c r="H60" s="10" t="n"/>
      <c r="I60" s="9">
        <f>IF(H60="","",IF(E60="USD",H60*Parametros!$B$2,H60))</f>
        <v/>
      </c>
      <c r="J60" s="9">
        <f>IF(A60="","",IFERROR(VLOOKUP(A60,Partidas!$A$2:$E$201,4,FALSE),""))</f>
        <v/>
      </c>
      <c r="K60" s="9">
        <f>IF(A60="","",IFERROR(VLOOKUP(A60,Partidas!$A$2:$E$201,5,FALSE),""))</f>
        <v/>
      </c>
      <c r="L60" s="9">
        <f>IF(OR(I60="",G60=""),"",G60*I60)</f>
        <v/>
      </c>
      <c r="M60" s="9">
        <f>IF(OR(J60="",K60=""),"",J60*K60)</f>
        <v/>
      </c>
      <c r="N60" s="11">
        <f>IF(OR(I60="",K60="",K60=0),"",(I60-K60)/K60)</f>
        <v/>
      </c>
      <c r="O60" s="9">
        <f>IF(OR(G60="",J60=""),"",G60-J60)</f>
        <v/>
      </c>
    </row>
    <row r="61">
      <c r="H61" s="10" t="n"/>
      <c r="I61" s="9">
        <f>IF(H61="","",IF(E61="USD",H61*Parametros!$B$2,H61))</f>
        <v/>
      </c>
      <c r="J61" s="9">
        <f>IF(A61="","",IFERROR(VLOOKUP(A61,Partidas!$A$2:$E$201,4,FALSE),""))</f>
        <v/>
      </c>
      <c r="K61" s="9">
        <f>IF(A61="","",IFERROR(VLOOKUP(A61,Partidas!$A$2:$E$201,5,FALSE),""))</f>
        <v/>
      </c>
      <c r="L61" s="9">
        <f>IF(OR(I61="",G61=""),"",G61*I61)</f>
        <v/>
      </c>
      <c r="M61" s="9">
        <f>IF(OR(J61="",K61=""),"",J61*K61)</f>
        <v/>
      </c>
      <c r="N61" s="11">
        <f>IF(OR(I61="",K61="",K61=0),"",(I61-K61)/K61)</f>
        <v/>
      </c>
      <c r="O61" s="9">
        <f>IF(OR(G61="",J61=""),"",G61-J61)</f>
        <v/>
      </c>
    </row>
    <row r="62">
      <c r="H62" s="10" t="n"/>
      <c r="I62" s="9">
        <f>IF(H62="","",IF(E62="USD",H62*Parametros!$B$2,H62))</f>
        <v/>
      </c>
      <c r="J62" s="9">
        <f>IF(A62="","",IFERROR(VLOOKUP(A62,Partidas!$A$2:$E$201,4,FALSE),""))</f>
        <v/>
      </c>
      <c r="K62" s="9">
        <f>IF(A62="","",IFERROR(VLOOKUP(A62,Partidas!$A$2:$E$201,5,FALSE),""))</f>
        <v/>
      </c>
      <c r="L62" s="9">
        <f>IF(OR(I62="",G62=""),"",G62*I62)</f>
        <v/>
      </c>
      <c r="M62" s="9">
        <f>IF(OR(J62="",K62=""),"",J62*K62)</f>
        <v/>
      </c>
      <c r="N62" s="11">
        <f>IF(OR(I62="",K62="",K62=0),"",(I62-K62)/K62)</f>
        <v/>
      </c>
      <c r="O62" s="9">
        <f>IF(OR(G62="",J62=""),"",G62-J62)</f>
        <v/>
      </c>
    </row>
    <row r="63">
      <c r="H63" s="10" t="n"/>
      <c r="I63" s="9">
        <f>IF(H63="","",IF(E63="USD",H63*Parametros!$B$2,H63))</f>
        <v/>
      </c>
      <c r="J63" s="9">
        <f>IF(A63="","",IFERROR(VLOOKUP(A63,Partidas!$A$2:$E$201,4,FALSE),""))</f>
        <v/>
      </c>
      <c r="K63" s="9">
        <f>IF(A63="","",IFERROR(VLOOKUP(A63,Partidas!$A$2:$E$201,5,FALSE),""))</f>
        <v/>
      </c>
      <c r="L63" s="9">
        <f>IF(OR(I63="",G63=""),"",G63*I63)</f>
        <v/>
      </c>
      <c r="M63" s="9">
        <f>IF(OR(J63="",K63=""),"",J63*K63)</f>
        <v/>
      </c>
      <c r="N63" s="11">
        <f>IF(OR(I63="",K63="",K63=0),"",(I63-K63)/K63)</f>
        <v/>
      </c>
      <c r="O63" s="9">
        <f>IF(OR(G63="",J63=""),"",G63-J63)</f>
        <v/>
      </c>
    </row>
    <row r="64">
      <c r="H64" s="10" t="n"/>
      <c r="I64" s="9">
        <f>IF(H64="","",IF(E64="USD",H64*Parametros!$B$2,H64))</f>
        <v/>
      </c>
      <c r="J64" s="9">
        <f>IF(A64="","",IFERROR(VLOOKUP(A64,Partidas!$A$2:$E$201,4,FALSE),""))</f>
        <v/>
      </c>
      <c r="K64" s="9">
        <f>IF(A64="","",IFERROR(VLOOKUP(A64,Partidas!$A$2:$E$201,5,FALSE),""))</f>
        <v/>
      </c>
      <c r="L64" s="9">
        <f>IF(OR(I64="",G64=""),"",G64*I64)</f>
        <v/>
      </c>
      <c r="M64" s="9">
        <f>IF(OR(J64="",K64=""),"",J64*K64)</f>
        <v/>
      </c>
      <c r="N64" s="11">
        <f>IF(OR(I64="",K64="",K64=0),"",(I64-K64)/K64)</f>
        <v/>
      </c>
      <c r="O64" s="9">
        <f>IF(OR(G64="",J64=""),"",G64-J64)</f>
        <v/>
      </c>
    </row>
    <row r="65">
      <c r="H65" s="10" t="n"/>
      <c r="I65" s="9">
        <f>IF(H65="","",IF(E65="USD",H65*Parametros!$B$2,H65))</f>
        <v/>
      </c>
      <c r="J65" s="9">
        <f>IF(A65="","",IFERROR(VLOOKUP(A65,Partidas!$A$2:$E$201,4,FALSE),""))</f>
        <v/>
      </c>
      <c r="K65" s="9">
        <f>IF(A65="","",IFERROR(VLOOKUP(A65,Partidas!$A$2:$E$201,5,FALSE),""))</f>
        <v/>
      </c>
      <c r="L65" s="9">
        <f>IF(OR(I65="",G65=""),"",G65*I65)</f>
        <v/>
      </c>
      <c r="M65" s="9">
        <f>IF(OR(J65="",K65=""),"",J65*K65)</f>
        <v/>
      </c>
      <c r="N65" s="11">
        <f>IF(OR(I65="",K65="",K65=0),"",(I65-K65)/K65)</f>
        <v/>
      </c>
      <c r="O65" s="9">
        <f>IF(OR(G65="",J65=""),"",G65-J65)</f>
        <v/>
      </c>
    </row>
    <row r="66">
      <c r="H66" s="10" t="n"/>
      <c r="I66" s="9">
        <f>IF(H66="","",IF(E66="USD",H66*Parametros!$B$2,H66))</f>
        <v/>
      </c>
      <c r="J66" s="9">
        <f>IF(A66="","",IFERROR(VLOOKUP(A66,Partidas!$A$2:$E$201,4,FALSE),""))</f>
        <v/>
      </c>
      <c r="K66" s="9">
        <f>IF(A66="","",IFERROR(VLOOKUP(A66,Partidas!$A$2:$E$201,5,FALSE),""))</f>
        <v/>
      </c>
      <c r="L66" s="9">
        <f>IF(OR(I66="",G66=""),"",G66*I66)</f>
        <v/>
      </c>
      <c r="M66" s="9">
        <f>IF(OR(J66="",K66=""),"",J66*K66)</f>
        <v/>
      </c>
      <c r="N66" s="11">
        <f>IF(OR(I66="",K66="",K66=0),"",(I66-K66)/K66)</f>
        <v/>
      </c>
      <c r="O66" s="9">
        <f>IF(OR(G66="",J66=""),"",G66-J66)</f>
        <v/>
      </c>
    </row>
    <row r="67">
      <c r="H67" s="10" t="n"/>
      <c r="I67" s="9">
        <f>IF(H67="","",IF(E67="USD",H67*Parametros!$B$2,H67))</f>
        <v/>
      </c>
      <c r="J67" s="9">
        <f>IF(A67="","",IFERROR(VLOOKUP(A67,Partidas!$A$2:$E$201,4,FALSE),""))</f>
        <v/>
      </c>
      <c r="K67" s="9">
        <f>IF(A67="","",IFERROR(VLOOKUP(A67,Partidas!$A$2:$E$201,5,FALSE),""))</f>
        <v/>
      </c>
      <c r="L67" s="9">
        <f>IF(OR(I67="",G67=""),"",G67*I67)</f>
        <v/>
      </c>
      <c r="M67" s="9">
        <f>IF(OR(J67="",K67=""),"",J67*K67)</f>
        <v/>
      </c>
      <c r="N67" s="11">
        <f>IF(OR(I67="",K67="",K67=0),"",(I67-K67)/K67)</f>
        <v/>
      </c>
      <c r="O67" s="9">
        <f>IF(OR(G67="",J67=""),"",G67-J67)</f>
        <v/>
      </c>
    </row>
    <row r="68">
      <c r="H68" s="10" t="n"/>
      <c r="I68" s="9">
        <f>IF(H68="","",IF(E68="USD",H68*Parametros!$B$2,H68))</f>
        <v/>
      </c>
      <c r="J68" s="9">
        <f>IF(A68="","",IFERROR(VLOOKUP(A68,Partidas!$A$2:$E$201,4,FALSE),""))</f>
        <v/>
      </c>
      <c r="K68" s="9">
        <f>IF(A68="","",IFERROR(VLOOKUP(A68,Partidas!$A$2:$E$201,5,FALSE),""))</f>
        <v/>
      </c>
      <c r="L68" s="9">
        <f>IF(OR(I68="",G68=""),"",G68*I68)</f>
        <v/>
      </c>
      <c r="M68" s="9">
        <f>IF(OR(J68="",K68=""),"",J68*K68)</f>
        <v/>
      </c>
      <c r="N68" s="11">
        <f>IF(OR(I68="",K68="",K68=0),"",(I68-K68)/K68)</f>
        <v/>
      </c>
      <c r="O68" s="9">
        <f>IF(OR(G68="",J68=""),"",G68-J68)</f>
        <v/>
      </c>
    </row>
    <row r="69">
      <c r="H69" s="10" t="n"/>
      <c r="I69" s="9">
        <f>IF(H69="","",IF(E69="USD",H69*Parametros!$B$2,H69))</f>
        <v/>
      </c>
      <c r="J69" s="9">
        <f>IF(A69="","",IFERROR(VLOOKUP(A69,Partidas!$A$2:$E$201,4,FALSE),""))</f>
        <v/>
      </c>
      <c r="K69" s="9">
        <f>IF(A69="","",IFERROR(VLOOKUP(A69,Partidas!$A$2:$E$201,5,FALSE),""))</f>
        <v/>
      </c>
      <c r="L69" s="9">
        <f>IF(OR(I69="",G69=""),"",G69*I69)</f>
        <v/>
      </c>
      <c r="M69" s="9">
        <f>IF(OR(J69="",K69=""),"",J69*K69)</f>
        <v/>
      </c>
      <c r="N69" s="11">
        <f>IF(OR(I69="",K69="",K69=0),"",(I69-K69)/K69)</f>
        <v/>
      </c>
      <c r="O69" s="9">
        <f>IF(OR(G69="",J69=""),"",G69-J69)</f>
        <v/>
      </c>
    </row>
    <row r="70">
      <c r="H70" s="10" t="n"/>
      <c r="I70" s="9">
        <f>IF(H70="","",IF(E70="USD",H70*Parametros!$B$2,H70))</f>
        <v/>
      </c>
      <c r="J70" s="9">
        <f>IF(A70="","",IFERROR(VLOOKUP(A70,Partidas!$A$2:$E$201,4,FALSE),""))</f>
        <v/>
      </c>
      <c r="K70" s="9">
        <f>IF(A70="","",IFERROR(VLOOKUP(A70,Partidas!$A$2:$E$201,5,FALSE),""))</f>
        <v/>
      </c>
      <c r="L70" s="9">
        <f>IF(OR(I70="",G70=""),"",G70*I70)</f>
        <v/>
      </c>
      <c r="M70" s="9">
        <f>IF(OR(J70="",K70=""),"",J70*K70)</f>
        <v/>
      </c>
      <c r="N70" s="11">
        <f>IF(OR(I70="",K70="",K70=0),"",(I70-K70)/K70)</f>
        <v/>
      </c>
      <c r="O70" s="9">
        <f>IF(OR(G70="",J70=""),"",G70-J70)</f>
        <v/>
      </c>
    </row>
    <row r="71">
      <c r="H71" s="10" t="n"/>
      <c r="I71" s="9">
        <f>IF(H71="","",IF(E71="USD",H71*Parametros!$B$2,H71))</f>
        <v/>
      </c>
      <c r="J71" s="9">
        <f>IF(A71="","",IFERROR(VLOOKUP(A71,Partidas!$A$2:$E$201,4,FALSE),""))</f>
        <v/>
      </c>
      <c r="K71" s="9">
        <f>IF(A71="","",IFERROR(VLOOKUP(A71,Partidas!$A$2:$E$201,5,FALSE),""))</f>
        <v/>
      </c>
      <c r="L71" s="9">
        <f>IF(OR(I71="",G71=""),"",G71*I71)</f>
        <v/>
      </c>
      <c r="M71" s="9">
        <f>IF(OR(J71="",K71=""),"",J71*K71)</f>
        <v/>
      </c>
      <c r="N71" s="11">
        <f>IF(OR(I71="",K71="",K71=0),"",(I71-K71)/K71)</f>
        <v/>
      </c>
      <c r="O71" s="9">
        <f>IF(OR(G71="",J71=""),"",G71-J71)</f>
        <v/>
      </c>
    </row>
    <row r="72">
      <c r="H72" s="10" t="n"/>
      <c r="I72" s="9">
        <f>IF(H72="","",IF(E72="USD",H72*Parametros!$B$2,H72))</f>
        <v/>
      </c>
      <c r="J72" s="9">
        <f>IF(A72="","",IFERROR(VLOOKUP(A72,Partidas!$A$2:$E$201,4,FALSE),""))</f>
        <v/>
      </c>
      <c r="K72" s="9">
        <f>IF(A72="","",IFERROR(VLOOKUP(A72,Partidas!$A$2:$E$201,5,FALSE),""))</f>
        <v/>
      </c>
      <c r="L72" s="9">
        <f>IF(OR(I72="",G72=""),"",G72*I72)</f>
        <v/>
      </c>
      <c r="M72" s="9">
        <f>IF(OR(J72="",K72=""),"",J72*K72)</f>
        <v/>
      </c>
      <c r="N72" s="11">
        <f>IF(OR(I72="",K72="",K72=0),"",(I72-K72)/K72)</f>
        <v/>
      </c>
      <c r="O72" s="9">
        <f>IF(OR(G72="",J72=""),"",G72-J72)</f>
        <v/>
      </c>
    </row>
    <row r="73">
      <c r="H73" s="10" t="n"/>
      <c r="I73" s="9">
        <f>IF(H73="","",IF(E73="USD",H73*Parametros!$B$2,H73))</f>
        <v/>
      </c>
      <c r="J73" s="9">
        <f>IF(A73="","",IFERROR(VLOOKUP(A73,Partidas!$A$2:$E$201,4,FALSE),""))</f>
        <v/>
      </c>
      <c r="K73" s="9">
        <f>IF(A73="","",IFERROR(VLOOKUP(A73,Partidas!$A$2:$E$201,5,FALSE),""))</f>
        <v/>
      </c>
      <c r="L73" s="9">
        <f>IF(OR(I73="",G73=""),"",G73*I73)</f>
        <v/>
      </c>
      <c r="M73" s="9">
        <f>IF(OR(J73="",K73=""),"",J73*K73)</f>
        <v/>
      </c>
      <c r="N73" s="11">
        <f>IF(OR(I73="",K73="",K73=0),"",(I73-K73)/K73)</f>
        <v/>
      </c>
      <c r="O73" s="9">
        <f>IF(OR(G73="",J73=""),"",G73-J73)</f>
        <v/>
      </c>
    </row>
    <row r="74">
      <c r="H74" s="10" t="n"/>
      <c r="I74" s="9">
        <f>IF(H74="","",IF(E74="USD",H74*Parametros!$B$2,H74))</f>
        <v/>
      </c>
      <c r="J74" s="9">
        <f>IF(A74="","",IFERROR(VLOOKUP(A74,Partidas!$A$2:$E$201,4,FALSE),""))</f>
        <v/>
      </c>
      <c r="K74" s="9">
        <f>IF(A74="","",IFERROR(VLOOKUP(A74,Partidas!$A$2:$E$201,5,FALSE),""))</f>
        <v/>
      </c>
      <c r="L74" s="9">
        <f>IF(OR(I74="",G74=""),"",G74*I74)</f>
        <v/>
      </c>
      <c r="M74" s="9">
        <f>IF(OR(J74="",K74=""),"",J74*K74)</f>
        <v/>
      </c>
      <c r="N74" s="11">
        <f>IF(OR(I74="",K74="",K74=0),"",(I74-K74)/K74)</f>
        <v/>
      </c>
      <c r="O74" s="9">
        <f>IF(OR(G74="",J74=""),"",G74-J74)</f>
        <v/>
      </c>
    </row>
    <row r="75">
      <c r="H75" s="10" t="n"/>
      <c r="I75" s="9">
        <f>IF(H75="","",IF(E75="USD",H75*Parametros!$B$2,H75))</f>
        <v/>
      </c>
      <c r="J75" s="9">
        <f>IF(A75="","",IFERROR(VLOOKUP(A75,Partidas!$A$2:$E$201,4,FALSE),""))</f>
        <v/>
      </c>
      <c r="K75" s="9">
        <f>IF(A75="","",IFERROR(VLOOKUP(A75,Partidas!$A$2:$E$201,5,FALSE),""))</f>
        <v/>
      </c>
      <c r="L75" s="9">
        <f>IF(OR(I75="",G75=""),"",G75*I75)</f>
        <v/>
      </c>
      <c r="M75" s="9">
        <f>IF(OR(J75="",K75=""),"",J75*K75)</f>
        <v/>
      </c>
      <c r="N75" s="11">
        <f>IF(OR(I75="",K75="",K75=0),"",(I75-K75)/K75)</f>
        <v/>
      </c>
      <c r="O75" s="9">
        <f>IF(OR(G75="",J75=""),"",G75-J75)</f>
        <v/>
      </c>
    </row>
    <row r="76">
      <c r="H76" s="10" t="n"/>
      <c r="I76" s="9">
        <f>IF(H76="","",IF(E76="USD",H76*Parametros!$B$2,H76))</f>
        <v/>
      </c>
      <c r="J76" s="9">
        <f>IF(A76="","",IFERROR(VLOOKUP(A76,Partidas!$A$2:$E$201,4,FALSE),""))</f>
        <v/>
      </c>
      <c r="K76" s="9">
        <f>IF(A76="","",IFERROR(VLOOKUP(A76,Partidas!$A$2:$E$201,5,FALSE),""))</f>
        <v/>
      </c>
      <c r="L76" s="9">
        <f>IF(OR(I76="",G76=""),"",G76*I76)</f>
        <v/>
      </c>
      <c r="M76" s="9">
        <f>IF(OR(J76="",K76=""),"",J76*K76)</f>
        <v/>
      </c>
      <c r="N76" s="11">
        <f>IF(OR(I76="",K76="",K76=0),"",(I76-K76)/K76)</f>
        <v/>
      </c>
      <c r="O76" s="9">
        <f>IF(OR(G76="",J76=""),"",G76-J76)</f>
        <v/>
      </c>
    </row>
    <row r="77">
      <c r="H77" s="10" t="n"/>
      <c r="I77" s="9">
        <f>IF(H77="","",IF(E77="USD",H77*Parametros!$B$2,H77))</f>
        <v/>
      </c>
      <c r="J77" s="9">
        <f>IF(A77="","",IFERROR(VLOOKUP(A77,Partidas!$A$2:$E$201,4,FALSE),""))</f>
        <v/>
      </c>
      <c r="K77" s="9">
        <f>IF(A77="","",IFERROR(VLOOKUP(A77,Partidas!$A$2:$E$201,5,FALSE),""))</f>
        <v/>
      </c>
      <c r="L77" s="9">
        <f>IF(OR(I77="",G77=""),"",G77*I77)</f>
        <v/>
      </c>
      <c r="M77" s="9">
        <f>IF(OR(J77="",K77=""),"",J77*K77)</f>
        <v/>
      </c>
      <c r="N77" s="11">
        <f>IF(OR(I77="",K77="",K77=0),"",(I77-K77)/K77)</f>
        <v/>
      </c>
      <c r="O77" s="9">
        <f>IF(OR(G77="",J77=""),"",G77-J77)</f>
        <v/>
      </c>
    </row>
    <row r="78">
      <c r="H78" s="10" t="n"/>
      <c r="I78" s="9">
        <f>IF(H78="","",IF(E78="USD",H78*Parametros!$B$2,H78))</f>
        <v/>
      </c>
      <c r="J78" s="9">
        <f>IF(A78="","",IFERROR(VLOOKUP(A78,Partidas!$A$2:$E$201,4,FALSE),""))</f>
        <v/>
      </c>
      <c r="K78" s="9">
        <f>IF(A78="","",IFERROR(VLOOKUP(A78,Partidas!$A$2:$E$201,5,FALSE),""))</f>
        <v/>
      </c>
      <c r="L78" s="9">
        <f>IF(OR(I78="",G78=""),"",G78*I78)</f>
        <v/>
      </c>
      <c r="M78" s="9">
        <f>IF(OR(J78="",K78=""),"",J78*K78)</f>
        <v/>
      </c>
      <c r="N78" s="11">
        <f>IF(OR(I78="",K78="",K78=0),"",(I78-K78)/K78)</f>
        <v/>
      </c>
      <c r="O78" s="9">
        <f>IF(OR(G78="",J78=""),"",G78-J78)</f>
        <v/>
      </c>
    </row>
    <row r="79">
      <c r="H79" s="10" t="n"/>
      <c r="I79" s="9">
        <f>IF(H79="","",IF(E79="USD",H79*Parametros!$B$2,H79))</f>
        <v/>
      </c>
      <c r="J79" s="9">
        <f>IF(A79="","",IFERROR(VLOOKUP(A79,Partidas!$A$2:$E$201,4,FALSE),""))</f>
        <v/>
      </c>
      <c r="K79" s="9">
        <f>IF(A79="","",IFERROR(VLOOKUP(A79,Partidas!$A$2:$E$201,5,FALSE),""))</f>
        <v/>
      </c>
      <c r="L79" s="9">
        <f>IF(OR(I79="",G79=""),"",G79*I79)</f>
        <v/>
      </c>
      <c r="M79" s="9">
        <f>IF(OR(J79="",K79=""),"",J79*K79)</f>
        <v/>
      </c>
      <c r="N79" s="11">
        <f>IF(OR(I79="",K79="",K79=0),"",(I79-K79)/K79)</f>
        <v/>
      </c>
      <c r="O79" s="9">
        <f>IF(OR(G79="",J79=""),"",G79-J79)</f>
        <v/>
      </c>
    </row>
    <row r="80">
      <c r="H80" s="10" t="n"/>
      <c r="I80" s="9">
        <f>IF(H80="","",IF(E80="USD",H80*Parametros!$B$2,H80))</f>
        <v/>
      </c>
      <c r="J80" s="9">
        <f>IF(A80="","",IFERROR(VLOOKUP(A80,Partidas!$A$2:$E$201,4,FALSE),""))</f>
        <v/>
      </c>
      <c r="K80" s="9">
        <f>IF(A80="","",IFERROR(VLOOKUP(A80,Partidas!$A$2:$E$201,5,FALSE),""))</f>
        <v/>
      </c>
      <c r="L80" s="9">
        <f>IF(OR(I80="",G80=""),"",G80*I80)</f>
        <v/>
      </c>
      <c r="M80" s="9">
        <f>IF(OR(J80="",K80=""),"",J80*K80)</f>
        <v/>
      </c>
      <c r="N80" s="11">
        <f>IF(OR(I80="",K80="",K80=0),"",(I80-K80)/K80)</f>
        <v/>
      </c>
      <c r="O80" s="9">
        <f>IF(OR(G80="",J80=""),"",G80-J80)</f>
        <v/>
      </c>
    </row>
    <row r="81">
      <c r="H81" s="10" t="n"/>
      <c r="I81" s="9">
        <f>IF(H81="","",IF(E81="USD",H81*Parametros!$B$2,H81))</f>
        <v/>
      </c>
      <c r="J81" s="9">
        <f>IF(A81="","",IFERROR(VLOOKUP(A81,Partidas!$A$2:$E$201,4,FALSE),""))</f>
        <v/>
      </c>
      <c r="K81" s="9">
        <f>IF(A81="","",IFERROR(VLOOKUP(A81,Partidas!$A$2:$E$201,5,FALSE),""))</f>
        <v/>
      </c>
      <c r="L81" s="9">
        <f>IF(OR(I81="",G81=""),"",G81*I81)</f>
        <v/>
      </c>
      <c r="M81" s="9">
        <f>IF(OR(J81="",K81=""),"",J81*K81)</f>
        <v/>
      </c>
      <c r="N81" s="11">
        <f>IF(OR(I81="",K81="",K81=0),"",(I81-K81)/K81)</f>
        <v/>
      </c>
      <c r="O81" s="9">
        <f>IF(OR(G81="",J81=""),"",G81-J81)</f>
        <v/>
      </c>
    </row>
    <row r="82">
      <c r="H82" s="10" t="n"/>
      <c r="I82" s="9">
        <f>IF(H82="","",IF(E82="USD",H82*Parametros!$B$2,H82))</f>
        <v/>
      </c>
      <c r="J82" s="9">
        <f>IF(A82="","",IFERROR(VLOOKUP(A82,Partidas!$A$2:$E$201,4,FALSE),""))</f>
        <v/>
      </c>
      <c r="K82" s="9">
        <f>IF(A82="","",IFERROR(VLOOKUP(A82,Partidas!$A$2:$E$201,5,FALSE),""))</f>
        <v/>
      </c>
      <c r="L82" s="9">
        <f>IF(OR(I82="",G82=""),"",G82*I82)</f>
        <v/>
      </c>
      <c r="M82" s="9">
        <f>IF(OR(J82="",K82=""),"",J82*K82)</f>
        <v/>
      </c>
      <c r="N82" s="11">
        <f>IF(OR(I82="",K82="",K82=0),"",(I82-K82)/K82)</f>
        <v/>
      </c>
      <c r="O82" s="9">
        <f>IF(OR(G82="",J82=""),"",G82-J82)</f>
        <v/>
      </c>
    </row>
    <row r="83">
      <c r="H83" s="10" t="n"/>
      <c r="I83" s="9">
        <f>IF(H83="","",IF(E83="USD",H83*Parametros!$B$2,H83))</f>
        <v/>
      </c>
      <c r="J83" s="9">
        <f>IF(A83="","",IFERROR(VLOOKUP(A83,Partidas!$A$2:$E$201,4,FALSE),""))</f>
        <v/>
      </c>
      <c r="K83" s="9">
        <f>IF(A83="","",IFERROR(VLOOKUP(A83,Partidas!$A$2:$E$201,5,FALSE),""))</f>
        <v/>
      </c>
      <c r="L83" s="9">
        <f>IF(OR(I83="",G83=""),"",G83*I83)</f>
        <v/>
      </c>
      <c r="M83" s="9">
        <f>IF(OR(J83="",K83=""),"",J83*K83)</f>
        <v/>
      </c>
      <c r="N83" s="11">
        <f>IF(OR(I83="",K83="",K83=0),"",(I83-K83)/K83)</f>
        <v/>
      </c>
      <c r="O83" s="9">
        <f>IF(OR(G83="",J83=""),"",G83-J83)</f>
        <v/>
      </c>
    </row>
    <row r="84">
      <c r="H84" s="10" t="n"/>
      <c r="I84" s="9">
        <f>IF(H84="","",IF(E84="USD",H84*Parametros!$B$2,H84))</f>
        <v/>
      </c>
      <c r="J84" s="9">
        <f>IF(A84="","",IFERROR(VLOOKUP(A84,Partidas!$A$2:$E$201,4,FALSE),""))</f>
        <v/>
      </c>
      <c r="K84" s="9">
        <f>IF(A84="","",IFERROR(VLOOKUP(A84,Partidas!$A$2:$E$201,5,FALSE),""))</f>
        <v/>
      </c>
      <c r="L84" s="9">
        <f>IF(OR(I84="",G84=""),"",G84*I84)</f>
        <v/>
      </c>
      <c r="M84" s="9">
        <f>IF(OR(J84="",K84=""),"",J84*K84)</f>
        <v/>
      </c>
      <c r="N84" s="11">
        <f>IF(OR(I84="",K84="",K84=0),"",(I84-K84)/K84)</f>
        <v/>
      </c>
      <c r="O84" s="9">
        <f>IF(OR(G84="",J84=""),"",G84-J84)</f>
        <v/>
      </c>
    </row>
    <row r="85">
      <c r="H85" s="10" t="n"/>
      <c r="I85" s="9">
        <f>IF(H85="","",IF(E85="USD",H85*Parametros!$B$2,H85))</f>
        <v/>
      </c>
      <c r="J85" s="9">
        <f>IF(A85="","",IFERROR(VLOOKUP(A85,Partidas!$A$2:$E$201,4,FALSE),""))</f>
        <v/>
      </c>
      <c r="K85" s="9">
        <f>IF(A85="","",IFERROR(VLOOKUP(A85,Partidas!$A$2:$E$201,5,FALSE),""))</f>
        <v/>
      </c>
      <c r="L85" s="9">
        <f>IF(OR(I85="",G85=""),"",G85*I85)</f>
        <v/>
      </c>
      <c r="M85" s="9">
        <f>IF(OR(J85="",K85=""),"",J85*K85)</f>
        <v/>
      </c>
      <c r="N85" s="11">
        <f>IF(OR(I85="",K85="",K85=0),"",(I85-K85)/K85)</f>
        <v/>
      </c>
      <c r="O85" s="9">
        <f>IF(OR(G85="",J85=""),"",G85-J85)</f>
        <v/>
      </c>
    </row>
    <row r="86">
      <c r="H86" s="10" t="n"/>
      <c r="I86" s="9">
        <f>IF(H86="","",IF(E86="USD",H86*Parametros!$B$2,H86))</f>
        <v/>
      </c>
      <c r="J86" s="9">
        <f>IF(A86="","",IFERROR(VLOOKUP(A86,Partidas!$A$2:$E$201,4,FALSE),""))</f>
        <v/>
      </c>
      <c r="K86" s="9">
        <f>IF(A86="","",IFERROR(VLOOKUP(A86,Partidas!$A$2:$E$201,5,FALSE),""))</f>
        <v/>
      </c>
      <c r="L86" s="9">
        <f>IF(OR(I86="",G86=""),"",G86*I86)</f>
        <v/>
      </c>
      <c r="M86" s="9">
        <f>IF(OR(J86="",K86=""),"",J86*K86)</f>
        <v/>
      </c>
      <c r="N86" s="11">
        <f>IF(OR(I86="",K86="",K86=0),"",(I86-K86)/K86)</f>
        <v/>
      </c>
      <c r="O86" s="9">
        <f>IF(OR(G86="",J86=""),"",G86-J86)</f>
        <v/>
      </c>
    </row>
    <row r="87">
      <c r="H87" s="10" t="n"/>
      <c r="I87" s="9">
        <f>IF(H87="","",IF(E87="USD",H87*Parametros!$B$2,H87))</f>
        <v/>
      </c>
      <c r="J87" s="9">
        <f>IF(A87="","",IFERROR(VLOOKUP(A87,Partidas!$A$2:$E$201,4,FALSE),""))</f>
        <v/>
      </c>
      <c r="K87" s="9">
        <f>IF(A87="","",IFERROR(VLOOKUP(A87,Partidas!$A$2:$E$201,5,FALSE),""))</f>
        <v/>
      </c>
      <c r="L87" s="9">
        <f>IF(OR(I87="",G87=""),"",G87*I87)</f>
        <v/>
      </c>
      <c r="M87" s="9">
        <f>IF(OR(J87="",K87=""),"",J87*K87)</f>
        <v/>
      </c>
      <c r="N87" s="11">
        <f>IF(OR(I87="",K87="",K87=0),"",(I87-K87)/K87)</f>
        <v/>
      </c>
      <c r="O87" s="9">
        <f>IF(OR(G87="",J87=""),"",G87-J87)</f>
        <v/>
      </c>
    </row>
    <row r="88">
      <c r="H88" s="10" t="n"/>
      <c r="I88" s="9">
        <f>IF(H88="","",IF(E88="USD",H88*Parametros!$B$2,H88))</f>
        <v/>
      </c>
      <c r="J88" s="9">
        <f>IF(A88="","",IFERROR(VLOOKUP(A88,Partidas!$A$2:$E$201,4,FALSE),""))</f>
        <v/>
      </c>
      <c r="K88" s="9">
        <f>IF(A88="","",IFERROR(VLOOKUP(A88,Partidas!$A$2:$E$201,5,FALSE),""))</f>
        <v/>
      </c>
      <c r="L88" s="9">
        <f>IF(OR(I88="",G88=""),"",G88*I88)</f>
        <v/>
      </c>
      <c r="M88" s="9">
        <f>IF(OR(J88="",K88=""),"",J88*K88)</f>
        <v/>
      </c>
      <c r="N88" s="11">
        <f>IF(OR(I88="",K88="",K88=0),"",(I88-K88)/K88)</f>
        <v/>
      </c>
      <c r="O88" s="9">
        <f>IF(OR(G88="",J88=""),"",G88-J88)</f>
        <v/>
      </c>
    </row>
    <row r="89">
      <c r="H89" s="10" t="n"/>
      <c r="I89" s="9">
        <f>IF(H89="","",IF(E89="USD",H89*Parametros!$B$2,H89))</f>
        <v/>
      </c>
      <c r="J89" s="9">
        <f>IF(A89="","",IFERROR(VLOOKUP(A89,Partidas!$A$2:$E$201,4,FALSE),""))</f>
        <v/>
      </c>
      <c r="K89" s="9">
        <f>IF(A89="","",IFERROR(VLOOKUP(A89,Partidas!$A$2:$E$201,5,FALSE),""))</f>
        <v/>
      </c>
      <c r="L89" s="9">
        <f>IF(OR(I89="",G89=""),"",G89*I89)</f>
        <v/>
      </c>
      <c r="M89" s="9">
        <f>IF(OR(J89="",K89=""),"",J89*K89)</f>
        <v/>
      </c>
      <c r="N89" s="11">
        <f>IF(OR(I89="",K89="",K89=0),"",(I89-K89)/K89)</f>
        <v/>
      </c>
      <c r="O89" s="9">
        <f>IF(OR(G89="",J89=""),"",G89-J89)</f>
        <v/>
      </c>
    </row>
    <row r="90">
      <c r="H90" s="10" t="n"/>
      <c r="I90" s="9">
        <f>IF(H90="","",IF(E90="USD",H90*Parametros!$B$2,H90))</f>
        <v/>
      </c>
      <c r="J90" s="9">
        <f>IF(A90="","",IFERROR(VLOOKUP(A90,Partidas!$A$2:$E$201,4,FALSE),""))</f>
        <v/>
      </c>
      <c r="K90" s="9">
        <f>IF(A90="","",IFERROR(VLOOKUP(A90,Partidas!$A$2:$E$201,5,FALSE),""))</f>
        <v/>
      </c>
      <c r="L90" s="9">
        <f>IF(OR(I90="",G90=""),"",G90*I90)</f>
        <v/>
      </c>
      <c r="M90" s="9">
        <f>IF(OR(J90="",K90=""),"",J90*K90)</f>
        <v/>
      </c>
      <c r="N90" s="11">
        <f>IF(OR(I90="",K90="",K90=0),"",(I90-K90)/K90)</f>
        <v/>
      </c>
      <c r="O90" s="9">
        <f>IF(OR(G90="",J90=""),"",G90-J90)</f>
        <v/>
      </c>
    </row>
    <row r="91">
      <c r="H91" s="10" t="n"/>
      <c r="I91" s="9">
        <f>IF(H91="","",IF(E91="USD",H91*Parametros!$B$2,H91))</f>
        <v/>
      </c>
      <c r="J91" s="9">
        <f>IF(A91="","",IFERROR(VLOOKUP(A91,Partidas!$A$2:$E$201,4,FALSE),""))</f>
        <v/>
      </c>
      <c r="K91" s="9">
        <f>IF(A91="","",IFERROR(VLOOKUP(A91,Partidas!$A$2:$E$201,5,FALSE),""))</f>
        <v/>
      </c>
      <c r="L91" s="9">
        <f>IF(OR(I91="",G91=""),"",G91*I91)</f>
        <v/>
      </c>
      <c r="M91" s="9">
        <f>IF(OR(J91="",K91=""),"",J91*K91)</f>
        <v/>
      </c>
      <c r="N91" s="11">
        <f>IF(OR(I91="",K91="",K91=0),"",(I91-K91)/K91)</f>
        <v/>
      </c>
      <c r="O91" s="9">
        <f>IF(OR(G91="",J91=""),"",G91-J91)</f>
        <v/>
      </c>
    </row>
    <row r="92">
      <c r="H92" s="10" t="n"/>
      <c r="I92" s="9">
        <f>IF(H92="","",IF(E92="USD",H92*Parametros!$B$2,H92))</f>
        <v/>
      </c>
      <c r="J92" s="9">
        <f>IF(A92="","",IFERROR(VLOOKUP(A92,Partidas!$A$2:$E$201,4,FALSE),""))</f>
        <v/>
      </c>
      <c r="K92" s="9">
        <f>IF(A92="","",IFERROR(VLOOKUP(A92,Partidas!$A$2:$E$201,5,FALSE),""))</f>
        <v/>
      </c>
      <c r="L92" s="9">
        <f>IF(OR(I92="",G92=""),"",G92*I92)</f>
        <v/>
      </c>
      <c r="M92" s="9">
        <f>IF(OR(J92="",K92=""),"",J92*K92)</f>
        <v/>
      </c>
      <c r="N92" s="11">
        <f>IF(OR(I92="",K92="",K92=0),"",(I92-K92)/K92)</f>
        <v/>
      </c>
      <c r="O92" s="9">
        <f>IF(OR(G92="",J92=""),"",G92-J92)</f>
        <v/>
      </c>
    </row>
    <row r="93">
      <c r="H93" s="10" t="n"/>
      <c r="I93" s="9">
        <f>IF(H93="","",IF(E93="USD",H93*Parametros!$B$2,H93))</f>
        <v/>
      </c>
      <c r="J93" s="9">
        <f>IF(A93="","",IFERROR(VLOOKUP(A93,Partidas!$A$2:$E$201,4,FALSE),""))</f>
        <v/>
      </c>
      <c r="K93" s="9">
        <f>IF(A93="","",IFERROR(VLOOKUP(A93,Partidas!$A$2:$E$201,5,FALSE),""))</f>
        <v/>
      </c>
      <c r="L93" s="9">
        <f>IF(OR(I93="",G93=""),"",G93*I93)</f>
        <v/>
      </c>
      <c r="M93" s="9">
        <f>IF(OR(J93="",K93=""),"",J93*K93)</f>
        <v/>
      </c>
      <c r="N93" s="11">
        <f>IF(OR(I93="",K93="",K93=0),"",(I93-K93)/K93)</f>
        <v/>
      </c>
      <c r="O93" s="9">
        <f>IF(OR(G93="",J93=""),"",G93-J93)</f>
        <v/>
      </c>
    </row>
    <row r="94">
      <c r="H94" s="10" t="n"/>
      <c r="I94" s="9">
        <f>IF(H94="","",IF(E94="USD",H94*Parametros!$B$2,H94))</f>
        <v/>
      </c>
      <c r="J94" s="9">
        <f>IF(A94="","",IFERROR(VLOOKUP(A94,Partidas!$A$2:$E$201,4,FALSE),""))</f>
        <v/>
      </c>
      <c r="K94" s="9">
        <f>IF(A94="","",IFERROR(VLOOKUP(A94,Partidas!$A$2:$E$201,5,FALSE),""))</f>
        <v/>
      </c>
      <c r="L94" s="9">
        <f>IF(OR(I94="",G94=""),"",G94*I94)</f>
        <v/>
      </c>
      <c r="M94" s="9">
        <f>IF(OR(J94="",K94=""),"",J94*K94)</f>
        <v/>
      </c>
      <c r="N94" s="11">
        <f>IF(OR(I94="",K94="",K94=0),"",(I94-K94)/K94)</f>
        <v/>
      </c>
      <c r="O94" s="9">
        <f>IF(OR(G94="",J94=""),"",G94-J94)</f>
        <v/>
      </c>
    </row>
    <row r="95">
      <c r="H95" s="10" t="n"/>
      <c r="I95" s="9">
        <f>IF(H95="","",IF(E95="USD",H95*Parametros!$B$2,H95))</f>
        <v/>
      </c>
      <c r="J95" s="9">
        <f>IF(A95="","",IFERROR(VLOOKUP(A95,Partidas!$A$2:$E$201,4,FALSE),""))</f>
        <v/>
      </c>
      <c r="K95" s="9">
        <f>IF(A95="","",IFERROR(VLOOKUP(A95,Partidas!$A$2:$E$201,5,FALSE),""))</f>
        <v/>
      </c>
      <c r="L95" s="9">
        <f>IF(OR(I95="",G95=""),"",G95*I95)</f>
        <v/>
      </c>
      <c r="M95" s="9">
        <f>IF(OR(J95="",K95=""),"",J95*K95)</f>
        <v/>
      </c>
      <c r="N95" s="11">
        <f>IF(OR(I95="",K95="",K95=0),"",(I95-K95)/K95)</f>
        <v/>
      </c>
      <c r="O95" s="9">
        <f>IF(OR(G95="",J95=""),"",G95-J95)</f>
        <v/>
      </c>
    </row>
    <row r="96">
      <c r="H96" s="10" t="n"/>
      <c r="I96" s="9">
        <f>IF(H96="","",IF(E96="USD",H96*Parametros!$B$2,H96))</f>
        <v/>
      </c>
      <c r="J96" s="9">
        <f>IF(A96="","",IFERROR(VLOOKUP(A96,Partidas!$A$2:$E$201,4,FALSE),""))</f>
        <v/>
      </c>
      <c r="K96" s="9">
        <f>IF(A96="","",IFERROR(VLOOKUP(A96,Partidas!$A$2:$E$201,5,FALSE),""))</f>
        <v/>
      </c>
      <c r="L96" s="9">
        <f>IF(OR(I96="",G96=""),"",G96*I96)</f>
        <v/>
      </c>
      <c r="M96" s="9">
        <f>IF(OR(J96="",K96=""),"",J96*K96)</f>
        <v/>
      </c>
      <c r="N96" s="11">
        <f>IF(OR(I96="",K96="",K96=0),"",(I96-K96)/K96)</f>
        <v/>
      </c>
      <c r="O96" s="9">
        <f>IF(OR(G96="",J96=""),"",G96-J96)</f>
        <v/>
      </c>
    </row>
    <row r="97">
      <c r="H97" s="10" t="n"/>
      <c r="I97" s="9">
        <f>IF(H97="","",IF(E97="USD",H97*Parametros!$B$2,H97))</f>
        <v/>
      </c>
      <c r="J97" s="9">
        <f>IF(A97="","",IFERROR(VLOOKUP(A97,Partidas!$A$2:$E$201,4,FALSE),""))</f>
        <v/>
      </c>
      <c r="K97" s="9">
        <f>IF(A97="","",IFERROR(VLOOKUP(A97,Partidas!$A$2:$E$201,5,FALSE),""))</f>
        <v/>
      </c>
      <c r="L97" s="9">
        <f>IF(OR(I97="",G97=""),"",G97*I97)</f>
        <v/>
      </c>
      <c r="M97" s="9">
        <f>IF(OR(J97="",K97=""),"",J97*K97)</f>
        <v/>
      </c>
      <c r="N97" s="11">
        <f>IF(OR(I97="",K97="",K97=0),"",(I97-K97)/K97)</f>
        <v/>
      </c>
      <c r="O97" s="9">
        <f>IF(OR(G97="",J97=""),"",G97-J97)</f>
        <v/>
      </c>
    </row>
    <row r="98">
      <c r="H98" s="10" t="n"/>
      <c r="I98" s="9">
        <f>IF(H98="","",IF(E98="USD",H98*Parametros!$B$2,H98))</f>
        <v/>
      </c>
      <c r="J98" s="9">
        <f>IF(A98="","",IFERROR(VLOOKUP(A98,Partidas!$A$2:$E$201,4,FALSE),""))</f>
        <v/>
      </c>
      <c r="K98" s="9">
        <f>IF(A98="","",IFERROR(VLOOKUP(A98,Partidas!$A$2:$E$201,5,FALSE),""))</f>
        <v/>
      </c>
      <c r="L98" s="9">
        <f>IF(OR(I98="",G98=""),"",G98*I98)</f>
        <v/>
      </c>
      <c r="M98" s="9">
        <f>IF(OR(J98="",K98=""),"",J98*K98)</f>
        <v/>
      </c>
      <c r="N98" s="11">
        <f>IF(OR(I98="",K98="",K98=0),"",(I98-K98)/K98)</f>
        <v/>
      </c>
      <c r="O98" s="9">
        <f>IF(OR(G98="",J98=""),"",G98-J98)</f>
        <v/>
      </c>
    </row>
    <row r="99">
      <c r="H99" s="10" t="n"/>
      <c r="I99" s="9">
        <f>IF(H99="","",IF(E99="USD",H99*Parametros!$B$2,H99))</f>
        <v/>
      </c>
      <c r="J99" s="9">
        <f>IF(A99="","",IFERROR(VLOOKUP(A99,Partidas!$A$2:$E$201,4,FALSE),""))</f>
        <v/>
      </c>
      <c r="K99" s="9">
        <f>IF(A99="","",IFERROR(VLOOKUP(A99,Partidas!$A$2:$E$201,5,FALSE),""))</f>
        <v/>
      </c>
      <c r="L99" s="9">
        <f>IF(OR(I99="",G99=""),"",G99*I99)</f>
        <v/>
      </c>
      <c r="M99" s="9">
        <f>IF(OR(J99="",K99=""),"",J99*K99)</f>
        <v/>
      </c>
      <c r="N99" s="11">
        <f>IF(OR(I99="",K99="",K99=0),"",(I99-K99)/K99)</f>
        <v/>
      </c>
      <c r="O99" s="9">
        <f>IF(OR(G99="",J99=""),"",G99-J99)</f>
        <v/>
      </c>
    </row>
    <row r="100">
      <c r="H100" s="10" t="n"/>
      <c r="I100" s="9">
        <f>IF(H100="","",IF(E100="USD",H100*Parametros!$B$2,H100))</f>
        <v/>
      </c>
      <c r="J100" s="9">
        <f>IF(A100="","",IFERROR(VLOOKUP(A100,Partidas!$A$2:$E$201,4,FALSE),""))</f>
        <v/>
      </c>
      <c r="K100" s="9">
        <f>IF(A100="","",IFERROR(VLOOKUP(A100,Partidas!$A$2:$E$201,5,FALSE),""))</f>
        <v/>
      </c>
      <c r="L100" s="9">
        <f>IF(OR(I100="",G100=""),"",G100*I100)</f>
        <v/>
      </c>
      <c r="M100" s="9">
        <f>IF(OR(J100="",K100=""),"",J100*K100)</f>
        <v/>
      </c>
      <c r="N100" s="11">
        <f>IF(OR(I100="",K100="",K100=0),"",(I100-K100)/K100)</f>
        <v/>
      </c>
      <c r="O100" s="9">
        <f>IF(OR(G100="",J100=""),"",G100-J100)</f>
        <v/>
      </c>
    </row>
    <row r="101">
      <c r="H101" s="10" t="n"/>
      <c r="I101" s="9">
        <f>IF(H101="","",IF(E101="USD",H101*Parametros!$B$2,H101))</f>
        <v/>
      </c>
      <c r="J101" s="9">
        <f>IF(A101="","",IFERROR(VLOOKUP(A101,Partidas!$A$2:$E$201,4,FALSE),""))</f>
        <v/>
      </c>
      <c r="K101" s="9">
        <f>IF(A101="","",IFERROR(VLOOKUP(A101,Partidas!$A$2:$E$201,5,FALSE),""))</f>
        <v/>
      </c>
      <c r="L101" s="9">
        <f>IF(OR(I101="",G101=""),"",G101*I101)</f>
        <v/>
      </c>
      <c r="M101" s="9">
        <f>IF(OR(J101="",K101=""),"",J101*K101)</f>
        <v/>
      </c>
      <c r="N101" s="11">
        <f>IF(OR(I101="",K101="",K101=0),"",(I101-K101)/K101)</f>
        <v/>
      </c>
      <c r="O101" s="9">
        <f>IF(OR(G101="",J101=""),"",G101-J101)</f>
        <v/>
      </c>
    </row>
    <row r="102">
      <c r="H102" s="10" t="n"/>
      <c r="I102" s="9">
        <f>IF(H102="","",IF(E102="USD",H102*Parametros!$B$2,H102))</f>
        <v/>
      </c>
      <c r="J102" s="9">
        <f>IF(A102="","",IFERROR(VLOOKUP(A102,Partidas!$A$2:$E$201,4,FALSE),""))</f>
        <v/>
      </c>
      <c r="K102" s="9">
        <f>IF(A102="","",IFERROR(VLOOKUP(A102,Partidas!$A$2:$E$201,5,FALSE),""))</f>
        <v/>
      </c>
      <c r="L102" s="9">
        <f>IF(OR(I102="",G102=""),"",G102*I102)</f>
        <v/>
      </c>
      <c r="M102" s="9">
        <f>IF(OR(J102="",K102=""),"",J102*K102)</f>
        <v/>
      </c>
      <c r="N102" s="11">
        <f>IF(OR(I102="",K102="",K102=0),"",(I102-K102)/K102)</f>
        <v/>
      </c>
      <c r="O102" s="9">
        <f>IF(OR(G102="",J102=""),"",G102-J102)</f>
        <v/>
      </c>
    </row>
    <row r="103">
      <c r="H103" s="10" t="n"/>
      <c r="I103" s="9">
        <f>IF(H103="","",IF(E103="USD",H103*Parametros!$B$2,H103))</f>
        <v/>
      </c>
      <c r="J103" s="9">
        <f>IF(A103="","",IFERROR(VLOOKUP(A103,Partidas!$A$2:$E$201,4,FALSE),""))</f>
        <v/>
      </c>
      <c r="K103" s="9">
        <f>IF(A103="","",IFERROR(VLOOKUP(A103,Partidas!$A$2:$E$201,5,FALSE),""))</f>
        <v/>
      </c>
      <c r="L103" s="9">
        <f>IF(OR(I103="",G103=""),"",G103*I103)</f>
        <v/>
      </c>
      <c r="M103" s="9">
        <f>IF(OR(J103="",K103=""),"",J103*K103)</f>
        <v/>
      </c>
      <c r="N103" s="11">
        <f>IF(OR(I103="",K103="",K103=0),"",(I103-K103)/K103)</f>
        <v/>
      </c>
      <c r="O103" s="9">
        <f>IF(OR(G103="",J103=""),"",G103-J103)</f>
        <v/>
      </c>
    </row>
    <row r="104">
      <c r="H104" s="10" t="n"/>
      <c r="I104" s="9">
        <f>IF(H104="","",IF(E104="USD",H104*Parametros!$B$2,H104))</f>
        <v/>
      </c>
      <c r="J104" s="9">
        <f>IF(A104="","",IFERROR(VLOOKUP(A104,Partidas!$A$2:$E$201,4,FALSE),""))</f>
        <v/>
      </c>
      <c r="K104" s="9">
        <f>IF(A104="","",IFERROR(VLOOKUP(A104,Partidas!$A$2:$E$201,5,FALSE),""))</f>
        <v/>
      </c>
      <c r="L104" s="9">
        <f>IF(OR(I104="",G104=""),"",G104*I104)</f>
        <v/>
      </c>
      <c r="M104" s="9">
        <f>IF(OR(J104="",K104=""),"",J104*K104)</f>
        <v/>
      </c>
      <c r="N104" s="11">
        <f>IF(OR(I104="",K104="",K104=0),"",(I104-K104)/K104)</f>
        <v/>
      </c>
      <c r="O104" s="9">
        <f>IF(OR(G104="",J104=""),"",G104-J104)</f>
        <v/>
      </c>
    </row>
    <row r="105">
      <c r="H105" s="10" t="n"/>
      <c r="I105" s="9">
        <f>IF(H105="","",IF(E105="USD",H105*Parametros!$B$2,H105))</f>
        <v/>
      </c>
      <c r="J105" s="9">
        <f>IF(A105="","",IFERROR(VLOOKUP(A105,Partidas!$A$2:$E$201,4,FALSE),""))</f>
        <v/>
      </c>
      <c r="K105" s="9">
        <f>IF(A105="","",IFERROR(VLOOKUP(A105,Partidas!$A$2:$E$201,5,FALSE),""))</f>
        <v/>
      </c>
      <c r="L105" s="9">
        <f>IF(OR(I105="",G105=""),"",G105*I105)</f>
        <v/>
      </c>
      <c r="M105" s="9">
        <f>IF(OR(J105="",K105=""),"",J105*K105)</f>
        <v/>
      </c>
      <c r="N105" s="11">
        <f>IF(OR(I105="",K105="",K105=0),"",(I105-K105)/K105)</f>
        <v/>
      </c>
      <c r="O105" s="9">
        <f>IF(OR(G105="",J105=""),"",G105-J105)</f>
        <v/>
      </c>
    </row>
    <row r="106">
      <c r="H106" s="10" t="n"/>
      <c r="I106" s="9">
        <f>IF(H106="","",IF(E106="USD",H106*Parametros!$B$2,H106))</f>
        <v/>
      </c>
      <c r="J106" s="9">
        <f>IF(A106="","",IFERROR(VLOOKUP(A106,Partidas!$A$2:$E$201,4,FALSE),""))</f>
        <v/>
      </c>
      <c r="K106" s="9">
        <f>IF(A106="","",IFERROR(VLOOKUP(A106,Partidas!$A$2:$E$201,5,FALSE),""))</f>
        <v/>
      </c>
      <c r="L106" s="9">
        <f>IF(OR(I106="",G106=""),"",G106*I106)</f>
        <v/>
      </c>
      <c r="M106" s="9">
        <f>IF(OR(J106="",K106=""),"",J106*K106)</f>
        <v/>
      </c>
      <c r="N106" s="11">
        <f>IF(OR(I106="",K106="",K106=0),"",(I106-K106)/K106)</f>
        <v/>
      </c>
      <c r="O106" s="9">
        <f>IF(OR(G106="",J106=""),"",G106-J106)</f>
        <v/>
      </c>
    </row>
    <row r="107">
      <c r="H107" s="10" t="n"/>
      <c r="I107" s="9">
        <f>IF(H107="","",IF(E107="USD",H107*Parametros!$B$2,H107))</f>
        <v/>
      </c>
      <c r="J107" s="9">
        <f>IF(A107="","",IFERROR(VLOOKUP(A107,Partidas!$A$2:$E$201,4,FALSE),""))</f>
        <v/>
      </c>
      <c r="K107" s="9">
        <f>IF(A107="","",IFERROR(VLOOKUP(A107,Partidas!$A$2:$E$201,5,FALSE),""))</f>
        <v/>
      </c>
      <c r="L107" s="9">
        <f>IF(OR(I107="",G107=""),"",G107*I107)</f>
        <v/>
      </c>
      <c r="M107" s="9">
        <f>IF(OR(J107="",K107=""),"",J107*K107)</f>
        <v/>
      </c>
      <c r="N107" s="11">
        <f>IF(OR(I107="",K107="",K107=0),"",(I107-K107)/K107)</f>
        <v/>
      </c>
      <c r="O107" s="9">
        <f>IF(OR(G107="",J107=""),"",G107-J107)</f>
        <v/>
      </c>
    </row>
    <row r="108">
      <c r="H108" s="10" t="n"/>
      <c r="I108" s="9">
        <f>IF(H108="","",IF(E108="USD",H108*Parametros!$B$2,H108))</f>
        <v/>
      </c>
      <c r="J108" s="9">
        <f>IF(A108="","",IFERROR(VLOOKUP(A108,Partidas!$A$2:$E$201,4,FALSE),""))</f>
        <v/>
      </c>
      <c r="K108" s="9">
        <f>IF(A108="","",IFERROR(VLOOKUP(A108,Partidas!$A$2:$E$201,5,FALSE),""))</f>
        <v/>
      </c>
      <c r="L108" s="9">
        <f>IF(OR(I108="",G108=""),"",G108*I108)</f>
        <v/>
      </c>
      <c r="M108" s="9">
        <f>IF(OR(J108="",K108=""),"",J108*K108)</f>
        <v/>
      </c>
      <c r="N108" s="11">
        <f>IF(OR(I108="",K108="",K108=0),"",(I108-K108)/K108)</f>
        <v/>
      </c>
      <c r="O108" s="9">
        <f>IF(OR(G108="",J108=""),"",G108-J108)</f>
        <v/>
      </c>
    </row>
    <row r="109">
      <c r="H109" s="10" t="n"/>
      <c r="I109" s="9">
        <f>IF(H109="","",IF(E109="USD",H109*Parametros!$B$2,H109))</f>
        <v/>
      </c>
      <c r="J109" s="9">
        <f>IF(A109="","",IFERROR(VLOOKUP(A109,Partidas!$A$2:$E$201,4,FALSE),""))</f>
        <v/>
      </c>
      <c r="K109" s="9">
        <f>IF(A109="","",IFERROR(VLOOKUP(A109,Partidas!$A$2:$E$201,5,FALSE),""))</f>
        <v/>
      </c>
      <c r="L109" s="9">
        <f>IF(OR(I109="",G109=""),"",G109*I109)</f>
        <v/>
      </c>
      <c r="M109" s="9">
        <f>IF(OR(J109="",K109=""),"",J109*K109)</f>
        <v/>
      </c>
      <c r="N109" s="11">
        <f>IF(OR(I109="",K109="",K109=0),"",(I109-K109)/K109)</f>
        <v/>
      </c>
      <c r="O109" s="9">
        <f>IF(OR(G109="",J109=""),"",G109-J109)</f>
        <v/>
      </c>
    </row>
    <row r="110">
      <c r="H110" s="10" t="n"/>
      <c r="I110" s="9">
        <f>IF(H110="","",IF(E110="USD",H110*Parametros!$B$2,H110))</f>
        <v/>
      </c>
      <c r="J110" s="9">
        <f>IF(A110="","",IFERROR(VLOOKUP(A110,Partidas!$A$2:$E$201,4,FALSE),""))</f>
        <v/>
      </c>
      <c r="K110" s="9">
        <f>IF(A110="","",IFERROR(VLOOKUP(A110,Partidas!$A$2:$E$201,5,FALSE),""))</f>
        <v/>
      </c>
      <c r="L110" s="9">
        <f>IF(OR(I110="",G110=""),"",G110*I110)</f>
        <v/>
      </c>
      <c r="M110" s="9">
        <f>IF(OR(J110="",K110=""),"",J110*K110)</f>
        <v/>
      </c>
      <c r="N110" s="11">
        <f>IF(OR(I110="",K110="",K110=0),"",(I110-K110)/K110)</f>
        <v/>
      </c>
      <c r="O110" s="9">
        <f>IF(OR(G110="",J110=""),"",G110-J110)</f>
        <v/>
      </c>
    </row>
    <row r="111">
      <c r="H111" s="10" t="n"/>
      <c r="I111" s="9">
        <f>IF(H111="","",IF(E111="USD",H111*Parametros!$B$2,H111))</f>
        <v/>
      </c>
      <c r="J111" s="9">
        <f>IF(A111="","",IFERROR(VLOOKUP(A111,Partidas!$A$2:$E$201,4,FALSE),""))</f>
        <v/>
      </c>
      <c r="K111" s="9">
        <f>IF(A111="","",IFERROR(VLOOKUP(A111,Partidas!$A$2:$E$201,5,FALSE),""))</f>
        <v/>
      </c>
      <c r="L111" s="9">
        <f>IF(OR(I111="",G111=""),"",G111*I111)</f>
        <v/>
      </c>
      <c r="M111" s="9">
        <f>IF(OR(J111="",K111=""),"",J111*K111)</f>
        <v/>
      </c>
      <c r="N111" s="11">
        <f>IF(OR(I111="",K111="",K111=0),"",(I111-K111)/K111)</f>
        <v/>
      </c>
      <c r="O111" s="9">
        <f>IF(OR(G111="",J111=""),"",G111-J111)</f>
        <v/>
      </c>
    </row>
    <row r="112">
      <c r="H112" s="10" t="n"/>
      <c r="I112" s="9">
        <f>IF(H112="","",IF(E112="USD",H112*Parametros!$B$2,H112))</f>
        <v/>
      </c>
      <c r="J112" s="9">
        <f>IF(A112="","",IFERROR(VLOOKUP(A112,Partidas!$A$2:$E$201,4,FALSE),""))</f>
        <v/>
      </c>
      <c r="K112" s="9">
        <f>IF(A112="","",IFERROR(VLOOKUP(A112,Partidas!$A$2:$E$201,5,FALSE),""))</f>
        <v/>
      </c>
      <c r="L112" s="9">
        <f>IF(OR(I112="",G112=""),"",G112*I112)</f>
        <v/>
      </c>
      <c r="M112" s="9">
        <f>IF(OR(J112="",K112=""),"",J112*K112)</f>
        <v/>
      </c>
      <c r="N112" s="11">
        <f>IF(OR(I112="",K112="",K112=0),"",(I112-K112)/K112)</f>
        <v/>
      </c>
      <c r="O112" s="9">
        <f>IF(OR(G112="",J112=""),"",G112-J112)</f>
        <v/>
      </c>
    </row>
    <row r="113">
      <c r="H113" s="10" t="n"/>
      <c r="I113" s="9">
        <f>IF(H113="","",IF(E113="USD",H113*Parametros!$B$2,H113))</f>
        <v/>
      </c>
      <c r="J113" s="9">
        <f>IF(A113="","",IFERROR(VLOOKUP(A113,Partidas!$A$2:$E$201,4,FALSE),""))</f>
        <v/>
      </c>
      <c r="K113" s="9">
        <f>IF(A113="","",IFERROR(VLOOKUP(A113,Partidas!$A$2:$E$201,5,FALSE),""))</f>
        <v/>
      </c>
      <c r="L113" s="9">
        <f>IF(OR(I113="",G113=""),"",G113*I113)</f>
        <v/>
      </c>
      <c r="M113" s="9">
        <f>IF(OR(J113="",K113=""),"",J113*K113)</f>
        <v/>
      </c>
      <c r="N113" s="11">
        <f>IF(OR(I113="",K113="",K113=0),"",(I113-K113)/K113)</f>
        <v/>
      </c>
      <c r="O113" s="9">
        <f>IF(OR(G113="",J113=""),"",G113-J113)</f>
        <v/>
      </c>
    </row>
    <row r="114">
      <c r="H114" s="10" t="n"/>
      <c r="I114" s="9">
        <f>IF(H114="","",IF(E114="USD",H114*Parametros!$B$2,H114))</f>
        <v/>
      </c>
      <c r="J114" s="9">
        <f>IF(A114="","",IFERROR(VLOOKUP(A114,Partidas!$A$2:$E$201,4,FALSE),""))</f>
        <v/>
      </c>
      <c r="K114" s="9">
        <f>IF(A114="","",IFERROR(VLOOKUP(A114,Partidas!$A$2:$E$201,5,FALSE),""))</f>
        <v/>
      </c>
      <c r="L114" s="9">
        <f>IF(OR(I114="",G114=""),"",G114*I114)</f>
        <v/>
      </c>
      <c r="M114" s="9">
        <f>IF(OR(J114="",K114=""),"",J114*K114)</f>
        <v/>
      </c>
      <c r="N114" s="11">
        <f>IF(OR(I114="",K114="",K114=0),"",(I114-K114)/K114)</f>
        <v/>
      </c>
      <c r="O114" s="9">
        <f>IF(OR(G114="",J114=""),"",G114-J114)</f>
        <v/>
      </c>
    </row>
    <row r="115">
      <c r="H115" s="10" t="n"/>
      <c r="I115" s="9">
        <f>IF(H115="","",IF(E115="USD",H115*Parametros!$B$2,H115))</f>
        <v/>
      </c>
      <c r="J115" s="9">
        <f>IF(A115="","",IFERROR(VLOOKUP(A115,Partidas!$A$2:$E$201,4,FALSE),""))</f>
        <v/>
      </c>
      <c r="K115" s="9">
        <f>IF(A115="","",IFERROR(VLOOKUP(A115,Partidas!$A$2:$E$201,5,FALSE),""))</f>
        <v/>
      </c>
      <c r="L115" s="9">
        <f>IF(OR(I115="",G115=""),"",G115*I115)</f>
        <v/>
      </c>
      <c r="M115" s="9">
        <f>IF(OR(J115="",K115=""),"",J115*K115)</f>
        <v/>
      </c>
      <c r="N115" s="11">
        <f>IF(OR(I115="",K115="",K115=0),"",(I115-K115)/K115)</f>
        <v/>
      </c>
      <c r="O115" s="9">
        <f>IF(OR(G115="",J115=""),"",G115-J115)</f>
        <v/>
      </c>
    </row>
    <row r="116">
      <c r="H116" s="10" t="n"/>
      <c r="I116" s="9">
        <f>IF(H116="","",IF(E116="USD",H116*Parametros!$B$2,H116))</f>
        <v/>
      </c>
      <c r="J116" s="9">
        <f>IF(A116="","",IFERROR(VLOOKUP(A116,Partidas!$A$2:$E$201,4,FALSE),""))</f>
        <v/>
      </c>
      <c r="K116" s="9">
        <f>IF(A116="","",IFERROR(VLOOKUP(A116,Partidas!$A$2:$E$201,5,FALSE),""))</f>
        <v/>
      </c>
      <c r="L116" s="9">
        <f>IF(OR(I116="",G116=""),"",G116*I116)</f>
        <v/>
      </c>
      <c r="M116" s="9">
        <f>IF(OR(J116="",K116=""),"",J116*K116)</f>
        <v/>
      </c>
      <c r="N116" s="11">
        <f>IF(OR(I116="",K116="",K116=0),"",(I116-K116)/K116)</f>
        <v/>
      </c>
      <c r="O116" s="9">
        <f>IF(OR(G116="",J116=""),"",G116-J116)</f>
        <v/>
      </c>
    </row>
    <row r="117">
      <c r="H117" s="10" t="n"/>
      <c r="I117" s="9">
        <f>IF(H117="","",IF(E117="USD",H117*Parametros!$B$2,H117))</f>
        <v/>
      </c>
      <c r="J117" s="9">
        <f>IF(A117="","",IFERROR(VLOOKUP(A117,Partidas!$A$2:$E$201,4,FALSE),""))</f>
        <v/>
      </c>
      <c r="K117" s="9">
        <f>IF(A117="","",IFERROR(VLOOKUP(A117,Partidas!$A$2:$E$201,5,FALSE),""))</f>
        <v/>
      </c>
      <c r="L117" s="9">
        <f>IF(OR(I117="",G117=""),"",G117*I117)</f>
        <v/>
      </c>
      <c r="M117" s="9">
        <f>IF(OR(J117="",K117=""),"",J117*K117)</f>
        <v/>
      </c>
      <c r="N117" s="11">
        <f>IF(OR(I117="",K117="",K117=0),"",(I117-K117)/K117)</f>
        <v/>
      </c>
      <c r="O117" s="9">
        <f>IF(OR(G117="",J117=""),"",G117-J117)</f>
        <v/>
      </c>
    </row>
    <row r="118">
      <c r="H118" s="10" t="n"/>
      <c r="I118" s="9">
        <f>IF(H118="","",IF(E118="USD",H118*Parametros!$B$2,H118))</f>
        <v/>
      </c>
      <c r="J118" s="9">
        <f>IF(A118="","",IFERROR(VLOOKUP(A118,Partidas!$A$2:$E$201,4,FALSE),""))</f>
        <v/>
      </c>
      <c r="K118" s="9">
        <f>IF(A118="","",IFERROR(VLOOKUP(A118,Partidas!$A$2:$E$201,5,FALSE),""))</f>
        <v/>
      </c>
      <c r="L118" s="9">
        <f>IF(OR(I118="",G118=""),"",G118*I118)</f>
        <v/>
      </c>
      <c r="M118" s="9">
        <f>IF(OR(J118="",K118=""),"",J118*K118)</f>
        <v/>
      </c>
      <c r="N118" s="11">
        <f>IF(OR(I118="",K118="",K118=0),"",(I118-K118)/K118)</f>
        <v/>
      </c>
      <c r="O118" s="9">
        <f>IF(OR(G118="",J118=""),"",G118-J118)</f>
        <v/>
      </c>
    </row>
    <row r="119">
      <c r="H119" s="10" t="n"/>
      <c r="I119" s="9">
        <f>IF(H119="","",IF(E119="USD",H119*Parametros!$B$2,H119))</f>
        <v/>
      </c>
      <c r="J119" s="9">
        <f>IF(A119="","",IFERROR(VLOOKUP(A119,Partidas!$A$2:$E$201,4,FALSE),""))</f>
        <v/>
      </c>
      <c r="K119" s="9">
        <f>IF(A119="","",IFERROR(VLOOKUP(A119,Partidas!$A$2:$E$201,5,FALSE),""))</f>
        <v/>
      </c>
      <c r="L119" s="9">
        <f>IF(OR(I119="",G119=""),"",G119*I119)</f>
        <v/>
      </c>
      <c r="M119" s="9">
        <f>IF(OR(J119="",K119=""),"",J119*K119)</f>
        <v/>
      </c>
      <c r="N119" s="11">
        <f>IF(OR(I119="",K119="",K119=0),"",(I119-K119)/K119)</f>
        <v/>
      </c>
      <c r="O119" s="9">
        <f>IF(OR(G119="",J119=""),"",G119-J119)</f>
        <v/>
      </c>
    </row>
    <row r="120">
      <c r="H120" s="10" t="n"/>
      <c r="I120" s="9">
        <f>IF(H120="","",IF(E120="USD",H120*Parametros!$B$2,H120))</f>
        <v/>
      </c>
      <c r="J120" s="9">
        <f>IF(A120="","",IFERROR(VLOOKUP(A120,Partidas!$A$2:$E$201,4,FALSE),""))</f>
        <v/>
      </c>
      <c r="K120" s="9">
        <f>IF(A120="","",IFERROR(VLOOKUP(A120,Partidas!$A$2:$E$201,5,FALSE),""))</f>
        <v/>
      </c>
      <c r="L120" s="9">
        <f>IF(OR(I120="",G120=""),"",G120*I120)</f>
        <v/>
      </c>
      <c r="M120" s="9">
        <f>IF(OR(J120="",K120=""),"",J120*K120)</f>
        <v/>
      </c>
      <c r="N120" s="11">
        <f>IF(OR(I120="",K120="",K120=0),"",(I120-K120)/K120)</f>
        <v/>
      </c>
      <c r="O120" s="9">
        <f>IF(OR(G120="",J120=""),"",G120-J120)</f>
        <v/>
      </c>
    </row>
    <row r="121">
      <c r="H121" s="10" t="n"/>
      <c r="I121" s="9">
        <f>IF(H121="","",IF(E121="USD",H121*Parametros!$B$2,H121))</f>
        <v/>
      </c>
      <c r="J121" s="9">
        <f>IF(A121="","",IFERROR(VLOOKUP(A121,Partidas!$A$2:$E$201,4,FALSE),""))</f>
        <v/>
      </c>
      <c r="K121" s="9">
        <f>IF(A121="","",IFERROR(VLOOKUP(A121,Partidas!$A$2:$E$201,5,FALSE),""))</f>
        <v/>
      </c>
      <c r="L121" s="9">
        <f>IF(OR(I121="",G121=""),"",G121*I121)</f>
        <v/>
      </c>
      <c r="M121" s="9">
        <f>IF(OR(J121="",K121=""),"",J121*K121)</f>
        <v/>
      </c>
      <c r="N121" s="11">
        <f>IF(OR(I121="",K121="",K121=0),"",(I121-K121)/K121)</f>
        <v/>
      </c>
      <c r="O121" s="9">
        <f>IF(OR(G121="",J121=""),"",G121-J121)</f>
        <v/>
      </c>
    </row>
    <row r="122">
      <c r="H122" s="10" t="n"/>
      <c r="I122" s="9">
        <f>IF(H122="","",IF(E122="USD",H122*Parametros!$B$2,H122))</f>
        <v/>
      </c>
      <c r="J122" s="9">
        <f>IF(A122="","",IFERROR(VLOOKUP(A122,Partidas!$A$2:$E$201,4,FALSE),""))</f>
        <v/>
      </c>
      <c r="K122" s="9">
        <f>IF(A122="","",IFERROR(VLOOKUP(A122,Partidas!$A$2:$E$201,5,FALSE),""))</f>
        <v/>
      </c>
      <c r="L122" s="9">
        <f>IF(OR(I122="",G122=""),"",G122*I122)</f>
        <v/>
      </c>
      <c r="M122" s="9">
        <f>IF(OR(J122="",K122=""),"",J122*K122)</f>
        <v/>
      </c>
      <c r="N122" s="11">
        <f>IF(OR(I122="",K122="",K122=0),"",(I122-K122)/K122)</f>
        <v/>
      </c>
      <c r="O122" s="9">
        <f>IF(OR(G122="",J122=""),"",G122-J122)</f>
        <v/>
      </c>
    </row>
    <row r="123">
      <c r="H123" s="10" t="n"/>
      <c r="I123" s="9">
        <f>IF(H123="","",IF(E123="USD",H123*Parametros!$B$2,H123))</f>
        <v/>
      </c>
      <c r="J123" s="9">
        <f>IF(A123="","",IFERROR(VLOOKUP(A123,Partidas!$A$2:$E$201,4,FALSE),""))</f>
        <v/>
      </c>
      <c r="K123" s="9">
        <f>IF(A123="","",IFERROR(VLOOKUP(A123,Partidas!$A$2:$E$201,5,FALSE),""))</f>
        <v/>
      </c>
      <c r="L123" s="9">
        <f>IF(OR(I123="",G123=""),"",G123*I123)</f>
        <v/>
      </c>
      <c r="M123" s="9">
        <f>IF(OR(J123="",K123=""),"",J123*K123)</f>
        <v/>
      </c>
      <c r="N123" s="11">
        <f>IF(OR(I123="",K123="",K123=0),"",(I123-K123)/K123)</f>
        <v/>
      </c>
      <c r="O123" s="9">
        <f>IF(OR(G123="",J123=""),"",G123-J123)</f>
        <v/>
      </c>
    </row>
    <row r="124">
      <c r="H124" s="10" t="n"/>
      <c r="I124" s="9">
        <f>IF(H124="","",IF(E124="USD",H124*Parametros!$B$2,H124))</f>
        <v/>
      </c>
      <c r="J124" s="9">
        <f>IF(A124="","",IFERROR(VLOOKUP(A124,Partidas!$A$2:$E$201,4,FALSE),""))</f>
        <v/>
      </c>
      <c r="K124" s="9">
        <f>IF(A124="","",IFERROR(VLOOKUP(A124,Partidas!$A$2:$E$201,5,FALSE),""))</f>
        <v/>
      </c>
      <c r="L124" s="9">
        <f>IF(OR(I124="",G124=""),"",G124*I124)</f>
        <v/>
      </c>
      <c r="M124" s="9">
        <f>IF(OR(J124="",K124=""),"",J124*K124)</f>
        <v/>
      </c>
      <c r="N124" s="11">
        <f>IF(OR(I124="",K124="",K124=0),"",(I124-K124)/K124)</f>
        <v/>
      </c>
      <c r="O124" s="9">
        <f>IF(OR(G124="",J124=""),"",G124-J124)</f>
        <v/>
      </c>
    </row>
    <row r="125">
      <c r="H125" s="10" t="n"/>
      <c r="I125" s="9">
        <f>IF(H125="","",IF(E125="USD",H125*Parametros!$B$2,H125))</f>
        <v/>
      </c>
      <c r="J125" s="9">
        <f>IF(A125="","",IFERROR(VLOOKUP(A125,Partidas!$A$2:$E$201,4,FALSE),""))</f>
        <v/>
      </c>
      <c r="K125" s="9">
        <f>IF(A125="","",IFERROR(VLOOKUP(A125,Partidas!$A$2:$E$201,5,FALSE),""))</f>
        <v/>
      </c>
      <c r="L125" s="9">
        <f>IF(OR(I125="",G125=""),"",G125*I125)</f>
        <v/>
      </c>
      <c r="M125" s="9">
        <f>IF(OR(J125="",K125=""),"",J125*K125)</f>
        <v/>
      </c>
      <c r="N125" s="11">
        <f>IF(OR(I125="",K125="",K125=0),"",(I125-K125)/K125)</f>
        <v/>
      </c>
      <c r="O125" s="9">
        <f>IF(OR(G125="",J125=""),"",G125-J125)</f>
        <v/>
      </c>
    </row>
    <row r="126">
      <c r="H126" s="10" t="n"/>
      <c r="I126" s="9">
        <f>IF(H126="","",IF(E126="USD",H126*Parametros!$B$2,H126))</f>
        <v/>
      </c>
      <c r="J126" s="9">
        <f>IF(A126="","",IFERROR(VLOOKUP(A126,Partidas!$A$2:$E$201,4,FALSE),""))</f>
        <v/>
      </c>
      <c r="K126" s="9">
        <f>IF(A126="","",IFERROR(VLOOKUP(A126,Partidas!$A$2:$E$201,5,FALSE),""))</f>
        <v/>
      </c>
      <c r="L126" s="9">
        <f>IF(OR(I126="",G126=""),"",G126*I126)</f>
        <v/>
      </c>
      <c r="M126" s="9">
        <f>IF(OR(J126="",K126=""),"",J126*K126)</f>
        <v/>
      </c>
      <c r="N126" s="11">
        <f>IF(OR(I126="",K126="",K126=0),"",(I126-K126)/K126)</f>
        <v/>
      </c>
      <c r="O126" s="9">
        <f>IF(OR(G126="",J126=""),"",G126-J126)</f>
        <v/>
      </c>
    </row>
    <row r="127">
      <c r="H127" s="10" t="n"/>
      <c r="I127" s="9">
        <f>IF(H127="","",IF(E127="USD",H127*Parametros!$B$2,H127))</f>
        <v/>
      </c>
      <c r="J127" s="9">
        <f>IF(A127="","",IFERROR(VLOOKUP(A127,Partidas!$A$2:$E$201,4,FALSE),""))</f>
        <v/>
      </c>
      <c r="K127" s="9">
        <f>IF(A127="","",IFERROR(VLOOKUP(A127,Partidas!$A$2:$E$201,5,FALSE),""))</f>
        <v/>
      </c>
      <c r="L127" s="9">
        <f>IF(OR(I127="",G127=""),"",G127*I127)</f>
        <v/>
      </c>
      <c r="M127" s="9">
        <f>IF(OR(J127="",K127=""),"",J127*K127)</f>
        <v/>
      </c>
      <c r="N127" s="11">
        <f>IF(OR(I127="",K127="",K127=0),"",(I127-K127)/K127)</f>
        <v/>
      </c>
      <c r="O127" s="9">
        <f>IF(OR(G127="",J127=""),"",G127-J127)</f>
        <v/>
      </c>
    </row>
    <row r="128">
      <c r="H128" s="10" t="n"/>
      <c r="I128" s="9">
        <f>IF(H128="","",IF(E128="USD",H128*Parametros!$B$2,H128))</f>
        <v/>
      </c>
      <c r="J128" s="9">
        <f>IF(A128="","",IFERROR(VLOOKUP(A128,Partidas!$A$2:$E$201,4,FALSE),""))</f>
        <v/>
      </c>
      <c r="K128" s="9">
        <f>IF(A128="","",IFERROR(VLOOKUP(A128,Partidas!$A$2:$E$201,5,FALSE),""))</f>
        <v/>
      </c>
      <c r="L128" s="9">
        <f>IF(OR(I128="",G128=""),"",G128*I128)</f>
        <v/>
      </c>
      <c r="M128" s="9">
        <f>IF(OR(J128="",K128=""),"",J128*K128)</f>
        <v/>
      </c>
      <c r="N128" s="11">
        <f>IF(OR(I128="",K128="",K128=0),"",(I128-K128)/K128)</f>
        <v/>
      </c>
      <c r="O128" s="9">
        <f>IF(OR(G128="",J128=""),"",G128-J128)</f>
        <v/>
      </c>
    </row>
    <row r="129">
      <c r="H129" s="10" t="n"/>
      <c r="I129" s="9">
        <f>IF(H129="","",IF(E129="USD",H129*Parametros!$B$2,H129))</f>
        <v/>
      </c>
      <c r="J129" s="9">
        <f>IF(A129="","",IFERROR(VLOOKUP(A129,Partidas!$A$2:$E$201,4,FALSE),""))</f>
        <v/>
      </c>
      <c r="K129" s="9">
        <f>IF(A129="","",IFERROR(VLOOKUP(A129,Partidas!$A$2:$E$201,5,FALSE),""))</f>
        <v/>
      </c>
      <c r="L129" s="9">
        <f>IF(OR(I129="",G129=""),"",G129*I129)</f>
        <v/>
      </c>
      <c r="M129" s="9">
        <f>IF(OR(J129="",K129=""),"",J129*K129)</f>
        <v/>
      </c>
      <c r="N129" s="11">
        <f>IF(OR(I129="",K129="",K129=0),"",(I129-K129)/K129)</f>
        <v/>
      </c>
      <c r="O129" s="9">
        <f>IF(OR(G129="",J129=""),"",G129-J129)</f>
        <v/>
      </c>
    </row>
    <row r="130">
      <c r="H130" s="10" t="n"/>
      <c r="I130" s="9">
        <f>IF(H130="","",IF(E130="USD",H130*Parametros!$B$2,H130))</f>
        <v/>
      </c>
      <c r="J130" s="9">
        <f>IF(A130="","",IFERROR(VLOOKUP(A130,Partidas!$A$2:$E$201,4,FALSE),""))</f>
        <v/>
      </c>
      <c r="K130" s="9">
        <f>IF(A130="","",IFERROR(VLOOKUP(A130,Partidas!$A$2:$E$201,5,FALSE),""))</f>
        <v/>
      </c>
      <c r="L130" s="9">
        <f>IF(OR(I130="",G130=""),"",G130*I130)</f>
        <v/>
      </c>
      <c r="M130" s="9">
        <f>IF(OR(J130="",K130=""),"",J130*K130)</f>
        <v/>
      </c>
      <c r="N130" s="11">
        <f>IF(OR(I130="",K130="",K130=0),"",(I130-K130)/K130)</f>
        <v/>
      </c>
      <c r="O130" s="9">
        <f>IF(OR(G130="",J130=""),"",G130-J130)</f>
        <v/>
      </c>
    </row>
    <row r="131">
      <c r="H131" s="10" t="n"/>
      <c r="I131" s="9">
        <f>IF(H131="","",IF(E131="USD",H131*Parametros!$B$2,H131))</f>
        <v/>
      </c>
      <c r="J131" s="9">
        <f>IF(A131="","",IFERROR(VLOOKUP(A131,Partidas!$A$2:$E$201,4,FALSE),""))</f>
        <v/>
      </c>
      <c r="K131" s="9">
        <f>IF(A131="","",IFERROR(VLOOKUP(A131,Partidas!$A$2:$E$201,5,FALSE),""))</f>
        <v/>
      </c>
      <c r="L131" s="9">
        <f>IF(OR(I131="",G131=""),"",G131*I131)</f>
        <v/>
      </c>
      <c r="M131" s="9">
        <f>IF(OR(J131="",K131=""),"",J131*K131)</f>
        <v/>
      </c>
      <c r="N131" s="11">
        <f>IF(OR(I131="",K131="",K131=0),"",(I131-K131)/K131)</f>
        <v/>
      </c>
      <c r="O131" s="9">
        <f>IF(OR(G131="",J131=""),"",G131-J131)</f>
        <v/>
      </c>
    </row>
    <row r="132">
      <c r="H132" s="10" t="n"/>
      <c r="I132" s="9">
        <f>IF(H132="","",IF(E132="USD",H132*Parametros!$B$2,H132))</f>
        <v/>
      </c>
      <c r="J132" s="9">
        <f>IF(A132="","",IFERROR(VLOOKUP(A132,Partidas!$A$2:$E$201,4,FALSE),""))</f>
        <v/>
      </c>
      <c r="K132" s="9">
        <f>IF(A132="","",IFERROR(VLOOKUP(A132,Partidas!$A$2:$E$201,5,FALSE),""))</f>
        <v/>
      </c>
      <c r="L132" s="9">
        <f>IF(OR(I132="",G132=""),"",G132*I132)</f>
        <v/>
      </c>
      <c r="M132" s="9">
        <f>IF(OR(J132="",K132=""),"",J132*K132)</f>
        <v/>
      </c>
      <c r="N132" s="11">
        <f>IF(OR(I132="",K132="",K132=0),"",(I132-K132)/K132)</f>
        <v/>
      </c>
      <c r="O132" s="9">
        <f>IF(OR(G132="",J132=""),"",G132-J132)</f>
        <v/>
      </c>
    </row>
    <row r="133">
      <c r="H133" s="10" t="n"/>
      <c r="I133" s="9">
        <f>IF(H133="","",IF(E133="USD",H133*Parametros!$B$2,H133))</f>
        <v/>
      </c>
      <c r="J133" s="9">
        <f>IF(A133="","",IFERROR(VLOOKUP(A133,Partidas!$A$2:$E$201,4,FALSE),""))</f>
        <v/>
      </c>
      <c r="K133" s="9">
        <f>IF(A133="","",IFERROR(VLOOKUP(A133,Partidas!$A$2:$E$201,5,FALSE),""))</f>
        <v/>
      </c>
      <c r="L133" s="9">
        <f>IF(OR(I133="",G133=""),"",G133*I133)</f>
        <v/>
      </c>
      <c r="M133" s="9">
        <f>IF(OR(J133="",K133=""),"",J133*K133)</f>
        <v/>
      </c>
      <c r="N133" s="11">
        <f>IF(OR(I133="",K133="",K133=0),"",(I133-K133)/K133)</f>
        <v/>
      </c>
      <c r="O133" s="9">
        <f>IF(OR(G133="",J133=""),"",G133-J133)</f>
        <v/>
      </c>
    </row>
    <row r="134">
      <c r="H134" s="10" t="n"/>
      <c r="I134" s="9">
        <f>IF(H134="","",IF(E134="USD",H134*Parametros!$B$2,H134))</f>
        <v/>
      </c>
      <c r="J134" s="9">
        <f>IF(A134="","",IFERROR(VLOOKUP(A134,Partidas!$A$2:$E$201,4,FALSE),""))</f>
        <v/>
      </c>
      <c r="K134" s="9">
        <f>IF(A134="","",IFERROR(VLOOKUP(A134,Partidas!$A$2:$E$201,5,FALSE),""))</f>
        <v/>
      </c>
      <c r="L134" s="9">
        <f>IF(OR(I134="",G134=""),"",G134*I134)</f>
        <v/>
      </c>
      <c r="M134" s="9">
        <f>IF(OR(J134="",K134=""),"",J134*K134)</f>
        <v/>
      </c>
      <c r="N134" s="11">
        <f>IF(OR(I134="",K134="",K134=0),"",(I134-K134)/K134)</f>
        <v/>
      </c>
      <c r="O134" s="9">
        <f>IF(OR(G134="",J134=""),"",G134-J134)</f>
        <v/>
      </c>
    </row>
    <row r="135">
      <c r="H135" s="10" t="n"/>
      <c r="I135" s="9">
        <f>IF(H135="","",IF(E135="USD",H135*Parametros!$B$2,H135))</f>
        <v/>
      </c>
      <c r="J135" s="9">
        <f>IF(A135="","",IFERROR(VLOOKUP(A135,Partidas!$A$2:$E$201,4,FALSE),""))</f>
        <v/>
      </c>
      <c r="K135" s="9">
        <f>IF(A135="","",IFERROR(VLOOKUP(A135,Partidas!$A$2:$E$201,5,FALSE),""))</f>
        <v/>
      </c>
      <c r="L135" s="9">
        <f>IF(OR(I135="",G135=""),"",G135*I135)</f>
        <v/>
      </c>
      <c r="M135" s="9">
        <f>IF(OR(J135="",K135=""),"",J135*K135)</f>
        <v/>
      </c>
      <c r="N135" s="11">
        <f>IF(OR(I135="",K135="",K135=0),"",(I135-K135)/K135)</f>
        <v/>
      </c>
      <c r="O135" s="9">
        <f>IF(OR(G135="",J135=""),"",G135-J135)</f>
        <v/>
      </c>
    </row>
    <row r="136">
      <c r="H136" s="10" t="n"/>
      <c r="I136" s="9">
        <f>IF(H136="","",IF(E136="USD",H136*Parametros!$B$2,H136))</f>
        <v/>
      </c>
      <c r="J136" s="9">
        <f>IF(A136="","",IFERROR(VLOOKUP(A136,Partidas!$A$2:$E$201,4,FALSE),""))</f>
        <v/>
      </c>
      <c r="K136" s="9">
        <f>IF(A136="","",IFERROR(VLOOKUP(A136,Partidas!$A$2:$E$201,5,FALSE),""))</f>
        <v/>
      </c>
      <c r="L136" s="9">
        <f>IF(OR(I136="",G136=""),"",G136*I136)</f>
        <v/>
      </c>
      <c r="M136" s="9">
        <f>IF(OR(J136="",K136=""),"",J136*K136)</f>
        <v/>
      </c>
      <c r="N136" s="11">
        <f>IF(OR(I136="",K136="",K136=0),"",(I136-K136)/K136)</f>
        <v/>
      </c>
      <c r="O136" s="9">
        <f>IF(OR(G136="",J136=""),"",G136-J136)</f>
        <v/>
      </c>
    </row>
    <row r="137">
      <c r="H137" s="10" t="n"/>
      <c r="I137" s="9">
        <f>IF(H137="","",IF(E137="USD",H137*Parametros!$B$2,H137))</f>
        <v/>
      </c>
      <c r="J137" s="9">
        <f>IF(A137="","",IFERROR(VLOOKUP(A137,Partidas!$A$2:$E$201,4,FALSE),""))</f>
        <v/>
      </c>
      <c r="K137" s="9">
        <f>IF(A137="","",IFERROR(VLOOKUP(A137,Partidas!$A$2:$E$201,5,FALSE),""))</f>
        <v/>
      </c>
      <c r="L137" s="9">
        <f>IF(OR(I137="",G137=""),"",G137*I137)</f>
        <v/>
      </c>
      <c r="M137" s="9">
        <f>IF(OR(J137="",K137=""),"",J137*K137)</f>
        <v/>
      </c>
      <c r="N137" s="11">
        <f>IF(OR(I137="",K137="",K137=0),"",(I137-K137)/K137)</f>
        <v/>
      </c>
      <c r="O137" s="9">
        <f>IF(OR(G137="",J137=""),"",G137-J137)</f>
        <v/>
      </c>
    </row>
    <row r="138">
      <c r="H138" s="10" t="n"/>
      <c r="I138" s="9">
        <f>IF(H138="","",IF(E138="USD",H138*Parametros!$B$2,H138))</f>
        <v/>
      </c>
      <c r="J138" s="9">
        <f>IF(A138="","",IFERROR(VLOOKUP(A138,Partidas!$A$2:$E$201,4,FALSE),""))</f>
        <v/>
      </c>
      <c r="K138" s="9">
        <f>IF(A138="","",IFERROR(VLOOKUP(A138,Partidas!$A$2:$E$201,5,FALSE),""))</f>
        <v/>
      </c>
      <c r="L138" s="9">
        <f>IF(OR(I138="",G138=""),"",G138*I138)</f>
        <v/>
      </c>
      <c r="M138" s="9">
        <f>IF(OR(J138="",K138=""),"",J138*K138)</f>
        <v/>
      </c>
      <c r="N138" s="11">
        <f>IF(OR(I138="",K138="",K138=0),"",(I138-K138)/K138)</f>
        <v/>
      </c>
      <c r="O138" s="9">
        <f>IF(OR(G138="",J138=""),"",G138-J138)</f>
        <v/>
      </c>
    </row>
    <row r="139">
      <c r="H139" s="10" t="n"/>
      <c r="I139" s="9">
        <f>IF(H139="","",IF(E139="USD",H139*Parametros!$B$2,H139))</f>
        <v/>
      </c>
      <c r="J139" s="9">
        <f>IF(A139="","",IFERROR(VLOOKUP(A139,Partidas!$A$2:$E$201,4,FALSE),""))</f>
        <v/>
      </c>
      <c r="K139" s="9">
        <f>IF(A139="","",IFERROR(VLOOKUP(A139,Partidas!$A$2:$E$201,5,FALSE),""))</f>
        <v/>
      </c>
      <c r="L139" s="9">
        <f>IF(OR(I139="",G139=""),"",G139*I139)</f>
        <v/>
      </c>
      <c r="M139" s="9">
        <f>IF(OR(J139="",K139=""),"",J139*K139)</f>
        <v/>
      </c>
      <c r="N139" s="11">
        <f>IF(OR(I139="",K139="",K139=0),"",(I139-K139)/K139)</f>
        <v/>
      </c>
      <c r="O139" s="9">
        <f>IF(OR(G139="",J139=""),"",G139-J139)</f>
        <v/>
      </c>
    </row>
    <row r="140">
      <c r="H140" s="10" t="n"/>
      <c r="I140" s="9">
        <f>IF(H140="","",IF(E140="USD",H140*Parametros!$B$2,H140))</f>
        <v/>
      </c>
      <c r="J140" s="9">
        <f>IF(A140="","",IFERROR(VLOOKUP(A140,Partidas!$A$2:$E$201,4,FALSE),""))</f>
        <v/>
      </c>
      <c r="K140" s="9">
        <f>IF(A140="","",IFERROR(VLOOKUP(A140,Partidas!$A$2:$E$201,5,FALSE),""))</f>
        <v/>
      </c>
      <c r="L140" s="9">
        <f>IF(OR(I140="",G140=""),"",G140*I140)</f>
        <v/>
      </c>
      <c r="M140" s="9">
        <f>IF(OR(J140="",K140=""),"",J140*K140)</f>
        <v/>
      </c>
      <c r="N140" s="11">
        <f>IF(OR(I140="",K140="",K140=0),"",(I140-K140)/K140)</f>
        <v/>
      </c>
      <c r="O140" s="9">
        <f>IF(OR(G140="",J140=""),"",G140-J140)</f>
        <v/>
      </c>
    </row>
    <row r="141">
      <c r="H141" s="10" t="n"/>
      <c r="I141" s="9">
        <f>IF(H141="","",IF(E141="USD",H141*Parametros!$B$2,H141))</f>
        <v/>
      </c>
      <c r="J141" s="9">
        <f>IF(A141="","",IFERROR(VLOOKUP(A141,Partidas!$A$2:$E$201,4,FALSE),""))</f>
        <v/>
      </c>
      <c r="K141" s="9">
        <f>IF(A141="","",IFERROR(VLOOKUP(A141,Partidas!$A$2:$E$201,5,FALSE),""))</f>
        <v/>
      </c>
      <c r="L141" s="9">
        <f>IF(OR(I141="",G141=""),"",G141*I141)</f>
        <v/>
      </c>
      <c r="M141" s="9">
        <f>IF(OR(J141="",K141=""),"",J141*K141)</f>
        <v/>
      </c>
      <c r="N141" s="11">
        <f>IF(OR(I141="",K141="",K141=0),"",(I141-K141)/K141)</f>
        <v/>
      </c>
      <c r="O141" s="9">
        <f>IF(OR(G141="",J141=""),"",G141-J141)</f>
        <v/>
      </c>
    </row>
    <row r="142">
      <c r="H142" s="10" t="n"/>
      <c r="I142" s="9">
        <f>IF(H142="","",IF(E142="USD",H142*Parametros!$B$2,H142))</f>
        <v/>
      </c>
      <c r="J142" s="9">
        <f>IF(A142="","",IFERROR(VLOOKUP(A142,Partidas!$A$2:$E$201,4,FALSE),""))</f>
        <v/>
      </c>
      <c r="K142" s="9">
        <f>IF(A142="","",IFERROR(VLOOKUP(A142,Partidas!$A$2:$E$201,5,FALSE),""))</f>
        <v/>
      </c>
      <c r="L142" s="9">
        <f>IF(OR(I142="",G142=""),"",G142*I142)</f>
        <v/>
      </c>
      <c r="M142" s="9">
        <f>IF(OR(J142="",K142=""),"",J142*K142)</f>
        <v/>
      </c>
      <c r="N142" s="11">
        <f>IF(OR(I142="",K142="",K142=0),"",(I142-K142)/K142)</f>
        <v/>
      </c>
      <c r="O142" s="9">
        <f>IF(OR(G142="",J142=""),"",G142-J142)</f>
        <v/>
      </c>
    </row>
    <row r="143">
      <c r="H143" s="10" t="n"/>
      <c r="I143" s="9">
        <f>IF(H143="","",IF(E143="USD",H143*Parametros!$B$2,H143))</f>
        <v/>
      </c>
      <c r="J143" s="9">
        <f>IF(A143="","",IFERROR(VLOOKUP(A143,Partidas!$A$2:$E$201,4,FALSE),""))</f>
        <v/>
      </c>
      <c r="K143" s="9">
        <f>IF(A143="","",IFERROR(VLOOKUP(A143,Partidas!$A$2:$E$201,5,FALSE),""))</f>
        <v/>
      </c>
      <c r="L143" s="9">
        <f>IF(OR(I143="",G143=""),"",G143*I143)</f>
        <v/>
      </c>
      <c r="M143" s="9">
        <f>IF(OR(J143="",K143=""),"",J143*K143)</f>
        <v/>
      </c>
      <c r="N143" s="11">
        <f>IF(OR(I143="",K143="",K143=0),"",(I143-K143)/K143)</f>
        <v/>
      </c>
      <c r="O143" s="9">
        <f>IF(OR(G143="",J143=""),"",G143-J143)</f>
        <v/>
      </c>
    </row>
    <row r="144">
      <c r="H144" s="10" t="n"/>
      <c r="I144" s="9">
        <f>IF(H144="","",IF(E144="USD",H144*Parametros!$B$2,H144))</f>
        <v/>
      </c>
      <c r="J144" s="9">
        <f>IF(A144="","",IFERROR(VLOOKUP(A144,Partidas!$A$2:$E$201,4,FALSE),""))</f>
        <v/>
      </c>
      <c r="K144" s="9">
        <f>IF(A144="","",IFERROR(VLOOKUP(A144,Partidas!$A$2:$E$201,5,FALSE),""))</f>
        <v/>
      </c>
      <c r="L144" s="9">
        <f>IF(OR(I144="",G144=""),"",G144*I144)</f>
        <v/>
      </c>
      <c r="M144" s="9">
        <f>IF(OR(J144="",K144=""),"",J144*K144)</f>
        <v/>
      </c>
      <c r="N144" s="11">
        <f>IF(OR(I144="",K144="",K144=0),"",(I144-K144)/K144)</f>
        <v/>
      </c>
      <c r="O144" s="9">
        <f>IF(OR(G144="",J144=""),"",G144-J144)</f>
        <v/>
      </c>
    </row>
    <row r="145">
      <c r="H145" s="10" t="n"/>
      <c r="I145" s="9">
        <f>IF(H145="","",IF(E145="USD",H145*Parametros!$B$2,H145))</f>
        <v/>
      </c>
      <c r="J145" s="9">
        <f>IF(A145="","",IFERROR(VLOOKUP(A145,Partidas!$A$2:$E$201,4,FALSE),""))</f>
        <v/>
      </c>
      <c r="K145" s="9">
        <f>IF(A145="","",IFERROR(VLOOKUP(A145,Partidas!$A$2:$E$201,5,FALSE),""))</f>
        <v/>
      </c>
      <c r="L145" s="9">
        <f>IF(OR(I145="",G145=""),"",G145*I145)</f>
        <v/>
      </c>
      <c r="M145" s="9">
        <f>IF(OR(J145="",K145=""),"",J145*K145)</f>
        <v/>
      </c>
      <c r="N145" s="11">
        <f>IF(OR(I145="",K145="",K145=0),"",(I145-K145)/K145)</f>
        <v/>
      </c>
      <c r="O145" s="9">
        <f>IF(OR(G145="",J145=""),"",G145-J145)</f>
        <v/>
      </c>
    </row>
    <row r="146">
      <c r="H146" s="10" t="n"/>
      <c r="I146" s="9">
        <f>IF(H146="","",IF(E146="USD",H146*Parametros!$B$2,H146))</f>
        <v/>
      </c>
      <c r="J146" s="9">
        <f>IF(A146="","",IFERROR(VLOOKUP(A146,Partidas!$A$2:$E$201,4,FALSE),""))</f>
        <v/>
      </c>
      <c r="K146" s="9">
        <f>IF(A146="","",IFERROR(VLOOKUP(A146,Partidas!$A$2:$E$201,5,FALSE),""))</f>
        <v/>
      </c>
      <c r="L146" s="9">
        <f>IF(OR(I146="",G146=""),"",G146*I146)</f>
        <v/>
      </c>
      <c r="M146" s="9">
        <f>IF(OR(J146="",K146=""),"",J146*K146)</f>
        <v/>
      </c>
      <c r="N146" s="11">
        <f>IF(OR(I146="",K146="",K146=0),"",(I146-K146)/K146)</f>
        <v/>
      </c>
      <c r="O146" s="9">
        <f>IF(OR(G146="",J146=""),"",G146-J146)</f>
        <v/>
      </c>
    </row>
    <row r="147">
      <c r="H147" s="10" t="n"/>
      <c r="I147" s="9">
        <f>IF(H147="","",IF(E147="USD",H147*Parametros!$B$2,H147))</f>
        <v/>
      </c>
      <c r="J147" s="9">
        <f>IF(A147="","",IFERROR(VLOOKUP(A147,Partidas!$A$2:$E$201,4,FALSE),""))</f>
        <v/>
      </c>
      <c r="K147" s="9">
        <f>IF(A147="","",IFERROR(VLOOKUP(A147,Partidas!$A$2:$E$201,5,FALSE),""))</f>
        <v/>
      </c>
      <c r="L147" s="9">
        <f>IF(OR(I147="",G147=""),"",G147*I147)</f>
        <v/>
      </c>
      <c r="M147" s="9">
        <f>IF(OR(J147="",K147=""),"",J147*K147)</f>
        <v/>
      </c>
      <c r="N147" s="11">
        <f>IF(OR(I147="",K147="",K147=0),"",(I147-K147)/K147)</f>
        <v/>
      </c>
      <c r="O147" s="9">
        <f>IF(OR(G147="",J147=""),"",G147-J147)</f>
        <v/>
      </c>
    </row>
    <row r="148">
      <c r="H148" s="10" t="n"/>
      <c r="I148" s="9">
        <f>IF(H148="","",IF(E148="USD",H148*Parametros!$B$2,H148))</f>
        <v/>
      </c>
      <c r="J148" s="9">
        <f>IF(A148="","",IFERROR(VLOOKUP(A148,Partidas!$A$2:$E$201,4,FALSE),""))</f>
        <v/>
      </c>
      <c r="K148" s="9">
        <f>IF(A148="","",IFERROR(VLOOKUP(A148,Partidas!$A$2:$E$201,5,FALSE),""))</f>
        <v/>
      </c>
      <c r="L148" s="9">
        <f>IF(OR(I148="",G148=""),"",G148*I148)</f>
        <v/>
      </c>
      <c r="M148" s="9">
        <f>IF(OR(J148="",K148=""),"",J148*K148)</f>
        <v/>
      </c>
      <c r="N148" s="11">
        <f>IF(OR(I148="",K148="",K148=0),"",(I148-K148)/K148)</f>
        <v/>
      </c>
      <c r="O148" s="9">
        <f>IF(OR(G148="",J148=""),"",G148-J148)</f>
        <v/>
      </c>
    </row>
    <row r="149">
      <c r="H149" s="10" t="n"/>
      <c r="I149" s="9">
        <f>IF(H149="","",IF(E149="USD",H149*Parametros!$B$2,H149))</f>
        <v/>
      </c>
      <c r="J149" s="9">
        <f>IF(A149="","",IFERROR(VLOOKUP(A149,Partidas!$A$2:$E$201,4,FALSE),""))</f>
        <v/>
      </c>
      <c r="K149" s="9">
        <f>IF(A149="","",IFERROR(VLOOKUP(A149,Partidas!$A$2:$E$201,5,FALSE),""))</f>
        <v/>
      </c>
      <c r="L149" s="9">
        <f>IF(OR(I149="",G149=""),"",G149*I149)</f>
        <v/>
      </c>
      <c r="M149" s="9">
        <f>IF(OR(J149="",K149=""),"",J149*K149)</f>
        <v/>
      </c>
      <c r="N149" s="11">
        <f>IF(OR(I149="",K149="",K149=0),"",(I149-K149)/K149)</f>
        <v/>
      </c>
      <c r="O149" s="9">
        <f>IF(OR(G149="",J149=""),"",G149-J149)</f>
        <v/>
      </c>
    </row>
    <row r="150">
      <c r="H150" s="10" t="n"/>
      <c r="I150" s="9">
        <f>IF(H150="","",IF(E150="USD",H150*Parametros!$B$2,H150))</f>
        <v/>
      </c>
      <c r="J150" s="9">
        <f>IF(A150="","",IFERROR(VLOOKUP(A150,Partidas!$A$2:$E$201,4,FALSE),""))</f>
        <v/>
      </c>
      <c r="K150" s="9">
        <f>IF(A150="","",IFERROR(VLOOKUP(A150,Partidas!$A$2:$E$201,5,FALSE),""))</f>
        <v/>
      </c>
      <c r="L150" s="9">
        <f>IF(OR(I150="",G150=""),"",G150*I150)</f>
        <v/>
      </c>
      <c r="M150" s="9">
        <f>IF(OR(J150="",K150=""),"",J150*K150)</f>
        <v/>
      </c>
      <c r="N150" s="11">
        <f>IF(OR(I150="",K150="",K150=0),"",(I150-K150)/K150)</f>
        <v/>
      </c>
      <c r="O150" s="9">
        <f>IF(OR(G150="",J150=""),"",G150-J150)</f>
        <v/>
      </c>
    </row>
    <row r="151">
      <c r="H151" s="10" t="n"/>
      <c r="I151" s="9">
        <f>IF(H151="","",IF(E151="USD",H151*Parametros!$B$2,H151))</f>
        <v/>
      </c>
      <c r="J151" s="9">
        <f>IF(A151="","",IFERROR(VLOOKUP(A151,Partidas!$A$2:$E$201,4,FALSE),""))</f>
        <v/>
      </c>
      <c r="K151" s="9">
        <f>IF(A151="","",IFERROR(VLOOKUP(A151,Partidas!$A$2:$E$201,5,FALSE),""))</f>
        <v/>
      </c>
      <c r="L151" s="9">
        <f>IF(OR(I151="",G151=""),"",G151*I151)</f>
        <v/>
      </c>
      <c r="M151" s="9">
        <f>IF(OR(J151="",K151=""),"",J151*K151)</f>
        <v/>
      </c>
      <c r="N151" s="11">
        <f>IF(OR(I151="",K151="",K151=0),"",(I151-K151)/K151)</f>
        <v/>
      </c>
      <c r="O151" s="9">
        <f>IF(OR(G151="",J151=""),"",G151-J151)</f>
        <v/>
      </c>
    </row>
    <row r="152">
      <c r="H152" s="10" t="n"/>
      <c r="I152" s="9">
        <f>IF(H152="","",IF(E152="USD",H152*Parametros!$B$2,H152))</f>
        <v/>
      </c>
      <c r="J152" s="9">
        <f>IF(A152="","",IFERROR(VLOOKUP(A152,Partidas!$A$2:$E$201,4,FALSE),""))</f>
        <v/>
      </c>
      <c r="K152" s="9">
        <f>IF(A152="","",IFERROR(VLOOKUP(A152,Partidas!$A$2:$E$201,5,FALSE),""))</f>
        <v/>
      </c>
      <c r="L152" s="9">
        <f>IF(OR(I152="",G152=""),"",G152*I152)</f>
        <v/>
      </c>
      <c r="M152" s="9">
        <f>IF(OR(J152="",K152=""),"",J152*K152)</f>
        <v/>
      </c>
      <c r="N152" s="11">
        <f>IF(OR(I152="",K152="",K152=0),"",(I152-K152)/K152)</f>
        <v/>
      </c>
      <c r="O152" s="9">
        <f>IF(OR(G152="",J152=""),"",G152-J152)</f>
        <v/>
      </c>
    </row>
    <row r="153">
      <c r="H153" s="10" t="n"/>
      <c r="I153" s="9">
        <f>IF(H153="","",IF(E153="USD",H153*Parametros!$B$2,H153))</f>
        <v/>
      </c>
      <c r="J153" s="9">
        <f>IF(A153="","",IFERROR(VLOOKUP(A153,Partidas!$A$2:$E$201,4,FALSE),""))</f>
        <v/>
      </c>
      <c r="K153" s="9">
        <f>IF(A153="","",IFERROR(VLOOKUP(A153,Partidas!$A$2:$E$201,5,FALSE),""))</f>
        <v/>
      </c>
      <c r="L153" s="9">
        <f>IF(OR(I153="",G153=""),"",G153*I153)</f>
        <v/>
      </c>
      <c r="M153" s="9">
        <f>IF(OR(J153="",K153=""),"",J153*K153)</f>
        <v/>
      </c>
      <c r="N153" s="11">
        <f>IF(OR(I153="",K153="",K153=0),"",(I153-K153)/K153)</f>
        <v/>
      </c>
      <c r="O153" s="9">
        <f>IF(OR(G153="",J153=""),"",G153-J153)</f>
        <v/>
      </c>
    </row>
    <row r="154">
      <c r="H154" s="10" t="n"/>
      <c r="I154" s="9">
        <f>IF(H154="","",IF(E154="USD",H154*Parametros!$B$2,H154))</f>
        <v/>
      </c>
      <c r="J154" s="9">
        <f>IF(A154="","",IFERROR(VLOOKUP(A154,Partidas!$A$2:$E$201,4,FALSE),""))</f>
        <v/>
      </c>
      <c r="K154" s="9">
        <f>IF(A154="","",IFERROR(VLOOKUP(A154,Partidas!$A$2:$E$201,5,FALSE),""))</f>
        <v/>
      </c>
      <c r="L154" s="9">
        <f>IF(OR(I154="",G154=""),"",G154*I154)</f>
        <v/>
      </c>
      <c r="M154" s="9">
        <f>IF(OR(J154="",K154=""),"",J154*K154)</f>
        <v/>
      </c>
      <c r="N154" s="11">
        <f>IF(OR(I154="",K154="",K154=0),"",(I154-K154)/K154)</f>
        <v/>
      </c>
      <c r="O154" s="9">
        <f>IF(OR(G154="",J154=""),"",G154-J154)</f>
        <v/>
      </c>
    </row>
    <row r="155">
      <c r="H155" s="10" t="n"/>
      <c r="I155" s="9">
        <f>IF(H155="","",IF(E155="USD",H155*Parametros!$B$2,H155))</f>
        <v/>
      </c>
      <c r="J155" s="9">
        <f>IF(A155="","",IFERROR(VLOOKUP(A155,Partidas!$A$2:$E$201,4,FALSE),""))</f>
        <v/>
      </c>
      <c r="K155" s="9">
        <f>IF(A155="","",IFERROR(VLOOKUP(A155,Partidas!$A$2:$E$201,5,FALSE),""))</f>
        <v/>
      </c>
      <c r="L155" s="9">
        <f>IF(OR(I155="",G155=""),"",G155*I155)</f>
        <v/>
      </c>
      <c r="M155" s="9">
        <f>IF(OR(J155="",K155=""),"",J155*K155)</f>
        <v/>
      </c>
      <c r="N155" s="11">
        <f>IF(OR(I155="",K155="",K155=0),"",(I155-K155)/K155)</f>
        <v/>
      </c>
      <c r="O155" s="9">
        <f>IF(OR(G155="",J155=""),"",G155-J155)</f>
        <v/>
      </c>
    </row>
    <row r="156">
      <c r="H156" s="10" t="n"/>
      <c r="I156" s="9">
        <f>IF(H156="","",IF(E156="USD",H156*Parametros!$B$2,H156))</f>
        <v/>
      </c>
      <c r="J156" s="9">
        <f>IF(A156="","",IFERROR(VLOOKUP(A156,Partidas!$A$2:$E$201,4,FALSE),""))</f>
        <v/>
      </c>
      <c r="K156" s="9">
        <f>IF(A156="","",IFERROR(VLOOKUP(A156,Partidas!$A$2:$E$201,5,FALSE),""))</f>
        <v/>
      </c>
      <c r="L156" s="9">
        <f>IF(OR(I156="",G156=""),"",G156*I156)</f>
        <v/>
      </c>
      <c r="M156" s="9">
        <f>IF(OR(J156="",K156=""),"",J156*K156)</f>
        <v/>
      </c>
      <c r="N156" s="11">
        <f>IF(OR(I156="",K156="",K156=0),"",(I156-K156)/K156)</f>
        <v/>
      </c>
      <c r="O156" s="9">
        <f>IF(OR(G156="",J156=""),"",G156-J156)</f>
        <v/>
      </c>
    </row>
    <row r="157">
      <c r="H157" s="10" t="n"/>
      <c r="I157" s="9">
        <f>IF(H157="","",IF(E157="USD",H157*Parametros!$B$2,H157))</f>
        <v/>
      </c>
      <c r="J157" s="9">
        <f>IF(A157="","",IFERROR(VLOOKUP(A157,Partidas!$A$2:$E$201,4,FALSE),""))</f>
        <v/>
      </c>
      <c r="K157" s="9">
        <f>IF(A157="","",IFERROR(VLOOKUP(A157,Partidas!$A$2:$E$201,5,FALSE),""))</f>
        <v/>
      </c>
      <c r="L157" s="9">
        <f>IF(OR(I157="",G157=""),"",G157*I157)</f>
        <v/>
      </c>
      <c r="M157" s="9">
        <f>IF(OR(J157="",K157=""),"",J157*K157)</f>
        <v/>
      </c>
      <c r="N157" s="11">
        <f>IF(OR(I157="",K157="",K157=0),"",(I157-K157)/K157)</f>
        <v/>
      </c>
      <c r="O157" s="9">
        <f>IF(OR(G157="",J157=""),"",G157-J157)</f>
        <v/>
      </c>
    </row>
    <row r="158">
      <c r="H158" s="10" t="n"/>
      <c r="I158" s="9">
        <f>IF(H158="","",IF(E158="USD",H158*Parametros!$B$2,H158))</f>
        <v/>
      </c>
      <c r="J158" s="9">
        <f>IF(A158="","",IFERROR(VLOOKUP(A158,Partidas!$A$2:$E$201,4,FALSE),""))</f>
        <v/>
      </c>
      <c r="K158" s="9">
        <f>IF(A158="","",IFERROR(VLOOKUP(A158,Partidas!$A$2:$E$201,5,FALSE),""))</f>
        <v/>
      </c>
      <c r="L158" s="9">
        <f>IF(OR(I158="",G158=""),"",G158*I158)</f>
        <v/>
      </c>
      <c r="M158" s="9">
        <f>IF(OR(J158="",K158=""),"",J158*K158)</f>
        <v/>
      </c>
      <c r="N158" s="11">
        <f>IF(OR(I158="",K158="",K158=0),"",(I158-K158)/K158)</f>
        <v/>
      </c>
      <c r="O158" s="9">
        <f>IF(OR(G158="",J158=""),"",G158-J158)</f>
        <v/>
      </c>
    </row>
    <row r="159">
      <c r="H159" s="10" t="n"/>
      <c r="I159" s="9">
        <f>IF(H159="","",IF(E159="USD",H159*Parametros!$B$2,H159))</f>
        <v/>
      </c>
      <c r="J159" s="9">
        <f>IF(A159="","",IFERROR(VLOOKUP(A159,Partidas!$A$2:$E$201,4,FALSE),""))</f>
        <v/>
      </c>
      <c r="K159" s="9">
        <f>IF(A159="","",IFERROR(VLOOKUP(A159,Partidas!$A$2:$E$201,5,FALSE),""))</f>
        <v/>
      </c>
      <c r="L159" s="9">
        <f>IF(OR(I159="",G159=""),"",G159*I159)</f>
        <v/>
      </c>
      <c r="M159" s="9">
        <f>IF(OR(J159="",K159=""),"",J159*K159)</f>
        <v/>
      </c>
      <c r="N159" s="11">
        <f>IF(OR(I159="",K159="",K159=0),"",(I159-K159)/K159)</f>
        <v/>
      </c>
      <c r="O159" s="9">
        <f>IF(OR(G159="",J159=""),"",G159-J159)</f>
        <v/>
      </c>
    </row>
    <row r="160">
      <c r="H160" s="10" t="n"/>
      <c r="I160" s="9">
        <f>IF(H160="","",IF(E160="USD",H160*Parametros!$B$2,H160))</f>
        <v/>
      </c>
      <c r="J160" s="9">
        <f>IF(A160="","",IFERROR(VLOOKUP(A160,Partidas!$A$2:$E$201,4,FALSE),""))</f>
        <v/>
      </c>
      <c r="K160" s="9">
        <f>IF(A160="","",IFERROR(VLOOKUP(A160,Partidas!$A$2:$E$201,5,FALSE),""))</f>
        <v/>
      </c>
      <c r="L160" s="9">
        <f>IF(OR(I160="",G160=""),"",G160*I160)</f>
        <v/>
      </c>
      <c r="M160" s="9">
        <f>IF(OR(J160="",K160=""),"",J160*K160)</f>
        <v/>
      </c>
      <c r="N160" s="11">
        <f>IF(OR(I160="",K160="",K160=0),"",(I160-K160)/K160)</f>
        <v/>
      </c>
      <c r="O160" s="9">
        <f>IF(OR(G160="",J160=""),"",G160-J160)</f>
        <v/>
      </c>
    </row>
    <row r="161">
      <c r="H161" s="10" t="n"/>
      <c r="I161" s="9">
        <f>IF(H161="","",IF(E161="USD",H161*Parametros!$B$2,H161))</f>
        <v/>
      </c>
      <c r="J161" s="9">
        <f>IF(A161="","",IFERROR(VLOOKUP(A161,Partidas!$A$2:$E$201,4,FALSE),""))</f>
        <v/>
      </c>
      <c r="K161" s="9">
        <f>IF(A161="","",IFERROR(VLOOKUP(A161,Partidas!$A$2:$E$201,5,FALSE),""))</f>
        <v/>
      </c>
      <c r="L161" s="9">
        <f>IF(OR(I161="",G161=""),"",G161*I161)</f>
        <v/>
      </c>
      <c r="M161" s="9">
        <f>IF(OR(J161="",K161=""),"",J161*K161)</f>
        <v/>
      </c>
      <c r="N161" s="11">
        <f>IF(OR(I161="",K161="",K161=0),"",(I161-K161)/K161)</f>
        <v/>
      </c>
      <c r="O161" s="9">
        <f>IF(OR(G161="",J161=""),"",G161-J161)</f>
        <v/>
      </c>
    </row>
    <row r="162">
      <c r="H162" s="10" t="n"/>
      <c r="I162" s="9">
        <f>IF(H162="","",IF(E162="USD",H162*Parametros!$B$2,H162))</f>
        <v/>
      </c>
      <c r="J162" s="9">
        <f>IF(A162="","",IFERROR(VLOOKUP(A162,Partidas!$A$2:$E$201,4,FALSE),""))</f>
        <v/>
      </c>
      <c r="K162" s="9">
        <f>IF(A162="","",IFERROR(VLOOKUP(A162,Partidas!$A$2:$E$201,5,FALSE),""))</f>
        <v/>
      </c>
      <c r="L162" s="9">
        <f>IF(OR(I162="",G162=""),"",G162*I162)</f>
        <v/>
      </c>
      <c r="M162" s="9">
        <f>IF(OR(J162="",K162=""),"",J162*K162)</f>
        <v/>
      </c>
      <c r="N162" s="11">
        <f>IF(OR(I162="",K162="",K162=0),"",(I162-K162)/K162)</f>
        <v/>
      </c>
      <c r="O162" s="9">
        <f>IF(OR(G162="",J162=""),"",G162-J162)</f>
        <v/>
      </c>
    </row>
    <row r="163">
      <c r="H163" s="10" t="n"/>
      <c r="I163" s="9">
        <f>IF(H163="","",IF(E163="USD",H163*Parametros!$B$2,H163))</f>
        <v/>
      </c>
      <c r="J163" s="9">
        <f>IF(A163="","",IFERROR(VLOOKUP(A163,Partidas!$A$2:$E$201,4,FALSE),""))</f>
        <v/>
      </c>
      <c r="K163" s="9">
        <f>IF(A163="","",IFERROR(VLOOKUP(A163,Partidas!$A$2:$E$201,5,FALSE),""))</f>
        <v/>
      </c>
      <c r="L163" s="9">
        <f>IF(OR(I163="",G163=""),"",G163*I163)</f>
        <v/>
      </c>
      <c r="M163" s="9">
        <f>IF(OR(J163="",K163=""),"",J163*K163)</f>
        <v/>
      </c>
      <c r="N163" s="11">
        <f>IF(OR(I163="",K163="",K163=0),"",(I163-K163)/K163)</f>
        <v/>
      </c>
      <c r="O163" s="9">
        <f>IF(OR(G163="",J163=""),"",G163-J163)</f>
        <v/>
      </c>
    </row>
    <row r="164">
      <c r="H164" s="10" t="n"/>
      <c r="I164" s="9">
        <f>IF(H164="","",IF(E164="USD",H164*Parametros!$B$2,H164))</f>
        <v/>
      </c>
      <c r="J164" s="9">
        <f>IF(A164="","",IFERROR(VLOOKUP(A164,Partidas!$A$2:$E$201,4,FALSE),""))</f>
        <v/>
      </c>
      <c r="K164" s="9">
        <f>IF(A164="","",IFERROR(VLOOKUP(A164,Partidas!$A$2:$E$201,5,FALSE),""))</f>
        <v/>
      </c>
      <c r="L164" s="9">
        <f>IF(OR(I164="",G164=""),"",G164*I164)</f>
        <v/>
      </c>
      <c r="M164" s="9">
        <f>IF(OR(J164="",K164=""),"",J164*K164)</f>
        <v/>
      </c>
      <c r="N164" s="11">
        <f>IF(OR(I164="",K164="",K164=0),"",(I164-K164)/K164)</f>
        <v/>
      </c>
      <c r="O164" s="9">
        <f>IF(OR(G164="",J164=""),"",G164-J164)</f>
        <v/>
      </c>
    </row>
    <row r="165">
      <c r="H165" s="10" t="n"/>
      <c r="I165" s="9">
        <f>IF(H165="","",IF(E165="USD",H165*Parametros!$B$2,H165))</f>
        <v/>
      </c>
      <c r="J165" s="9">
        <f>IF(A165="","",IFERROR(VLOOKUP(A165,Partidas!$A$2:$E$201,4,FALSE),""))</f>
        <v/>
      </c>
      <c r="K165" s="9">
        <f>IF(A165="","",IFERROR(VLOOKUP(A165,Partidas!$A$2:$E$201,5,FALSE),""))</f>
        <v/>
      </c>
      <c r="L165" s="9">
        <f>IF(OR(I165="",G165=""),"",G165*I165)</f>
        <v/>
      </c>
      <c r="M165" s="9">
        <f>IF(OR(J165="",K165=""),"",J165*K165)</f>
        <v/>
      </c>
      <c r="N165" s="11">
        <f>IF(OR(I165="",K165="",K165=0),"",(I165-K165)/K165)</f>
        <v/>
      </c>
      <c r="O165" s="9">
        <f>IF(OR(G165="",J165=""),"",G165-J165)</f>
        <v/>
      </c>
    </row>
    <row r="166">
      <c r="H166" s="10" t="n"/>
      <c r="I166" s="9">
        <f>IF(H166="","",IF(E166="USD",H166*Parametros!$B$2,H166))</f>
        <v/>
      </c>
      <c r="J166" s="9">
        <f>IF(A166="","",IFERROR(VLOOKUP(A166,Partidas!$A$2:$E$201,4,FALSE),""))</f>
        <v/>
      </c>
      <c r="K166" s="9">
        <f>IF(A166="","",IFERROR(VLOOKUP(A166,Partidas!$A$2:$E$201,5,FALSE),""))</f>
        <v/>
      </c>
      <c r="L166" s="9">
        <f>IF(OR(I166="",G166=""),"",G166*I166)</f>
        <v/>
      </c>
      <c r="M166" s="9">
        <f>IF(OR(J166="",K166=""),"",J166*K166)</f>
        <v/>
      </c>
      <c r="N166" s="11">
        <f>IF(OR(I166="",K166="",K166=0),"",(I166-K166)/K166)</f>
        <v/>
      </c>
      <c r="O166" s="9">
        <f>IF(OR(G166="",J166=""),"",G166-J166)</f>
        <v/>
      </c>
    </row>
    <row r="167">
      <c r="H167" s="10" t="n"/>
      <c r="I167" s="9">
        <f>IF(H167="","",IF(E167="USD",H167*Parametros!$B$2,H167))</f>
        <v/>
      </c>
      <c r="J167" s="9">
        <f>IF(A167="","",IFERROR(VLOOKUP(A167,Partidas!$A$2:$E$201,4,FALSE),""))</f>
        <v/>
      </c>
      <c r="K167" s="9">
        <f>IF(A167="","",IFERROR(VLOOKUP(A167,Partidas!$A$2:$E$201,5,FALSE),""))</f>
        <v/>
      </c>
      <c r="L167" s="9">
        <f>IF(OR(I167="",G167=""),"",G167*I167)</f>
        <v/>
      </c>
      <c r="M167" s="9">
        <f>IF(OR(J167="",K167=""),"",J167*K167)</f>
        <v/>
      </c>
      <c r="N167" s="11">
        <f>IF(OR(I167="",K167="",K167=0),"",(I167-K167)/K167)</f>
        <v/>
      </c>
      <c r="O167" s="9">
        <f>IF(OR(G167="",J167=""),"",G167-J167)</f>
        <v/>
      </c>
    </row>
    <row r="168">
      <c r="H168" s="10" t="n"/>
      <c r="I168" s="9">
        <f>IF(H168="","",IF(E168="USD",H168*Parametros!$B$2,H168))</f>
        <v/>
      </c>
      <c r="J168" s="9">
        <f>IF(A168="","",IFERROR(VLOOKUP(A168,Partidas!$A$2:$E$201,4,FALSE),""))</f>
        <v/>
      </c>
      <c r="K168" s="9">
        <f>IF(A168="","",IFERROR(VLOOKUP(A168,Partidas!$A$2:$E$201,5,FALSE),""))</f>
        <v/>
      </c>
      <c r="L168" s="9">
        <f>IF(OR(I168="",G168=""),"",G168*I168)</f>
        <v/>
      </c>
      <c r="M168" s="9">
        <f>IF(OR(J168="",K168=""),"",J168*K168)</f>
        <v/>
      </c>
      <c r="N168" s="11">
        <f>IF(OR(I168="",K168="",K168=0),"",(I168-K168)/K168)</f>
        <v/>
      </c>
      <c r="O168" s="9">
        <f>IF(OR(G168="",J168=""),"",G168-J168)</f>
        <v/>
      </c>
    </row>
    <row r="169">
      <c r="H169" s="10" t="n"/>
      <c r="I169" s="9">
        <f>IF(H169="","",IF(E169="USD",H169*Parametros!$B$2,H169))</f>
        <v/>
      </c>
      <c r="J169" s="9">
        <f>IF(A169="","",IFERROR(VLOOKUP(A169,Partidas!$A$2:$E$201,4,FALSE),""))</f>
        <v/>
      </c>
      <c r="K169" s="9">
        <f>IF(A169="","",IFERROR(VLOOKUP(A169,Partidas!$A$2:$E$201,5,FALSE),""))</f>
        <v/>
      </c>
      <c r="L169" s="9">
        <f>IF(OR(I169="",G169=""),"",G169*I169)</f>
        <v/>
      </c>
      <c r="M169" s="9">
        <f>IF(OR(J169="",K169=""),"",J169*K169)</f>
        <v/>
      </c>
      <c r="N169" s="11">
        <f>IF(OR(I169="",K169="",K169=0),"",(I169-K169)/K169)</f>
        <v/>
      </c>
      <c r="O169" s="9">
        <f>IF(OR(G169="",J169=""),"",G169-J169)</f>
        <v/>
      </c>
    </row>
    <row r="170">
      <c r="H170" s="10" t="n"/>
      <c r="I170" s="9">
        <f>IF(H170="","",IF(E170="USD",H170*Parametros!$B$2,H170))</f>
        <v/>
      </c>
      <c r="J170" s="9">
        <f>IF(A170="","",IFERROR(VLOOKUP(A170,Partidas!$A$2:$E$201,4,FALSE),""))</f>
        <v/>
      </c>
      <c r="K170" s="9">
        <f>IF(A170="","",IFERROR(VLOOKUP(A170,Partidas!$A$2:$E$201,5,FALSE),""))</f>
        <v/>
      </c>
      <c r="L170" s="9">
        <f>IF(OR(I170="",G170=""),"",G170*I170)</f>
        <v/>
      </c>
      <c r="M170" s="9">
        <f>IF(OR(J170="",K170=""),"",J170*K170)</f>
        <v/>
      </c>
      <c r="N170" s="11">
        <f>IF(OR(I170="",K170="",K170=0),"",(I170-K170)/K170)</f>
        <v/>
      </c>
      <c r="O170" s="9">
        <f>IF(OR(G170="",J170=""),"",G170-J170)</f>
        <v/>
      </c>
    </row>
    <row r="171">
      <c r="H171" s="10" t="n"/>
      <c r="I171" s="9">
        <f>IF(H171="","",IF(E171="USD",H171*Parametros!$B$2,H171))</f>
        <v/>
      </c>
      <c r="J171" s="9">
        <f>IF(A171="","",IFERROR(VLOOKUP(A171,Partidas!$A$2:$E$201,4,FALSE),""))</f>
        <v/>
      </c>
      <c r="K171" s="9">
        <f>IF(A171="","",IFERROR(VLOOKUP(A171,Partidas!$A$2:$E$201,5,FALSE),""))</f>
        <v/>
      </c>
      <c r="L171" s="9">
        <f>IF(OR(I171="",G171=""),"",G171*I171)</f>
        <v/>
      </c>
      <c r="M171" s="9">
        <f>IF(OR(J171="",K171=""),"",J171*K171)</f>
        <v/>
      </c>
      <c r="N171" s="11">
        <f>IF(OR(I171="",K171="",K171=0),"",(I171-K171)/K171)</f>
        <v/>
      </c>
      <c r="O171" s="9">
        <f>IF(OR(G171="",J171=""),"",G171-J171)</f>
        <v/>
      </c>
    </row>
    <row r="172">
      <c r="H172" s="10" t="n"/>
      <c r="I172" s="9">
        <f>IF(H172="","",IF(E172="USD",H172*Parametros!$B$2,H172))</f>
        <v/>
      </c>
      <c r="J172" s="9">
        <f>IF(A172="","",IFERROR(VLOOKUP(A172,Partidas!$A$2:$E$201,4,FALSE),""))</f>
        <v/>
      </c>
      <c r="K172" s="9">
        <f>IF(A172="","",IFERROR(VLOOKUP(A172,Partidas!$A$2:$E$201,5,FALSE),""))</f>
        <v/>
      </c>
      <c r="L172" s="9">
        <f>IF(OR(I172="",G172=""),"",G172*I172)</f>
        <v/>
      </c>
      <c r="M172" s="9">
        <f>IF(OR(J172="",K172=""),"",J172*K172)</f>
        <v/>
      </c>
      <c r="N172" s="11">
        <f>IF(OR(I172="",K172="",K172=0),"",(I172-K172)/K172)</f>
        <v/>
      </c>
      <c r="O172" s="9">
        <f>IF(OR(G172="",J172=""),"",G172-J172)</f>
        <v/>
      </c>
    </row>
    <row r="173">
      <c r="H173" s="10" t="n"/>
      <c r="I173" s="9">
        <f>IF(H173="","",IF(E173="USD",H173*Parametros!$B$2,H173))</f>
        <v/>
      </c>
      <c r="J173" s="9">
        <f>IF(A173="","",IFERROR(VLOOKUP(A173,Partidas!$A$2:$E$201,4,FALSE),""))</f>
        <v/>
      </c>
      <c r="K173" s="9">
        <f>IF(A173="","",IFERROR(VLOOKUP(A173,Partidas!$A$2:$E$201,5,FALSE),""))</f>
        <v/>
      </c>
      <c r="L173" s="9">
        <f>IF(OR(I173="",G173=""),"",G173*I173)</f>
        <v/>
      </c>
      <c r="M173" s="9">
        <f>IF(OR(J173="",K173=""),"",J173*K173)</f>
        <v/>
      </c>
      <c r="N173" s="11">
        <f>IF(OR(I173="",K173="",K173=0),"",(I173-K173)/K173)</f>
        <v/>
      </c>
      <c r="O173" s="9">
        <f>IF(OR(G173="",J173=""),"",G173-J173)</f>
        <v/>
      </c>
    </row>
    <row r="174">
      <c r="H174" s="10" t="n"/>
      <c r="I174" s="9">
        <f>IF(H174="","",IF(E174="USD",H174*Parametros!$B$2,H174))</f>
        <v/>
      </c>
      <c r="J174" s="9">
        <f>IF(A174="","",IFERROR(VLOOKUP(A174,Partidas!$A$2:$E$201,4,FALSE),""))</f>
        <v/>
      </c>
      <c r="K174" s="9">
        <f>IF(A174="","",IFERROR(VLOOKUP(A174,Partidas!$A$2:$E$201,5,FALSE),""))</f>
        <v/>
      </c>
      <c r="L174" s="9">
        <f>IF(OR(I174="",G174=""),"",G174*I174)</f>
        <v/>
      </c>
      <c r="M174" s="9">
        <f>IF(OR(J174="",K174=""),"",J174*K174)</f>
        <v/>
      </c>
      <c r="N174" s="11">
        <f>IF(OR(I174="",K174="",K174=0),"",(I174-K174)/K174)</f>
        <v/>
      </c>
      <c r="O174" s="9">
        <f>IF(OR(G174="",J174=""),"",G174-J174)</f>
        <v/>
      </c>
    </row>
    <row r="175">
      <c r="H175" s="10" t="n"/>
      <c r="I175" s="9">
        <f>IF(H175="","",IF(E175="USD",H175*Parametros!$B$2,H175))</f>
        <v/>
      </c>
      <c r="J175" s="9">
        <f>IF(A175="","",IFERROR(VLOOKUP(A175,Partidas!$A$2:$E$201,4,FALSE),""))</f>
        <v/>
      </c>
      <c r="K175" s="9">
        <f>IF(A175="","",IFERROR(VLOOKUP(A175,Partidas!$A$2:$E$201,5,FALSE),""))</f>
        <v/>
      </c>
      <c r="L175" s="9">
        <f>IF(OR(I175="",G175=""),"",G175*I175)</f>
        <v/>
      </c>
      <c r="M175" s="9">
        <f>IF(OR(J175="",K175=""),"",J175*K175)</f>
        <v/>
      </c>
      <c r="N175" s="11">
        <f>IF(OR(I175="",K175="",K175=0),"",(I175-K175)/K175)</f>
        <v/>
      </c>
      <c r="O175" s="9">
        <f>IF(OR(G175="",J175=""),"",G175-J175)</f>
        <v/>
      </c>
    </row>
    <row r="176">
      <c r="H176" s="10" t="n"/>
      <c r="I176" s="9">
        <f>IF(H176="","",IF(E176="USD",H176*Parametros!$B$2,H176))</f>
        <v/>
      </c>
      <c r="J176" s="9">
        <f>IF(A176="","",IFERROR(VLOOKUP(A176,Partidas!$A$2:$E$201,4,FALSE),""))</f>
        <v/>
      </c>
      <c r="K176" s="9">
        <f>IF(A176="","",IFERROR(VLOOKUP(A176,Partidas!$A$2:$E$201,5,FALSE),""))</f>
        <v/>
      </c>
      <c r="L176" s="9">
        <f>IF(OR(I176="",G176=""),"",G176*I176)</f>
        <v/>
      </c>
      <c r="M176" s="9">
        <f>IF(OR(J176="",K176=""),"",J176*K176)</f>
        <v/>
      </c>
      <c r="N176" s="11">
        <f>IF(OR(I176="",K176="",K176=0),"",(I176-K176)/K176)</f>
        <v/>
      </c>
      <c r="O176" s="9">
        <f>IF(OR(G176="",J176=""),"",G176-J176)</f>
        <v/>
      </c>
    </row>
    <row r="177">
      <c r="H177" s="10" t="n"/>
      <c r="I177" s="9">
        <f>IF(H177="","",IF(E177="USD",H177*Parametros!$B$2,H177))</f>
        <v/>
      </c>
      <c r="J177" s="9">
        <f>IF(A177="","",IFERROR(VLOOKUP(A177,Partidas!$A$2:$E$201,4,FALSE),""))</f>
        <v/>
      </c>
      <c r="K177" s="9">
        <f>IF(A177="","",IFERROR(VLOOKUP(A177,Partidas!$A$2:$E$201,5,FALSE),""))</f>
        <v/>
      </c>
      <c r="L177" s="9">
        <f>IF(OR(I177="",G177=""),"",G177*I177)</f>
        <v/>
      </c>
      <c r="M177" s="9">
        <f>IF(OR(J177="",K177=""),"",J177*K177)</f>
        <v/>
      </c>
      <c r="N177" s="11">
        <f>IF(OR(I177="",K177="",K177=0),"",(I177-K177)/K177)</f>
        <v/>
      </c>
      <c r="O177" s="9">
        <f>IF(OR(G177="",J177=""),"",G177-J177)</f>
        <v/>
      </c>
    </row>
    <row r="178">
      <c r="H178" s="10" t="n"/>
      <c r="I178" s="9">
        <f>IF(H178="","",IF(E178="USD",H178*Parametros!$B$2,H178))</f>
        <v/>
      </c>
      <c r="J178" s="9">
        <f>IF(A178="","",IFERROR(VLOOKUP(A178,Partidas!$A$2:$E$201,4,FALSE),""))</f>
        <v/>
      </c>
      <c r="K178" s="9">
        <f>IF(A178="","",IFERROR(VLOOKUP(A178,Partidas!$A$2:$E$201,5,FALSE),""))</f>
        <v/>
      </c>
      <c r="L178" s="9">
        <f>IF(OR(I178="",G178=""),"",G178*I178)</f>
        <v/>
      </c>
      <c r="M178" s="9">
        <f>IF(OR(J178="",K178=""),"",J178*K178)</f>
        <v/>
      </c>
      <c r="N178" s="11">
        <f>IF(OR(I178="",K178="",K178=0),"",(I178-K178)/K178)</f>
        <v/>
      </c>
      <c r="O178" s="9">
        <f>IF(OR(G178="",J178=""),"",G178-J178)</f>
        <v/>
      </c>
    </row>
    <row r="179">
      <c r="H179" s="10" t="n"/>
      <c r="I179" s="9">
        <f>IF(H179="","",IF(E179="USD",H179*Parametros!$B$2,H179))</f>
        <v/>
      </c>
      <c r="J179" s="9">
        <f>IF(A179="","",IFERROR(VLOOKUP(A179,Partidas!$A$2:$E$201,4,FALSE),""))</f>
        <v/>
      </c>
      <c r="K179" s="9">
        <f>IF(A179="","",IFERROR(VLOOKUP(A179,Partidas!$A$2:$E$201,5,FALSE),""))</f>
        <v/>
      </c>
      <c r="L179" s="9">
        <f>IF(OR(I179="",G179=""),"",G179*I179)</f>
        <v/>
      </c>
      <c r="M179" s="9">
        <f>IF(OR(J179="",K179=""),"",J179*K179)</f>
        <v/>
      </c>
      <c r="N179" s="11">
        <f>IF(OR(I179="",K179="",K179=0),"",(I179-K179)/K179)</f>
        <v/>
      </c>
      <c r="O179" s="9">
        <f>IF(OR(G179="",J179=""),"",G179-J179)</f>
        <v/>
      </c>
    </row>
    <row r="180">
      <c r="H180" s="10" t="n"/>
      <c r="I180" s="9">
        <f>IF(H180="","",IF(E180="USD",H180*Parametros!$B$2,H180))</f>
        <v/>
      </c>
      <c r="J180" s="9">
        <f>IF(A180="","",IFERROR(VLOOKUP(A180,Partidas!$A$2:$E$201,4,FALSE),""))</f>
        <v/>
      </c>
      <c r="K180" s="9">
        <f>IF(A180="","",IFERROR(VLOOKUP(A180,Partidas!$A$2:$E$201,5,FALSE),""))</f>
        <v/>
      </c>
      <c r="L180" s="9">
        <f>IF(OR(I180="",G180=""),"",G180*I180)</f>
        <v/>
      </c>
      <c r="M180" s="9">
        <f>IF(OR(J180="",K180=""),"",J180*K180)</f>
        <v/>
      </c>
      <c r="N180" s="11">
        <f>IF(OR(I180="",K180="",K180=0),"",(I180-K180)/K180)</f>
        <v/>
      </c>
      <c r="O180" s="9">
        <f>IF(OR(G180="",J180=""),"",G180-J180)</f>
        <v/>
      </c>
    </row>
    <row r="181">
      <c r="H181" s="10" t="n"/>
      <c r="I181" s="9">
        <f>IF(H181="","",IF(E181="USD",H181*Parametros!$B$2,H181))</f>
        <v/>
      </c>
      <c r="J181" s="9">
        <f>IF(A181="","",IFERROR(VLOOKUP(A181,Partidas!$A$2:$E$201,4,FALSE),""))</f>
        <v/>
      </c>
      <c r="K181" s="9">
        <f>IF(A181="","",IFERROR(VLOOKUP(A181,Partidas!$A$2:$E$201,5,FALSE),""))</f>
        <v/>
      </c>
      <c r="L181" s="9">
        <f>IF(OR(I181="",G181=""),"",G181*I181)</f>
        <v/>
      </c>
      <c r="M181" s="9">
        <f>IF(OR(J181="",K181=""),"",J181*K181)</f>
        <v/>
      </c>
      <c r="N181" s="11">
        <f>IF(OR(I181="",K181="",K181=0),"",(I181-K181)/K181)</f>
        <v/>
      </c>
      <c r="O181" s="9">
        <f>IF(OR(G181="",J181=""),"",G181-J181)</f>
        <v/>
      </c>
    </row>
    <row r="182">
      <c r="H182" s="10" t="n"/>
      <c r="I182" s="9">
        <f>IF(H182="","",IF(E182="USD",H182*Parametros!$B$2,H182))</f>
        <v/>
      </c>
      <c r="J182" s="9">
        <f>IF(A182="","",IFERROR(VLOOKUP(A182,Partidas!$A$2:$E$201,4,FALSE),""))</f>
        <v/>
      </c>
      <c r="K182" s="9">
        <f>IF(A182="","",IFERROR(VLOOKUP(A182,Partidas!$A$2:$E$201,5,FALSE),""))</f>
        <v/>
      </c>
      <c r="L182" s="9">
        <f>IF(OR(I182="",G182=""),"",G182*I182)</f>
        <v/>
      </c>
      <c r="M182" s="9">
        <f>IF(OR(J182="",K182=""),"",J182*K182)</f>
        <v/>
      </c>
      <c r="N182" s="11">
        <f>IF(OR(I182="",K182="",K182=0),"",(I182-K182)/K182)</f>
        <v/>
      </c>
      <c r="O182" s="9">
        <f>IF(OR(G182="",J182=""),"",G182-J182)</f>
        <v/>
      </c>
    </row>
    <row r="183">
      <c r="H183" s="10" t="n"/>
      <c r="I183" s="9">
        <f>IF(H183="","",IF(E183="USD",H183*Parametros!$B$2,H183))</f>
        <v/>
      </c>
      <c r="J183" s="9">
        <f>IF(A183="","",IFERROR(VLOOKUP(A183,Partidas!$A$2:$E$201,4,FALSE),""))</f>
        <v/>
      </c>
      <c r="K183" s="9">
        <f>IF(A183="","",IFERROR(VLOOKUP(A183,Partidas!$A$2:$E$201,5,FALSE),""))</f>
        <v/>
      </c>
      <c r="L183" s="9">
        <f>IF(OR(I183="",G183=""),"",G183*I183)</f>
        <v/>
      </c>
      <c r="M183" s="9">
        <f>IF(OR(J183="",K183=""),"",J183*K183)</f>
        <v/>
      </c>
      <c r="N183" s="11">
        <f>IF(OR(I183="",K183="",K183=0),"",(I183-K183)/K183)</f>
        <v/>
      </c>
      <c r="O183" s="9">
        <f>IF(OR(G183="",J183=""),"",G183-J183)</f>
        <v/>
      </c>
    </row>
    <row r="184">
      <c r="H184" s="10" t="n"/>
      <c r="I184" s="9">
        <f>IF(H184="","",IF(E184="USD",H184*Parametros!$B$2,H184))</f>
        <v/>
      </c>
      <c r="J184" s="9">
        <f>IF(A184="","",IFERROR(VLOOKUP(A184,Partidas!$A$2:$E$201,4,FALSE),""))</f>
        <v/>
      </c>
      <c r="K184" s="9">
        <f>IF(A184="","",IFERROR(VLOOKUP(A184,Partidas!$A$2:$E$201,5,FALSE),""))</f>
        <v/>
      </c>
      <c r="L184" s="9">
        <f>IF(OR(I184="",G184=""),"",G184*I184)</f>
        <v/>
      </c>
      <c r="M184" s="9">
        <f>IF(OR(J184="",K184=""),"",J184*K184)</f>
        <v/>
      </c>
      <c r="N184" s="11">
        <f>IF(OR(I184="",K184="",K184=0),"",(I184-K184)/K184)</f>
        <v/>
      </c>
      <c r="O184" s="9">
        <f>IF(OR(G184="",J184=""),"",G184-J184)</f>
        <v/>
      </c>
    </row>
    <row r="185">
      <c r="H185" s="10" t="n"/>
      <c r="I185" s="9">
        <f>IF(H185="","",IF(E185="USD",H185*Parametros!$B$2,H185))</f>
        <v/>
      </c>
      <c r="J185" s="9">
        <f>IF(A185="","",IFERROR(VLOOKUP(A185,Partidas!$A$2:$E$201,4,FALSE),""))</f>
        <v/>
      </c>
      <c r="K185" s="9">
        <f>IF(A185="","",IFERROR(VLOOKUP(A185,Partidas!$A$2:$E$201,5,FALSE),""))</f>
        <v/>
      </c>
      <c r="L185" s="9">
        <f>IF(OR(I185="",G185=""),"",G185*I185)</f>
        <v/>
      </c>
      <c r="M185" s="9">
        <f>IF(OR(J185="",K185=""),"",J185*K185)</f>
        <v/>
      </c>
      <c r="N185" s="11">
        <f>IF(OR(I185="",K185="",K185=0),"",(I185-K185)/K185)</f>
        <v/>
      </c>
      <c r="O185" s="9">
        <f>IF(OR(G185="",J185=""),"",G185-J185)</f>
        <v/>
      </c>
    </row>
    <row r="186">
      <c r="H186" s="10" t="n"/>
      <c r="I186" s="9">
        <f>IF(H186="","",IF(E186="USD",H186*Parametros!$B$2,H186))</f>
        <v/>
      </c>
      <c r="J186" s="9">
        <f>IF(A186="","",IFERROR(VLOOKUP(A186,Partidas!$A$2:$E$201,4,FALSE),""))</f>
        <v/>
      </c>
      <c r="K186" s="9">
        <f>IF(A186="","",IFERROR(VLOOKUP(A186,Partidas!$A$2:$E$201,5,FALSE),""))</f>
        <v/>
      </c>
      <c r="L186" s="9">
        <f>IF(OR(I186="",G186=""),"",G186*I186)</f>
        <v/>
      </c>
      <c r="M186" s="9">
        <f>IF(OR(J186="",K186=""),"",J186*K186)</f>
        <v/>
      </c>
      <c r="N186" s="11">
        <f>IF(OR(I186="",K186="",K186=0),"",(I186-K186)/K186)</f>
        <v/>
      </c>
      <c r="O186" s="9">
        <f>IF(OR(G186="",J186=""),"",G186-J186)</f>
        <v/>
      </c>
    </row>
    <row r="187">
      <c r="H187" s="10" t="n"/>
      <c r="I187" s="9">
        <f>IF(H187="","",IF(E187="USD",H187*Parametros!$B$2,H187))</f>
        <v/>
      </c>
      <c r="J187" s="9">
        <f>IF(A187="","",IFERROR(VLOOKUP(A187,Partidas!$A$2:$E$201,4,FALSE),""))</f>
        <v/>
      </c>
      <c r="K187" s="9">
        <f>IF(A187="","",IFERROR(VLOOKUP(A187,Partidas!$A$2:$E$201,5,FALSE),""))</f>
        <v/>
      </c>
      <c r="L187" s="9">
        <f>IF(OR(I187="",G187=""),"",G187*I187)</f>
        <v/>
      </c>
      <c r="M187" s="9">
        <f>IF(OR(J187="",K187=""),"",J187*K187)</f>
        <v/>
      </c>
      <c r="N187" s="11">
        <f>IF(OR(I187="",K187="",K187=0),"",(I187-K187)/K187)</f>
        <v/>
      </c>
      <c r="O187" s="9">
        <f>IF(OR(G187="",J187=""),"",G187-J187)</f>
        <v/>
      </c>
    </row>
    <row r="188">
      <c r="H188" s="10" t="n"/>
      <c r="I188" s="9">
        <f>IF(H188="","",IF(E188="USD",H188*Parametros!$B$2,H188))</f>
        <v/>
      </c>
      <c r="J188" s="9">
        <f>IF(A188="","",IFERROR(VLOOKUP(A188,Partidas!$A$2:$E$201,4,FALSE),""))</f>
        <v/>
      </c>
      <c r="K188" s="9">
        <f>IF(A188="","",IFERROR(VLOOKUP(A188,Partidas!$A$2:$E$201,5,FALSE),""))</f>
        <v/>
      </c>
      <c r="L188" s="9">
        <f>IF(OR(I188="",G188=""),"",G188*I188)</f>
        <v/>
      </c>
      <c r="M188" s="9">
        <f>IF(OR(J188="",K188=""),"",J188*K188)</f>
        <v/>
      </c>
      <c r="N188" s="11">
        <f>IF(OR(I188="",K188="",K188=0),"",(I188-K188)/K188)</f>
        <v/>
      </c>
      <c r="O188" s="9">
        <f>IF(OR(G188="",J188=""),"",G188-J188)</f>
        <v/>
      </c>
    </row>
    <row r="189">
      <c r="H189" s="10" t="n"/>
      <c r="I189" s="9">
        <f>IF(H189="","",IF(E189="USD",H189*Parametros!$B$2,H189))</f>
        <v/>
      </c>
      <c r="J189" s="9">
        <f>IF(A189="","",IFERROR(VLOOKUP(A189,Partidas!$A$2:$E$201,4,FALSE),""))</f>
        <v/>
      </c>
      <c r="K189" s="9">
        <f>IF(A189="","",IFERROR(VLOOKUP(A189,Partidas!$A$2:$E$201,5,FALSE),""))</f>
        <v/>
      </c>
      <c r="L189" s="9">
        <f>IF(OR(I189="",G189=""),"",G189*I189)</f>
        <v/>
      </c>
      <c r="M189" s="9">
        <f>IF(OR(J189="",K189=""),"",J189*K189)</f>
        <v/>
      </c>
      <c r="N189" s="11">
        <f>IF(OR(I189="",K189="",K189=0),"",(I189-K189)/K189)</f>
        <v/>
      </c>
      <c r="O189" s="9">
        <f>IF(OR(G189="",J189=""),"",G189-J189)</f>
        <v/>
      </c>
    </row>
    <row r="190">
      <c r="H190" s="10" t="n"/>
      <c r="I190" s="9">
        <f>IF(H190="","",IF(E190="USD",H190*Parametros!$B$2,H190))</f>
        <v/>
      </c>
      <c r="J190" s="9">
        <f>IF(A190="","",IFERROR(VLOOKUP(A190,Partidas!$A$2:$E$201,4,FALSE),""))</f>
        <v/>
      </c>
      <c r="K190" s="9">
        <f>IF(A190="","",IFERROR(VLOOKUP(A190,Partidas!$A$2:$E$201,5,FALSE),""))</f>
        <v/>
      </c>
      <c r="L190" s="9">
        <f>IF(OR(I190="",G190=""),"",G190*I190)</f>
        <v/>
      </c>
      <c r="M190" s="9">
        <f>IF(OR(J190="",K190=""),"",J190*K190)</f>
        <v/>
      </c>
      <c r="N190" s="11">
        <f>IF(OR(I190="",K190="",K190=0),"",(I190-K190)/K190)</f>
        <v/>
      </c>
      <c r="O190" s="9">
        <f>IF(OR(G190="",J190=""),"",G190-J190)</f>
        <v/>
      </c>
    </row>
    <row r="191">
      <c r="H191" s="10" t="n"/>
      <c r="I191" s="9">
        <f>IF(H191="","",IF(E191="USD",H191*Parametros!$B$2,H191))</f>
        <v/>
      </c>
      <c r="J191" s="9">
        <f>IF(A191="","",IFERROR(VLOOKUP(A191,Partidas!$A$2:$E$201,4,FALSE),""))</f>
        <v/>
      </c>
      <c r="K191" s="9">
        <f>IF(A191="","",IFERROR(VLOOKUP(A191,Partidas!$A$2:$E$201,5,FALSE),""))</f>
        <v/>
      </c>
      <c r="L191" s="9">
        <f>IF(OR(I191="",G191=""),"",G191*I191)</f>
        <v/>
      </c>
      <c r="M191" s="9">
        <f>IF(OR(J191="",K191=""),"",J191*K191)</f>
        <v/>
      </c>
      <c r="N191" s="11">
        <f>IF(OR(I191="",K191="",K191=0),"",(I191-K191)/K191)</f>
        <v/>
      </c>
      <c r="O191" s="9">
        <f>IF(OR(G191="",J191=""),"",G191-J191)</f>
        <v/>
      </c>
    </row>
    <row r="192">
      <c r="H192" s="10" t="n"/>
      <c r="I192" s="9">
        <f>IF(H192="","",IF(E192="USD",H192*Parametros!$B$2,H192))</f>
        <v/>
      </c>
      <c r="J192" s="9">
        <f>IF(A192="","",IFERROR(VLOOKUP(A192,Partidas!$A$2:$E$201,4,FALSE),""))</f>
        <v/>
      </c>
      <c r="K192" s="9">
        <f>IF(A192="","",IFERROR(VLOOKUP(A192,Partidas!$A$2:$E$201,5,FALSE),""))</f>
        <v/>
      </c>
      <c r="L192" s="9">
        <f>IF(OR(I192="",G192=""),"",G192*I192)</f>
        <v/>
      </c>
      <c r="M192" s="9">
        <f>IF(OR(J192="",K192=""),"",J192*K192)</f>
        <v/>
      </c>
      <c r="N192" s="11">
        <f>IF(OR(I192="",K192="",K192=0),"",(I192-K192)/K192)</f>
        <v/>
      </c>
      <c r="O192" s="9">
        <f>IF(OR(G192="",J192=""),"",G192-J192)</f>
        <v/>
      </c>
    </row>
    <row r="193">
      <c r="H193" s="10" t="n"/>
      <c r="I193" s="9">
        <f>IF(H193="","",IF(E193="USD",H193*Parametros!$B$2,H193))</f>
        <v/>
      </c>
      <c r="J193" s="9">
        <f>IF(A193="","",IFERROR(VLOOKUP(A193,Partidas!$A$2:$E$201,4,FALSE),""))</f>
        <v/>
      </c>
      <c r="K193" s="9">
        <f>IF(A193="","",IFERROR(VLOOKUP(A193,Partidas!$A$2:$E$201,5,FALSE),""))</f>
        <v/>
      </c>
      <c r="L193" s="9">
        <f>IF(OR(I193="",G193=""),"",G193*I193)</f>
        <v/>
      </c>
      <c r="M193" s="9">
        <f>IF(OR(J193="",K193=""),"",J193*K193)</f>
        <v/>
      </c>
      <c r="N193" s="11">
        <f>IF(OR(I193="",K193="",K193=0),"",(I193-K193)/K193)</f>
        <v/>
      </c>
      <c r="O193" s="9">
        <f>IF(OR(G193="",J193=""),"",G193-J193)</f>
        <v/>
      </c>
    </row>
    <row r="194">
      <c r="H194" s="10" t="n"/>
      <c r="I194" s="9">
        <f>IF(H194="","",IF(E194="USD",H194*Parametros!$B$2,H194))</f>
        <v/>
      </c>
      <c r="J194" s="9">
        <f>IF(A194="","",IFERROR(VLOOKUP(A194,Partidas!$A$2:$E$201,4,FALSE),""))</f>
        <v/>
      </c>
      <c r="K194" s="9">
        <f>IF(A194="","",IFERROR(VLOOKUP(A194,Partidas!$A$2:$E$201,5,FALSE),""))</f>
        <v/>
      </c>
      <c r="L194" s="9">
        <f>IF(OR(I194="",G194=""),"",G194*I194)</f>
        <v/>
      </c>
      <c r="M194" s="9">
        <f>IF(OR(J194="",K194=""),"",J194*K194)</f>
        <v/>
      </c>
      <c r="N194" s="11">
        <f>IF(OR(I194="",K194="",K194=0),"",(I194-K194)/K194)</f>
        <v/>
      </c>
      <c r="O194" s="9">
        <f>IF(OR(G194="",J194=""),"",G194-J194)</f>
        <v/>
      </c>
    </row>
    <row r="195">
      <c r="H195" s="10" t="n"/>
      <c r="I195" s="9">
        <f>IF(H195="","",IF(E195="USD",H195*Parametros!$B$2,H195))</f>
        <v/>
      </c>
      <c r="J195" s="9">
        <f>IF(A195="","",IFERROR(VLOOKUP(A195,Partidas!$A$2:$E$201,4,FALSE),""))</f>
        <v/>
      </c>
      <c r="K195" s="9">
        <f>IF(A195="","",IFERROR(VLOOKUP(A195,Partidas!$A$2:$E$201,5,FALSE),""))</f>
        <v/>
      </c>
      <c r="L195" s="9">
        <f>IF(OR(I195="",G195=""),"",G195*I195)</f>
        <v/>
      </c>
      <c r="M195" s="9">
        <f>IF(OR(J195="",K195=""),"",J195*K195)</f>
        <v/>
      </c>
      <c r="N195" s="11">
        <f>IF(OR(I195="",K195="",K195=0),"",(I195-K195)/K195)</f>
        <v/>
      </c>
      <c r="O195" s="9">
        <f>IF(OR(G195="",J195=""),"",G195-J195)</f>
        <v/>
      </c>
    </row>
    <row r="196">
      <c r="H196" s="10" t="n"/>
      <c r="I196" s="9">
        <f>IF(H196="","",IF(E196="USD",H196*Parametros!$B$2,H196))</f>
        <v/>
      </c>
      <c r="J196" s="9">
        <f>IF(A196="","",IFERROR(VLOOKUP(A196,Partidas!$A$2:$E$201,4,FALSE),""))</f>
        <v/>
      </c>
      <c r="K196" s="9">
        <f>IF(A196="","",IFERROR(VLOOKUP(A196,Partidas!$A$2:$E$201,5,FALSE),""))</f>
        <v/>
      </c>
      <c r="L196" s="9">
        <f>IF(OR(I196="",G196=""),"",G196*I196)</f>
        <v/>
      </c>
      <c r="M196" s="9">
        <f>IF(OR(J196="",K196=""),"",J196*K196)</f>
        <v/>
      </c>
      <c r="N196" s="11">
        <f>IF(OR(I196="",K196="",K196=0),"",(I196-K196)/K196)</f>
        <v/>
      </c>
      <c r="O196" s="9">
        <f>IF(OR(G196="",J196=""),"",G196-J196)</f>
        <v/>
      </c>
    </row>
    <row r="197">
      <c r="H197" s="10" t="n"/>
      <c r="I197" s="9">
        <f>IF(H197="","",IF(E197="USD",H197*Parametros!$B$2,H197))</f>
        <v/>
      </c>
      <c r="J197" s="9">
        <f>IF(A197="","",IFERROR(VLOOKUP(A197,Partidas!$A$2:$E$201,4,FALSE),""))</f>
        <v/>
      </c>
      <c r="K197" s="9">
        <f>IF(A197="","",IFERROR(VLOOKUP(A197,Partidas!$A$2:$E$201,5,FALSE),""))</f>
        <v/>
      </c>
      <c r="L197" s="9">
        <f>IF(OR(I197="",G197=""),"",G197*I197)</f>
        <v/>
      </c>
      <c r="M197" s="9">
        <f>IF(OR(J197="",K197=""),"",J197*K197)</f>
        <v/>
      </c>
      <c r="N197" s="11">
        <f>IF(OR(I197="",K197="",K197=0),"",(I197-K197)/K197)</f>
        <v/>
      </c>
      <c r="O197" s="9">
        <f>IF(OR(G197="",J197=""),"",G197-J197)</f>
        <v/>
      </c>
    </row>
    <row r="198">
      <c r="H198" s="10" t="n"/>
      <c r="I198" s="9">
        <f>IF(H198="","",IF(E198="USD",H198*Parametros!$B$2,H198))</f>
        <v/>
      </c>
      <c r="J198" s="9">
        <f>IF(A198="","",IFERROR(VLOOKUP(A198,Partidas!$A$2:$E$201,4,FALSE),""))</f>
        <v/>
      </c>
      <c r="K198" s="9">
        <f>IF(A198="","",IFERROR(VLOOKUP(A198,Partidas!$A$2:$E$201,5,FALSE),""))</f>
        <v/>
      </c>
      <c r="L198" s="9">
        <f>IF(OR(I198="",G198=""),"",G198*I198)</f>
        <v/>
      </c>
      <c r="M198" s="9">
        <f>IF(OR(J198="",K198=""),"",J198*K198)</f>
        <v/>
      </c>
      <c r="N198" s="11">
        <f>IF(OR(I198="",K198="",K198=0),"",(I198-K198)/K198)</f>
        <v/>
      </c>
      <c r="O198" s="9">
        <f>IF(OR(G198="",J198=""),"",G198-J198)</f>
        <v/>
      </c>
    </row>
    <row r="199">
      <c r="H199" s="10" t="n"/>
      <c r="I199" s="9">
        <f>IF(H199="","",IF(E199="USD",H199*Parametros!$B$2,H199))</f>
        <v/>
      </c>
      <c r="J199" s="9">
        <f>IF(A199="","",IFERROR(VLOOKUP(A199,Partidas!$A$2:$E$201,4,FALSE),""))</f>
        <v/>
      </c>
      <c r="K199" s="9">
        <f>IF(A199="","",IFERROR(VLOOKUP(A199,Partidas!$A$2:$E$201,5,FALSE),""))</f>
        <v/>
      </c>
      <c r="L199" s="9">
        <f>IF(OR(I199="",G199=""),"",G199*I199)</f>
        <v/>
      </c>
      <c r="M199" s="9">
        <f>IF(OR(J199="",K199=""),"",J199*K199)</f>
        <v/>
      </c>
      <c r="N199" s="11">
        <f>IF(OR(I199="",K199="",K199=0),"",(I199-K199)/K199)</f>
        <v/>
      </c>
      <c r="O199" s="9">
        <f>IF(OR(G199="",J199=""),"",G199-J199)</f>
        <v/>
      </c>
    </row>
    <row r="200">
      <c r="H200" s="10" t="n"/>
      <c r="I200" s="9">
        <f>IF(H200="","",IF(E200="USD",H200*Parametros!$B$2,H200))</f>
        <v/>
      </c>
      <c r="J200" s="9">
        <f>IF(A200="","",IFERROR(VLOOKUP(A200,Partidas!$A$2:$E$201,4,FALSE),""))</f>
        <v/>
      </c>
      <c r="K200" s="9">
        <f>IF(A200="","",IFERROR(VLOOKUP(A200,Partidas!$A$2:$E$201,5,FALSE),""))</f>
        <v/>
      </c>
      <c r="L200" s="9">
        <f>IF(OR(I200="",G200=""),"",G200*I200)</f>
        <v/>
      </c>
      <c r="M200" s="9">
        <f>IF(OR(J200="",K200=""),"",J200*K200)</f>
        <v/>
      </c>
      <c r="N200" s="11">
        <f>IF(OR(I200="",K200="",K200=0),"",(I200-K200)/K200)</f>
        <v/>
      </c>
      <c r="O200" s="9">
        <f>IF(OR(G200="",J200=""),"",G200-J200)</f>
        <v/>
      </c>
    </row>
    <row r="201">
      <c r="H201" s="10" t="n"/>
      <c r="I201" s="9">
        <f>IF(H201="","",IF(E201="USD",H201*Parametros!$B$2,H201))</f>
        <v/>
      </c>
      <c r="J201" s="9">
        <f>IF(A201="","",IFERROR(VLOOKUP(A201,Partidas!$A$2:$E$201,4,FALSE),""))</f>
        <v/>
      </c>
      <c r="K201" s="9">
        <f>IF(A201="","",IFERROR(VLOOKUP(A201,Partidas!$A$2:$E$201,5,FALSE),""))</f>
        <v/>
      </c>
      <c r="L201" s="9">
        <f>IF(OR(I201="",G201=""),"",G201*I201)</f>
        <v/>
      </c>
      <c r="M201" s="9">
        <f>IF(OR(J201="",K201=""),"",J201*K201)</f>
        <v/>
      </c>
      <c r="N201" s="11">
        <f>IF(OR(I201="",K201="",K201=0),"",(I201-K201)/K201)</f>
        <v/>
      </c>
      <c r="O201" s="9">
        <f>IF(OR(G201="",J201=""),"",G201-J201)</f>
        <v/>
      </c>
    </row>
    <row r="202">
      <c r="H202" s="10" t="n"/>
      <c r="I202" s="9">
        <f>IF(H202="","",IF(E202="USD",H202*Parametros!$B$2,H202))</f>
        <v/>
      </c>
      <c r="J202" s="9">
        <f>IF(A202="","",IFERROR(VLOOKUP(A202,Partidas!$A$2:$E$201,4,FALSE),""))</f>
        <v/>
      </c>
      <c r="K202" s="9">
        <f>IF(A202="","",IFERROR(VLOOKUP(A202,Partidas!$A$2:$E$201,5,FALSE),""))</f>
        <v/>
      </c>
      <c r="L202" s="9">
        <f>IF(OR(I202="",G202=""),"",G202*I202)</f>
        <v/>
      </c>
      <c r="M202" s="9">
        <f>IF(OR(J202="",K202=""),"",J202*K202)</f>
        <v/>
      </c>
      <c r="N202" s="11">
        <f>IF(OR(I202="",K202="",K202=0),"",(I202-K202)/K202)</f>
        <v/>
      </c>
      <c r="O202" s="9">
        <f>IF(OR(G202="",J202=""),"",G202-J202)</f>
        <v/>
      </c>
    </row>
    <row r="203">
      <c r="H203" s="10" t="n"/>
      <c r="I203" s="9">
        <f>IF(H203="","",IF(E203="USD",H203*Parametros!$B$2,H203))</f>
        <v/>
      </c>
      <c r="J203" s="9">
        <f>IF(A203="","",IFERROR(VLOOKUP(A203,Partidas!$A$2:$E$201,4,FALSE),""))</f>
        <v/>
      </c>
      <c r="K203" s="9">
        <f>IF(A203="","",IFERROR(VLOOKUP(A203,Partidas!$A$2:$E$201,5,FALSE),""))</f>
        <v/>
      </c>
      <c r="L203" s="9">
        <f>IF(OR(I203="",G203=""),"",G203*I203)</f>
        <v/>
      </c>
      <c r="M203" s="9">
        <f>IF(OR(J203="",K203=""),"",J203*K203)</f>
        <v/>
      </c>
      <c r="N203" s="11">
        <f>IF(OR(I203="",K203="",K203=0),"",(I203-K203)/K203)</f>
        <v/>
      </c>
      <c r="O203" s="9">
        <f>IF(OR(G203="",J203=""),"",G203-J203)</f>
        <v/>
      </c>
    </row>
    <row r="204">
      <c r="H204" s="10" t="n"/>
      <c r="I204" s="9">
        <f>IF(H204="","",IF(E204="USD",H204*Parametros!$B$2,H204))</f>
        <v/>
      </c>
      <c r="J204" s="9">
        <f>IF(A204="","",IFERROR(VLOOKUP(A204,Partidas!$A$2:$E$201,4,FALSE),""))</f>
        <v/>
      </c>
      <c r="K204" s="9">
        <f>IF(A204="","",IFERROR(VLOOKUP(A204,Partidas!$A$2:$E$201,5,FALSE),""))</f>
        <v/>
      </c>
      <c r="L204" s="9">
        <f>IF(OR(I204="",G204=""),"",G204*I204)</f>
        <v/>
      </c>
      <c r="M204" s="9">
        <f>IF(OR(J204="",K204=""),"",J204*K204)</f>
        <v/>
      </c>
      <c r="N204" s="11">
        <f>IF(OR(I204="",K204="",K204=0),"",(I204-K204)/K204)</f>
        <v/>
      </c>
      <c r="O204" s="9">
        <f>IF(OR(G204="",J204=""),"",G204-J204)</f>
        <v/>
      </c>
    </row>
    <row r="205">
      <c r="H205" s="10" t="n"/>
      <c r="I205" s="9">
        <f>IF(H205="","",IF(E205="USD",H205*Parametros!$B$2,H205))</f>
        <v/>
      </c>
      <c r="J205" s="9">
        <f>IF(A205="","",IFERROR(VLOOKUP(A205,Partidas!$A$2:$E$201,4,FALSE),""))</f>
        <v/>
      </c>
      <c r="K205" s="9">
        <f>IF(A205="","",IFERROR(VLOOKUP(A205,Partidas!$A$2:$E$201,5,FALSE),""))</f>
        <v/>
      </c>
      <c r="L205" s="9">
        <f>IF(OR(I205="",G205=""),"",G205*I205)</f>
        <v/>
      </c>
      <c r="M205" s="9">
        <f>IF(OR(J205="",K205=""),"",J205*K205)</f>
        <v/>
      </c>
      <c r="N205" s="11">
        <f>IF(OR(I205="",K205="",K205=0),"",(I205-K205)/K205)</f>
        <v/>
      </c>
      <c r="O205" s="9">
        <f>IF(OR(G205="",J205=""),"",G205-J205)</f>
        <v/>
      </c>
    </row>
    <row r="206">
      <c r="H206" s="10" t="n"/>
      <c r="I206" s="9">
        <f>IF(H206="","",IF(E206="USD",H206*Parametros!$B$2,H206))</f>
        <v/>
      </c>
      <c r="J206" s="9">
        <f>IF(A206="","",IFERROR(VLOOKUP(A206,Partidas!$A$2:$E$201,4,FALSE),""))</f>
        <v/>
      </c>
      <c r="K206" s="9">
        <f>IF(A206="","",IFERROR(VLOOKUP(A206,Partidas!$A$2:$E$201,5,FALSE),""))</f>
        <v/>
      </c>
      <c r="L206" s="9">
        <f>IF(OR(I206="",G206=""),"",G206*I206)</f>
        <v/>
      </c>
      <c r="M206" s="9">
        <f>IF(OR(J206="",K206=""),"",J206*K206)</f>
        <v/>
      </c>
      <c r="N206" s="11">
        <f>IF(OR(I206="",K206="",K206=0),"",(I206-K206)/K206)</f>
        <v/>
      </c>
      <c r="O206" s="9">
        <f>IF(OR(G206="",J206=""),"",G206-J206)</f>
        <v/>
      </c>
    </row>
    <row r="207">
      <c r="H207" s="10" t="n"/>
      <c r="I207" s="9">
        <f>IF(H207="","",IF(E207="USD",H207*Parametros!$B$2,H207))</f>
        <v/>
      </c>
      <c r="J207" s="9">
        <f>IF(A207="","",IFERROR(VLOOKUP(A207,Partidas!$A$2:$E$201,4,FALSE),""))</f>
        <v/>
      </c>
      <c r="K207" s="9">
        <f>IF(A207="","",IFERROR(VLOOKUP(A207,Partidas!$A$2:$E$201,5,FALSE),""))</f>
        <v/>
      </c>
      <c r="L207" s="9">
        <f>IF(OR(I207="",G207=""),"",G207*I207)</f>
        <v/>
      </c>
      <c r="M207" s="9">
        <f>IF(OR(J207="",K207=""),"",J207*K207)</f>
        <v/>
      </c>
      <c r="N207" s="11">
        <f>IF(OR(I207="",K207="",K207=0),"",(I207-K207)/K207)</f>
        <v/>
      </c>
      <c r="O207" s="9">
        <f>IF(OR(G207="",J207=""),"",G207-J207)</f>
        <v/>
      </c>
    </row>
    <row r="208">
      <c r="H208" s="10" t="n"/>
      <c r="I208" s="9">
        <f>IF(H208="","",IF(E208="USD",H208*Parametros!$B$2,H208))</f>
        <v/>
      </c>
      <c r="J208" s="9">
        <f>IF(A208="","",IFERROR(VLOOKUP(A208,Partidas!$A$2:$E$201,4,FALSE),""))</f>
        <v/>
      </c>
      <c r="K208" s="9">
        <f>IF(A208="","",IFERROR(VLOOKUP(A208,Partidas!$A$2:$E$201,5,FALSE),""))</f>
        <v/>
      </c>
      <c r="L208" s="9">
        <f>IF(OR(I208="",G208=""),"",G208*I208)</f>
        <v/>
      </c>
      <c r="M208" s="9">
        <f>IF(OR(J208="",K208=""),"",J208*K208)</f>
        <v/>
      </c>
      <c r="N208" s="11">
        <f>IF(OR(I208="",K208="",K208=0),"",(I208-K208)/K208)</f>
        <v/>
      </c>
      <c r="O208" s="9">
        <f>IF(OR(G208="",J208=""),"",G208-J208)</f>
        <v/>
      </c>
    </row>
    <row r="209">
      <c r="H209" s="10" t="n"/>
      <c r="I209" s="9">
        <f>IF(H209="","",IF(E209="USD",H209*Parametros!$B$2,H209))</f>
        <v/>
      </c>
      <c r="J209" s="9">
        <f>IF(A209="","",IFERROR(VLOOKUP(A209,Partidas!$A$2:$E$201,4,FALSE),""))</f>
        <v/>
      </c>
      <c r="K209" s="9">
        <f>IF(A209="","",IFERROR(VLOOKUP(A209,Partidas!$A$2:$E$201,5,FALSE),""))</f>
        <v/>
      </c>
      <c r="L209" s="9">
        <f>IF(OR(I209="",G209=""),"",G209*I209)</f>
        <v/>
      </c>
      <c r="M209" s="9">
        <f>IF(OR(J209="",K209=""),"",J209*K209)</f>
        <v/>
      </c>
      <c r="N209" s="11">
        <f>IF(OR(I209="",K209="",K209=0),"",(I209-K209)/K209)</f>
        <v/>
      </c>
      <c r="O209" s="9">
        <f>IF(OR(G209="",J209=""),"",G209-J209)</f>
        <v/>
      </c>
    </row>
    <row r="210">
      <c r="H210" s="10" t="n"/>
      <c r="I210" s="9">
        <f>IF(H210="","",IF(E210="USD",H210*Parametros!$B$2,H210))</f>
        <v/>
      </c>
      <c r="J210" s="9">
        <f>IF(A210="","",IFERROR(VLOOKUP(A210,Partidas!$A$2:$E$201,4,FALSE),""))</f>
        <v/>
      </c>
      <c r="K210" s="9">
        <f>IF(A210="","",IFERROR(VLOOKUP(A210,Partidas!$A$2:$E$201,5,FALSE),""))</f>
        <v/>
      </c>
      <c r="L210" s="9">
        <f>IF(OR(I210="",G210=""),"",G210*I210)</f>
        <v/>
      </c>
      <c r="M210" s="9">
        <f>IF(OR(J210="",K210=""),"",J210*K210)</f>
        <v/>
      </c>
      <c r="N210" s="11">
        <f>IF(OR(I210="",K210="",K210=0),"",(I210-K210)/K210)</f>
        <v/>
      </c>
      <c r="O210" s="9">
        <f>IF(OR(G210="",J210=""),"",G210-J210)</f>
        <v/>
      </c>
    </row>
    <row r="211">
      <c r="H211" s="10" t="n"/>
      <c r="I211" s="9">
        <f>IF(H211="","",IF(E211="USD",H211*Parametros!$B$2,H211))</f>
        <v/>
      </c>
      <c r="J211" s="9">
        <f>IF(A211="","",IFERROR(VLOOKUP(A211,Partidas!$A$2:$E$201,4,FALSE),""))</f>
        <v/>
      </c>
      <c r="K211" s="9">
        <f>IF(A211="","",IFERROR(VLOOKUP(A211,Partidas!$A$2:$E$201,5,FALSE),""))</f>
        <v/>
      </c>
      <c r="L211" s="9">
        <f>IF(OR(I211="",G211=""),"",G211*I211)</f>
        <v/>
      </c>
      <c r="M211" s="9">
        <f>IF(OR(J211="",K211=""),"",J211*K211)</f>
        <v/>
      </c>
      <c r="N211" s="11">
        <f>IF(OR(I211="",K211="",K211=0),"",(I211-K211)/K211)</f>
        <v/>
      </c>
      <c r="O211" s="9">
        <f>IF(OR(G211="",J211=""),"",G211-J211)</f>
        <v/>
      </c>
    </row>
    <row r="212">
      <c r="H212" s="10" t="n"/>
      <c r="I212" s="9">
        <f>IF(H212="","",IF(E212="USD",H212*Parametros!$B$2,H212))</f>
        <v/>
      </c>
      <c r="J212" s="9">
        <f>IF(A212="","",IFERROR(VLOOKUP(A212,Partidas!$A$2:$E$201,4,FALSE),""))</f>
        <v/>
      </c>
      <c r="K212" s="9">
        <f>IF(A212="","",IFERROR(VLOOKUP(A212,Partidas!$A$2:$E$201,5,FALSE),""))</f>
        <v/>
      </c>
      <c r="L212" s="9">
        <f>IF(OR(I212="",G212=""),"",G212*I212)</f>
        <v/>
      </c>
      <c r="M212" s="9">
        <f>IF(OR(J212="",K212=""),"",J212*K212)</f>
        <v/>
      </c>
      <c r="N212" s="11">
        <f>IF(OR(I212="",K212="",K212=0),"",(I212-K212)/K212)</f>
        <v/>
      </c>
      <c r="O212" s="9">
        <f>IF(OR(G212="",J212=""),"",G212-J212)</f>
        <v/>
      </c>
    </row>
    <row r="213">
      <c r="H213" s="10" t="n"/>
      <c r="I213" s="9">
        <f>IF(H213="","",IF(E213="USD",H213*Parametros!$B$2,H213))</f>
        <v/>
      </c>
      <c r="J213" s="9">
        <f>IF(A213="","",IFERROR(VLOOKUP(A213,Partidas!$A$2:$E$201,4,FALSE),""))</f>
        <v/>
      </c>
      <c r="K213" s="9">
        <f>IF(A213="","",IFERROR(VLOOKUP(A213,Partidas!$A$2:$E$201,5,FALSE),""))</f>
        <v/>
      </c>
      <c r="L213" s="9">
        <f>IF(OR(I213="",G213=""),"",G213*I213)</f>
        <v/>
      </c>
      <c r="M213" s="9">
        <f>IF(OR(J213="",K213=""),"",J213*K213)</f>
        <v/>
      </c>
      <c r="N213" s="11">
        <f>IF(OR(I213="",K213="",K213=0),"",(I213-K213)/K213)</f>
        <v/>
      </c>
      <c r="O213" s="9">
        <f>IF(OR(G213="",J213=""),"",G213-J213)</f>
        <v/>
      </c>
    </row>
    <row r="214">
      <c r="H214" s="10" t="n"/>
      <c r="I214" s="9">
        <f>IF(H214="","",IF(E214="USD",H214*Parametros!$B$2,H214))</f>
        <v/>
      </c>
      <c r="J214" s="9">
        <f>IF(A214="","",IFERROR(VLOOKUP(A214,Partidas!$A$2:$E$201,4,FALSE),""))</f>
        <v/>
      </c>
      <c r="K214" s="9">
        <f>IF(A214="","",IFERROR(VLOOKUP(A214,Partidas!$A$2:$E$201,5,FALSE),""))</f>
        <v/>
      </c>
      <c r="L214" s="9">
        <f>IF(OR(I214="",G214=""),"",G214*I214)</f>
        <v/>
      </c>
      <c r="M214" s="9">
        <f>IF(OR(J214="",K214=""),"",J214*K214)</f>
        <v/>
      </c>
      <c r="N214" s="11">
        <f>IF(OR(I214="",K214="",K214=0),"",(I214-K214)/K214)</f>
        <v/>
      </c>
      <c r="O214" s="9">
        <f>IF(OR(G214="",J214=""),"",G214-J214)</f>
        <v/>
      </c>
    </row>
    <row r="215">
      <c r="H215" s="10" t="n"/>
      <c r="I215" s="9">
        <f>IF(H215="","",IF(E215="USD",H215*Parametros!$B$2,H215))</f>
        <v/>
      </c>
      <c r="J215" s="9">
        <f>IF(A215="","",IFERROR(VLOOKUP(A215,Partidas!$A$2:$E$201,4,FALSE),""))</f>
        <v/>
      </c>
      <c r="K215" s="9">
        <f>IF(A215="","",IFERROR(VLOOKUP(A215,Partidas!$A$2:$E$201,5,FALSE),""))</f>
        <v/>
      </c>
      <c r="L215" s="9">
        <f>IF(OR(I215="",G215=""),"",G215*I215)</f>
        <v/>
      </c>
      <c r="M215" s="9">
        <f>IF(OR(J215="",K215=""),"",J215*K215)</f>
        <v/>
      </c>
      <c r="N215" s="11">
        <f>IF(OR(I215="",K215="",K215=0),"",(I215-K215)/K215)</f>
        <v/>
      </c>
      <c r="O215" s="9">
        <f>IF(OR(G215="",J215=""),"",G215-J215)</f>
        <v/>
      </c>
    </row>
    <row r="216">
      <c r="H216" s="10" t="n"/>
      <c r="I216" s="9">
        <f>IF(H216="","",IF(E216="USD",H216*Parametros!$B$2,H216))</f>
        <v/>
      </c>
      <c r="J216" s="9">
        <f>IF(A216="","",IFERROR(VLOOKUP(A216,Partidas!$A$2:$E$201,4,FALSE),""))</f>
        <v/>
      </c>
      <c r="K216" s="9">
        <f>IF(A216="","",IFERROR(VLOOKUP(A216,Partidas!$A$2:$E$201,5,FALSE),""))</f>
        <v/>
      </c>
      <c r="L216" s="9">
        <f>IF(OR(I216="",G216=""),"",G216*I216)</f>
        <v/>
      </c>
      <c r="M216" s="9">
        <f>IF(OR(J216="",K216=""),"",J216*K216)</f>
        <v/>
      </c>
      <c r="N216" s="11">
        <f>IF(OR(I216="",K216="",K216=0),"",(I216-K216)/K216)</f>
        <v/>
      </c>
      <c r="O216" s="9">
        <f>IF(OR(G216="",J216=""),"",G216-J216)</f>
        <v/>
      </c>
    </row>
    <row r="217">
      <c r="H217" s="10" t="n"/>
      <c r="I217" s="9">
        <f>IF(H217="","",IF(E217="USD",H217*Parametros!$B$2,H217))</f>
        <v/>
      </c>
      <c r="J217" s="9">
        <f>IF(A217="","",IFERROR(VLOOKUP(A217,Partidas!$A$2:$E$201,4,FALSE),""))</f>
        <v/>
      </c>
      <c r="K217" s="9">
        <f>IF(A217="","",IFERROR(VLOOKUP(A217,Partidas!$A$2:$E$201,5,FALSE),""))</f>
        <v/>
      </c>
      <c r="L217" s="9">
        <f>IF(OR(I217="",G217=""),"",G217*I217)</f>
        <v/>
      </c>
      <c r="M217" s="9">
        <f>IF(OR(J217="",K217=""),"",J217*K217)</f>
        <v/>
      </c>
      <c r="N217" s="11">
        <f>IF(OR(I217="",K217="",K217=0),"",(I217-K217)/K217)</f>
        <v/>
      </c>
      <c r="O217" s="9">
        <f>IF(OR(G217="",J217=""),"",G217-J217)</f>
        <v/>
      </c>
    </row>
    <row r="218">
      <c r="H218" s="10" t="n"/>
      <c r="I218" s="9">
        <f>IF(H218="","",IF(E218="USD",H218*Parametros!$B$2,H218))</f>
        <v/>
      </c>
      <c r="J218" s="9">
        <f>IF(A218="","",IFERROR(VLOOKUP(A218,Partidas!$A$2:$E$201,4,FALSE),""))</f>
        <v/>
      </c>
      <c r="K218" s="9">
        <f>IF(A218="","",IFERROR(VLOOKUP(A218,Partidas!$A$2:$E$201,5,FALSE),""))</f>
        <v/>
      </c>
      <c r="L218" s="9">
        <f>IF(OR(I218="",G218=""),"",G218*I218)</f>
        <v/>
      </c>
      <c r="M218" s="9">
        <f>IF(OR(J218="",K218=""),"",J218*K218)</f>
        <v/>
      </c>
      <c r="N218" s="11">
        <f>IF(OR(I218="",K218="",K218=0),"",(I218-K218)/K218)</f>
        <v/>
      </c>
      <c r="O218" s="9">
        <f>IF(OR(G218="",J218=""),"",G218-J218)</f>
        <v/>
      </c>
    </row>
    <row r="219">
      <c r="H219" s="10" t="n"/>
      <c r="I219" s="9">
        <f>IF(H219="","",IF(E219="USD",H219*Parametros!$B$2,H219))</f>
        <v/>
      </c>
      <c r="J219" s="9">
        <f>IF(A219="","",IFERROR(VLOOKUP(A219,Partidas!$A$2:$E$201,4,FALSE),""))</f>
        <v/>
      </c>
      <c r="K219" s="9">
        <f>IF(A219="","",IFERROR(VLOOKUP(A219,Partidas!$A$2:$E$201,5,FALSE),""))</f>
        <v/>
      </c>
      <c r="L219" s="9">
        <f>IF(OR(I219="",G219=""),"",G219*I219)</f>
        <v/>
      </c>
      <c r="M219" s="9">
        <f>IF(OR(J219="",K219=""),"",J219*K219)</f>
        <v/>
      </c>
      <c r="N219" s="11">
        <f>IF(OR(I219="",K219="",K219=0),"",(I219-K219)/K219)</f>
        <v/>
      </c>
      <c r="O219" s="9">
        <f>IF(OR(G219="",J219=""),"",G219-J219)</f>
        <v/>
      </c>
    </row>
    <row r="220">
      <c r="H220" s="10" t="n"/>
      <c r="I220" s="9">
        <f>IF(H220="","",IF(E220="USD",H220*Parametros!$B$2,H220))</f>
        <v/>
      </c>
      <c r="J220" s="9">
        <f>IF(A220="","",IFERROR(VLOOKUP(A220,Partidas!$A$2:$E$201,4,FALSE),""))</f>
        <v/>
      </c>
      <c r="K220" s="9">
        <f>IF(A220="","",IFERROR(VLOOKUP(A220,Partidas!$A$2:$E$201,5,FALSE),""))</f>
        <v/>
      </c>
      <c r="L220" s="9">
        <f>IF(OR(I220="",G220=""),"",G220*I220)</f>
        <v/>
      </c>
      <c r="M220" s="9">
        <f>IF(OR(J220="",K220=""),"",J220*K220)</f>
        <v/>
      </c>
      <c r="N220" s="11">
        <f>IF(OR(I220="",K220="",K220=0),"",(I220-K220)/K220)</f>
        <v/>
      </c>
      <c r="O220" s="9">
        <f>IF(OR(G220="",J220=""),"",G220-J220)</f>
        <v/>
      </c>
    </row>
    <row r="221">
      <c r="H221" s="10" t="n"/>
      <c r="I221" s="9">
        <f>IF(H221="","",IF(E221="USD",H221*Parametros!$B$2,H221))</f>
        <v/>
      </c>
      <c r="J221" s="9">
        <f>IF(A221="","",IFERROR(VLOOKUP(A221,Partidas!$A$2:$E$201,4,FALSE),""))</f>
        <v/>
      </c>
      <c r="K221" s="9">
        <f>IF(A221="","",IFERROR(VLOOKUP(A221,Partidas!$A$2:$E$201,5,FALSE),""))</f>
        <v/>
      </c>
      <c r="L221" s="9">
        <f>IF(OR(I221="",G221=""),"",G221*I221)</f>
        <v/>
      </c>
      <c r="M221" s="9">
        <f>IF(OR(J221="",K221=""),"",J221*K221)</f>
        <v/>
      </c>
      <c r="N221" s="11">
        <f>IF(OR(I221="",K221="",K221=0),"",(I221-K221)/K221)</f>
        <v/>
      </c>
      <c r="O221" s="9">
        <f>IF(OR(G221="",J221=""),"",G221-J221)</f>
        <v/>
      </c>
    </row>
    <row r="222">
      <c r="H222" s="10" t="n"/>
      <c r="I222" s="9">
        <f>IF(H222="","",IF(E222="USD",H222*Parametros!$B$2,H222))</f>
        <v/>
      </c>
      <c r="J222" s="9">
        <f>IF(A222="","",IFERROR(VLOOKUP(A222,Partidas!$A$2:$E$201,4,FALSE),""))</f>
        <v/>
      </c>
      <c r="K222" s="9">
        <f>IF(A222="","",IFERROR(VLOOKUP(A222,Partidas!$A$2:$E$201,5,FALSE),""))</f>
        <v/>
      </c>
      <c r="L222" s="9">
        <f>IF(OR(I222="",G222=""),"",G222*I222)</f>
        <v/>
      </c>
      <c r="M222" s="9">
        <f>IF(OR(J222="",K222=""),"",J222*K222)</f>
        <v/>
      </c>
      <c r="N222" s="11">
        <f>IF(OR(I222="",K222="",K222=0),"",(I222-K222)/K222)</f>
        <v/>
      </c>
      <c r="O222" s="9">
        <f>IF(OR(G222="",J222=""),"",G222-J222)</f>
        <v/>
      </c>
    </row>
    <row r="223">
      <c r="H223" s="10" t="n"/>
      <c r="I223" s="9">
        <f>IF(H223="","",IF(E223="USD",H223*Parametros!$B$2,H223))</f>
        <v/>
      </c>
      <c r="J223" s="9">
        <f>IF(A223="","",IFERROR(VLOOKUP(A223,Partidas!$A$2:$E$201,4,FALSE),""))</f>
        <v/>
      </c>
      <c r="K223" s="9">
        <f>IF(A223="","",IFERROR(VLOOKUP(A223,Partidas!$A$2:$E$201,5,FALSE),""))</f>
        <v/>
      </c>
      <c r="L223" s="9">
        <f>IF(OR(I223="",G223=""),"",G223*I223)</f>
        <v/>
      </c>
      <c r="M223" s="9">
        <f>IF(OR(J223="",K223=""),"",J223*K223)</f>
        <v/>
      </c>
      <c r="N223" s="11">
        <f>IF(OR(I223="",K223="",K223=0),"",(I223-K223)/K223)</f>
        <v/>
      </c>
      <c r="O223" s="9">
        <f>IF(OR(G223="",J223=""),"",G223-J223)</f>
        <v/>
      </c>
    </row>
    <row r="224">
      <c r="H224" s="10" t="n"/>
      <c r="I224" s="9">
        <f>IF(H224="","",IF(E224="USD",H224*Parametros!$B$2,H224))</f>
        <v/>
      </c>
      <c r="J224" s="9">
        <f>IF(A224="","",IFERROR(VLOOKUP(A224,Partidas!$A$2:$E$201,4,FALSE),""))</f>
        <v/>
      </c>
      <c r="K224" s="9">
        <f>IF(A224="","",IFERROR(VLOOKUP(A224,Partidas!$A$2:$E$201,5,FALSE),""))</f>
        <v/>
      </c>
      <c r="L224" s="9">
        <f>IF(OR(I224="",G224=""),"",G224*I224)</f>
        <v/>
      </c>
      <c r="M224" s="9">
        <f>IF(OR(J224="",K224=""),"",J224*K224)</f>
        <v/>
      </c>
      <c r="N224" s="11">
        <f>IF(OR(I224="",K224="",K224=0),"",(I224-K224)/K224)</f>
        <v/>
      </c>
      <c r="O224" s="9">
        <f>IF(OR(G224="",J224=""),"",G224-J224)</f>
        <v/>
      </c>
    </row>
    <row r="225">
      <c r="H225" s="10" t="n"/>
      <c r="I225" s="9">
        <f>IF(H225="","",IF(E225="USD",H225*Parametros!$B$2,H225))</f>
        <v/>
      </c>
      <c r="J225" s="9">
        <f>IF(A225="","",IFERROR(VLOOKUP(A225,Partidas!$A$2:$E$201,4,FALSE),""))</f>
        <v/>
      </c>
      <c r="K225" s="9">
        <f>IF(A225="","",IFERROR(VLOOKUP(A225,Partidas!$A$2:$E$201,5,FALSE),""))</f>
        <v/>
      </c>
      <c r="L225" s="9">
        <f>IF(OR(I225="",G225=""),"",G225*I225)</f>
        <v/>
      </c>
      <c r="M225" s="9">
        <f>IF(OR(J225="",K225=""),"",J225*K225)</f>
        <v/>
      </c>
      <c r="N225" s="11">
        <f>IF(OR(I225="",K225="",K225=0),"",(I225-K225)/K225)</f>
        <v/>
      </c>
      <c r="O225" s="9">
        <f>IF(OR(G225="",J225=""),"",G225-J225)</f>
        <v/>
      </c>
    </row>
    <row r="226">
      <c r="H226" s="10" t="n"/>
      <c r="I226" s="9">
        <f>IF(H226="","",IF(E226="USD",H226*Parametros!$B$2,H226))</f>
        <v/>
      </c>
      <c r="J226" s="9">
        <f>IF(A226="","",IFERROR(VLOOKUP(A226,Partidas!$A$2:$E$201,4,FALSE),""))</f>
        <v/>
      </c>
      <c r="K226" s="9">
        <f>IF(A226="","",IFERROR(VLOOKUP(A226,Partidas!$A$2:$E$201,5,FALSE),""))</f>
        <v/>
      </c>
      <c r="L226" s="9">
        <f>IF(OR(I226="",G226=""),"",G226*I226)</f>
        <v/>
      </c>
      <c r="M226" s="9">
        <f>IF(OR(J226="",K226=""),"",J226*K226)</f>
        <v/>
      </c>
      <c r="N226" s="11">
        <f>IF(OR(I226="",K226="",K226=0),"",(I226-K226)/K226)</f>
        <v/>
      </c>
      <c r="O226" s="9">
        <f>IF(OR(G226="",J226=""),"",G226-J226)</f>
        <v/>
      </c>
    </row>
    <row r="227">
      <c r="H227" s="10" t="n"/>
      <c r="I227" s="9">
        <f>IF(H227="","",IF(E227="USD",H227*Parametros!$B$2,H227))</f>
        <v/>
      </c>
      <c r="J227" s="9">
        <f>IF(A227="","",IFERROR(VLOOKUP(A227,Partidas!$A$2:$E$201,4,FALSE),""))</f>
        <v/>
      </c>
      <c r="K227" s="9">
        <f>IF(A227="","",IFERROR(VLOOKUP(A227,Partidas!$A$2:$E$201,5,FALSE),""))</f>
        <v/>
      </c>
      <c r="L227" s="9">
        <f>IF(OR(I227="",G227=""),"",G227*I227)</f>
        <v/>
      </c>
      <c r="M227" s="9">
        <f>IF(OR(J227="",K227=""),"",J227*K227)</f>
        <v/>
      </c>
      <c r="N227" s="11">
        <f>IF(OR(I227="",K227="",K227=0),"",(I227-K227)/K227)</f>
        <v/>
      </c>
      <c r="O227" s="9">
        <f>IF(OR(G227="",J227=""),"",G227-J227)</f>
        <v/>
      </c>
    </row>
    <row r="228">
      <c r="H228" s="10" t="n"/>
      <c r="I228" s="9">
        <f>IF(H228="","",IF(E228="USD",H228*Parametros!$B$2,H228))</f>
        <v/>
      </c>
      <c r="J228" s="9">
        <f>IF(A228="","",IFERROR(VLOOKUP(A228,Partidas!$A$2:$E$201,4,FALSE),""))</f>
        <v/>
      </c>
      <c r="K228" s="9">
        <f>IF(A228="","",IFERROR(VLOOKUP(A228,Partidas!$A$2:$E$201,5,FALSE),""))</f>
        <v/>
      </c>
      <c r="L228" s="9">
        <f>IF(OR(I228="",G228=""),"",G228*I228)</f>
        <v/>
      </c>
      <c r="M228" s="9">
        <f>IF(OR(J228="",K228=""),"",J228*K228)</f>
        <v/>
      </c>
      <c r="N228" s="11">
        <f>IF(OR(I228="",K228="",K228=0),"",(I228-K228)/K228)</f>
        <v/>
      </c>
      <c r="O228" s="9">
        <f>IF(OR(G228="",J228=""),"",G228-J228)</f>
        <v/>
      </c>
    </row>
    <row r="229">
      <c r="H229" s="10" t="n"/>
      <c r="I229" s="9">
        <f>IF(H229="","",IF(E229="USD",H229*Parametros!$B$2,H229))</f>
        <v/>
      </c>
      <c r="J229" s="9">
        <f>IF(A229="","",IFERROR(VLOOKUP(A229,Partidas!$A$2:$E$201,4,FALSE),""))</f>
        <v/>
      </c>
      <c r="K229" s="9">
        <f>IF(A229="","",IFERROR(VLOOKUP(A229,Partidas!$A$2:$E$201,5,FALSE),""))</f>
        <v/>
      </c>
      <c r="L229" s="9">
        <f>IF(OR(I229="",G229=""),"",G229*I229)</f>
        <v/>
      </c>
      <c r="M229" s="9">
        <f>IF(OR(J229="",K229=""),"",J229*K229)</f>
        <v/>
      </c>
      <c r="N229" s="11">
        <f>IF(OR(I229="",K229="",K229=0),"",(I229-K229)/K229)</f>
        <v/>
      </c>
      <c r="O229" s="9">
        <f>IF(OR(G229="",J229=""),"",G229-J229)</f>
        <v/>
      </c>
    </row>
    <row r="230">
      <c r="H230" s="10" t="n"/>
      <c r="I230" s="9">
        <f>IF(H230="","",IF(E230="USD",H230*Parametros!$B$2,H230))</f>
        <v/>
      </c>
      <c r="J230" s="9">
        <f>IF(A230="","",IFERROR(VLOOKUP(A230,Partidas!$A$2:$E$201,4,FALSE),""))</f>
        <v/>
      </c>
      <c r="K230" s="9">
        <f>IF(A230="","",IFERROR(VLOOKUP(A230,Partidas!$A$2:$E$201,5,FALSE),""))</f>
        <v/>
      </c>
      <c r="L230" s="9">
        <f>IF(OR(I230="",G230=""),"",G230*I230)</f>
        <v/>
      </c>
      <c r="M230" s="9">
        <f>IF(OR(J230="",K230=""),"",J230*K230)</f>
        <v/>
      </c>
      <c r="N230" s="11">
        <f>IF(OR(I230="",K230="",K230=0),"",(I230-K230)/K230)</f>
        <v/>
      </c>
      <c r="O230" s="9">
        <f>IF(OR(G230="",J230=""),"",G230-J230)</f>
        <v/>
      </c>
    </row>
    <row r="231">
      <c r="H231" s="10" t="n"/>
      <c r="I231" s="9">
        <f>IF(H231="","",IF(E231="USD",H231*Parametros!$B$2,H231))</f>
        <v/>
      </c>
      <c r="J231" s="9">
        <f>IF(A231="","",IFERROR(VLOOKUP(A231,Partidas!$A$2:$E$201,4,FALSE),""))</f>
        <v/>
      </c>
      <c r="K231" s="9">
        <f>IF(A231="","",IFERROR(VLOOKUP(A231,Partidas!$A$2:$E$201,5,FALSE),""))</f>
        <v/>
      </c>
      <c r="L231" s="9">
        <f>IF(OR(I231="",G231=""),"",G231*I231)</f>
        <v/>
      </c>
      <c r="M231" s="9">
        <f>IF(OR(J231="",K231=""),"",J231*K231)</f>
        <v/>
      </c>
      <c r="N231" s="11">
        <f>IF(OR(I231="",K231="",K231=0),"",(I231-K231)/K231)</f>
        <v/>
      </c>
      <c r="O231" s="9">
        <f>IF(OR(G231="",J231=""),"",G231-J231)</f>
        <v/>
      </c>
    </row>
    <row r="232">
      <c r="H232" s="10" t="n"/>
      <c r="I232" s="9">
        <f>IF(H232="","",IF(E232="USD",H232*Parametros!$B$2,H232))</f>
        <v/>
      </c>
      <c r="J232" s="9">
        <f>IF(A232="","",IFERROR(VLOOKUP(A232,Partidas!$A$2:$E$201,4,FALSE),""))</f>
        <v/>
      </c>
      <c r="K232" s="9">
        <f>IF(A232="","",IFERROR(VLOOKUP(A232,Partidas!$A$2:$E$201,5,FALSE),""))</f>
        <v/>
      </c>
      <c r="L232" s="9">
        <f>IF(OR(I232="",G232=""),"",G232*I232)</f>
        <v/>
      </c>
      <c r="M232" s="9">
        <f>IF(OR(J232="",K232=""),"",J232*K232)</f>
        <v/>
      </c>
      <c r="N232" s="11">
        <f>IF(OR(I232="",K232="",K232=0),"",(I232-K232)/K232)</f>
        <v/>
      </c>
      <c r="O232" s="9">
        <f>IF(OR(G232="",J232=""),"",G232-J232)</f>
        <v/>
      </c>
    </row>
    <row r="233">
      <c r="H233" s="10" t="n"/>
      <c r="I233" s="9">
        <f>IF(H233="","",IF(E233="USD",H233*Parametros!$B$2,H233))</f>
        <v/>
      </c>
      <c r="J233" s="9">
        <f>IF(A233="","",IFERROR(VLOOKUP(A233,Partidas!$A$2:$E$201,4,FALSE),""))</f>
        <v/>
      </c>
      <c r="K233" s="9">
        <f>IF(A233="","",IFERROR(VLOOKUP(A233,Partidas!$A$2:$E$201,5,FALSE),""))</f>
        <v/>
      </c>
      <c r="L233" s="9">
        <f>IF(OR(I233="",G233=""),"",G233*I233)</f>
        <v/>
      </c>
      <c r="M233" s="9">
        <f>IF(OR(J233="",K233=""),"",J233*K233)</f>
        <v/>
      </c>
      <c r="N233" s="11">
        <f>IF(OR(I233="",K233="",K233=0),"",(I233-K233)/K233)</f>
        <v/>
      </c>
      <c r="O233" s="9">
        <f>IF(OR(G233="",J233=""),"",G233-J233)</f>
        <v/>
      </c>
    </row>
    <row r="234">
      <c r="H234" s="10" t="n"/>
      <c r="I234" s="9">
        <f>IF(H234="","",IF(E234="USD",H234*Parametros!$B$2,H234))</f>
        <v/>
      </c>
      <c r="J234" s="9">
        <f>IF(A234="","",IFERROR(VLOOKUP(A234,Partidas!$A$2:$E$201,4,FALSE),""))</f>
        <v/>
      </c>
      <c r="K234" s="9">
        <f>IF(A234="","",IFERROR(VLOOKUP(A234,Partidas!$A$2:$E$201,5,FALSE),""))</f>
        <v/>
      </c>
      <c r="L234" s="9">
        <f>IF(OR(I234="",G234=""),"",G234*I234)</f>
        <v/>
      </c>
      <c r="M234" s="9">
        <f>IF(OR(J234="",K234=""),"",J234*K234)</f>
        <v/>
      </c>
      <c r="N234" s="11">
        <f>IF(OR(I234="",K234="",K234=0),"",(I234-K234)/K234)</f>
        <v/>
      </c>
      <c r="O234" s="9">
        <f>IF(OR(G234="",J234=""),"",G234-J234)</f>
        <v/>
      </c>
    </row>
    <row r="235">
      <c r="H235" s="10" t="n"/>
      <c r="I235" s="9">
        <f>IF(H235="","",IF(E235="USD",H235*Parametros!$B$2,H235))</f>
        <v/>
      </c>
      <c r="J235" s="9">
        <f>IF(A235="","",IFERROR(VLOOKUP(A235,Partidas!$A$2:$E$201,4,FALSE),""))</f>
        <v/>
      </c>
      <c r="K235" s="9">
        <f>IF(A235="","",IFERROR(VLOOKUP(A235,Partidas!$A$2:$E$201,5,FALSE),""))</f>
        <v/>
      </c>
      <c r="L235" s="9">
        <f>IF(OR(I235="",G235=""),"",G235*I235)</f>
        <v/>
      </c>
      <c r="M235" s="9">
        <f>IF(OR(J235="",K235=""),"",J235*K235)</f>
        <v/>
      </c>
      <c r="N235" s="11">
        <f>IF(OR(I235="",K235="",K235=0),"",(I235-K235)/K235)</f>
        <v/>
      </c>
      <c r="O235" s="9">
        <f>IF(OR(G235="",J235=""),"",G235-J235)</f>
        <v/>
      </c>
    </row>
    <row r="236">
      <c r="H236" s="10" t="n"/>
      <c r="I236" s="9">
        <f>IF(H236="","",IF(E236="USD",H236*Parametros!$B$2,H236))</f>
        <v/>
      </c>
      <c r="J236" s="9">
        <f>IF(A236="","",IFERROR(VLOOKUP(A236,Partidas!$A$2:$E$201,4,FALSE),""))</f>
        <v/>
      </c>
      <c r="K236" s="9">
        <f>IF(A236="","",IFERROR(VLOOKUP(A236,Partidas!$A$2:$E$201,5,FALSE),""))</f>
        <v/>
      </c>
      <c r="L236" s="9">
        <f>IF(OR(I236="",G236=""),"",G236*I236)</f>
        <v/>
      </c>
      <c r="M236" s="9">
        <f>IF(OR(J236="",K236=""),"",J236*K236)</f>
        <v/>
      </c>
      <c r="N236" s="11">
        <f>IF(OR(I236="",K236="",K236=0),"",(I236-K236)/K236)</f>
        <v/>
      </c>
      <c r="O236" s="9">
        <f>IF(OR(G236="",J236=""),"",G236-J236)</f>
        <v/>
      </c>
    </row>
    <row r="237">
      <c r="H237" s="10" t="n"/>
      <c r="I237" s="9">
        <f>IF(H237="","",IF(E237="USD",H237*Parametros!$B$2,H237))</f>
        <v/>
      </c>
      <c r="J237" s="9">
        <f>IF(A237="","",IFERROR(VLOOKUP(A237,Partidas!$A$2:$E$201,4,FALSE),""))</f>
        <v/>
      </c>
      <c r="K237" s="9">
        <f>IF(A237="","",IFERROR(VLOOKUP(A237,Partidas!$A$2:$E$201,5,FALSE),""))</f>
        <v/>
      </c>
      <c r="L237" s="9">
        <f>IF(OR(I237="",G237=""),"",G237*I237)</f>
        <v/>
      </c>
      <c r="M237" s="9">
        <f>IF(OR(J237="",K237=""),"",J237*K237)</f>
        <v/>
      </c>
      <c r="N237" s="11">
        <f>IF(OR(I237="",K237="",K237=0),"",(I237-K237)/K237)</f>
        <v/>
      </c>
      <c r="O237" s="9">
        <f>IF(OR(G237="",J237=""),"",G237-J237)</f>
        <v/>
      </c>
    </row>
    <row r="238">
      <c r="H238" s="10" t="n"/>
      <c r="I238" s="9">
        <f>IF(H238="","",IF(E238="USD",H238*Parametros!$B$2,H238))</f>
        <v/>
      </c>
      <c r="J238" s="9">
        <f>IF(A238="","",IFERROR(VLOOKUP(A238,Partidas!$A$2:$E$201,4,FALSE),""))</f>
        <v/>
      </c>
      <c r="K238" s="9">
        <f>IF(A238="","",IFERROR(VLOOKUP(A238,Partidas!$A$2:$E$201,5,FALSE),""))</f>
        <v/>
      </c>
      <c r="L238" s="9">
        <f>IF(OR(I238="",G238=""),"",G238*I238)</f>
        <v/>
      </c>
      <c r="M238" s="9">
        <f>IF(OR(J238="",K238=""),"",J238*K238)</f>
        <v/>
      </c>
      <c r="N238" s="11">
        <f>IF(OR(I238="",K238="",K238=0),"",(I238-K238)/K238)</f>
        <v/>
      </c>
      <c r="O238" s="9">
        <f>IF(OR(G238="",J238=""),"",G238-J238)</f>
        <v/>
      </c>
    </row>
    <row r="239">
      <c r="H239" s="10" t="n"/>
      <c r="I239" s="9">
        <f>IF(H239="","",IF(E239="USD",H239*Parametros!$B$2,H239))</f>
        <v/>
      </c>
      <c r="J239" s="9">
        <f>IF(A239="","",IFERROR(VLOOKUP(A239,Partidas!$A$2:$E$201,4,FALSE),""))</f>
        <v/>
      </c>
      <c r="K239" s="9">
        <f>IF(A239="","",IFERROR(VLOOKUP(A239,Partidas!$A$2:$E$201,5,FALSE),""))</f>
        <v/>
      </c>
      <c r="L239" s="9">
        <f>IF(OR(I239="",G239=""),"",G239*I239)</f>
        <v/>
      </c>
      <c r="M239" s="9">
        <f>IF(OR(J239="",K239=""),"",J239*K239)</f>
        <v/>
      </c>
      <c r="N239" s="11">
        <f>IF(OR(I239="",K239="",K239=0),"",(I239-K239)/K239)</f>
        <v/>
      </c>
      <c r="O239" s="9">
        <f>IF(OR(G239="",J239=""),"",G239-J239)</f>
        <v/>
      </c>
    </row>
    <row r="240">
      <c r="H240" s="10" t="n"/>
      <c r="I240" s="9">
        <f>IF(H240="","",IF(E240="USD",H240*Parametros!$B$2,H240))</f>
        <v/>
      </c>
      <c r="J240" s="9">
        <f>IF(A240="","",IFERROR(VLOOKUP(A240,Partidas!$A$2:$E$201,4,FALSE),""))</f>
        <v/>
      </c>
      <c r="K240" s="9">
        <f>IF(A240="","",IFERROR(VLOOKUP(A240,Partidas!$A$2:$E$201,5,FALSE),""))</f>
        <v/>
      </c>
      <c r="L240" s="9">
        <f>IF(OR(I240="",G240=""),"",G240*I240)</f>
        <v/>
      </c>
      <c r="M240" s="9">
        <f>IF(OR(J240="",K240=""),"",J240*K240)</f>
        <v/>
      </c>
      <c r="N240" s="11">
        <f>IF(OR(I240="",K240="",K240=0),"",(I240-K240)/K240)</f>
        <v/>
      </c>
      <c r="O240" s="9">
        <f>IF(OR(G240="",J240=""),"",G240-J240)</f>
        <v/>
      </c>
    </row>
    <row r="241">
      <c r="H241" s="10" t="n"/>
      <c r="I241" s="9">
        <f>IF(H241="","",IF(E241="USD",H241*Parametros!$B$2,H241))</f>
        <v/>
      </c>
      <c r="J241" s="9">
        <f>IF(A241="","",IFERROR(VLOOKUP(A241,Partidas!$A$2:$E$201,4,FALSE),""))</f>
        <v/>
      </c>
      <c r="K241" s="9">
        <f>IF(A241="","",IFERROR(VLOOKUP(A241,Partidas!$A$2:$E$201,5,FALSE),""))</f>
        <v/>
      </c>
      <c r="L241" s="9">
        <f>IF(OR(I241="",G241=""),"",G241*I241)</f>
        <v/>
      </c>
      <c r="M241" s="9">
        <f>IF(OR(J241="",K241=""),"",J241*K241)</f>
        <v/>
      </c>
      <c r="N241" s="11">
        <f>IF(OR(I241="",K241="",K241=0),"",(I241-K241)/K241)</f>
        <v/>
      </c>
      <c r="O241" s="9">
        <f>IF(OR(G241="",J241=""),"",G241-J241)</f>
        <v/>
      </c>
    </row>
    <row r="242">
      <c r="H242" s="10" t="n"/>
      <c r="I242" s="9">
        <f>IF(H242="","",IF(E242="USD",H242*Parametros!$B$2,H242))</f>
        <v/>
      </c>
      <c r="J242" s="9">
        <f>IF(A242="","",IFERROR(VLOOKUP(A242,Partidas!$A$2:$E$201,4,FALSE),""))</f>
        <v/>
      </c>
      <c r="K242" s="9">
        <f>IF(A242="","",IFERROR(VLOOKUP(A242,Partidas!$A$2:$E$201,5,FALSE),""))</f>
        <v/>
      </c>
      <c r="L242" s="9">
        <f>IF(OR(I242="",G242=""),"",G242*I242)</f>
        <v/>
      </c>
      <c r="M242" s="9">
        <f>IF(OR(J242="",K242=""),"",J242*K242)</f>
        <v/>
      </c>
      <c r="N242" s="11">
        <f>IF(OR(I242="",K242="",K242=0),"",(I242-K242)/K242)</f>
        <v/>
      </c>
      <c r="O242" s="9">
        <f>IF(OR(G242="",J242=""),"",G242-J242)</f>
        <v/>
      </c>
    </row>
    <row r="243">
      <c r="H243" s="10" t="n"/>
      <c r="I243" s="9">
        <f>IF(H243="","",IF(E243="USD",H243*Parametros!$B$2,H243))</f>
        <v/>
      </c>
      <c r="J243" s="9">
        <f>IF(A243="","",IFERROR(VLOOKUP(A243,Partidas!$A$2:$E$201,4,FALSE),""))</f>
        <v/>
      </c>
      <c r="K243" s="9">
        <f>IF(A243="","",IFERROR(VLOOKUP(A243,Partidas!$A$2:$E$201,5,FALSE),""))</f>
        <v/>
      </c>
      <c r="L243" s="9">
        <f>IF(OR(I243="",G243=""),"",G243*I243)</f>
        <v/>
      </c>
      <c r="M243" s="9">
        <f>IF(OR(J243="",K243=""),"",J243*K243)</f>
        <v/>
      </c>
      <c r="N243" s="11">
        <f>IF(OR(I243="",K243="",K243=0),"",(I243-K243)/K243)</f>
        <v/>
      </c>
      <c r="O243" s="9">
        <f>IF(OR(G243="",J243=""),"",G243-J243)</f>
        <v/>
      </c>
    </row>
    <row r="244">
      <c r="H244" s="10" t="n"/>
      <c r="I244" s="9">
        <f>IF(H244="","",IF(E244="USD",H244*Parametros!$B$2,H244))</f>
        <v/>
      </c>
      <c r="J244" s="9">
        <f>IF(A244="","",IFERROR(VLOOKUP(A244,Partidas!$A$2:$E$201,4,FALSE),""))</f>
        <v/>
      </c>
      <c r="K244" s="9">
        <f>IF(A244="","",IFERROR(VLOOKUP(A244,Partidas!$A$2:$E$201,5,FALSE),""))</f>
        <v/>
      </c>
      <c r="L244" s="9">
        <f>IF(OR(I244="",G244=""),"",G244*I244)</f>
        <v/>
      </c>
      <c r="M244" s="9">
        <f>IF(OR(J244="",K244=""),"",J244*K244)</f>
        <v/>
      </c>
      <c r="N244" s="11">
        <f>IF(OR(I244="",K244="",K244=0),"",(I244-K244)/K244)</f>
        <v/>
      </c>
      <c r="O244" s="9">
        <f>IF(OR(G244="",J244=""),"",G244-J244)</f>
        <v/>
      </c>
    </row>
    <row r="245">
      <c r="H245" s="10" t="n"/>
      <c r="I245" s="9">
        <f>IF(H245="","",IF(E245="USD",H245*Parametros!$B$2,H245))</f>
        <v/>
      </c>
      <c r="J245" s="9">
        <f>IF(A245="","",IFERROR(VLOOKUP(A245,Partidas!$A$2:$E$201,4,FALSE),""))</f>
        <v/>
      </c>
      <c r="K245" s="9">
        <f>IF(A245="","",IFERROR(VLOOKUP(A245,Partidas!$A$2:$E$201,5,FALSE),""))</f>
        <v/>
      </c>
      <c r="L245" s="9">
        <f>IF(OR(I245="",G245=""),"",G245*I245)</f>
        <v/>
      </c>
      <c r="M245" s="9">
        <f>IF(OR(J245="",K245=""),"",J245*K245)</f>
        <v/>
      </c>
      <c r="N245" s="11">
        <f>IF(OR(I245="",K245="",K245=0),"",(I245-K245)/K245)</f>
        <v/>
      </c>
      <c r="O245" s="9">
        <f>IF(OR(G245="",J245=""),"",G245-J245)</f>
        <v/>
      </c>
    </row>
    <row r="246">
      <c r="H246" s="10" t="n"/>
      <c r="I246" s="9">
        <f>IF(H246="","",IF(E246="USD",H246*Parametros!$B$2,H246))</f>
        <v/>
      </c>
      <c r="J246" s="9">
        <f>IF(A246="","",IFERROR(VLOOKUP(A246,Partidas!$A$2:$E$201,4,FALSE),""))</f>
        <v/>
      </c>
      <c r="K246" s="9">
        <f>IF(A246="","",IFERROR(VLOOKUP(A246,Partidas!$A$2:$E$201,5,FALSE),""))</f>
        <v/>
      </c>
      <c r="L246" s="9">
        <f>IF(OR(I246="",G246=""),"",G246*I246)</f>
        <v/>
      </c>
      <c r="M246" s="9">
        <f>IF(OR(J246="",K246=""),"",J246*K246)</f>
        <v/>
      </c>
      <c r="N246" s="11">
        <f>IF(OR(I246="",K246="",K246=0),"",(I246-K246)/K246)</f>
        <v/>
      </c>
      <c r="O246" s="9">
        <f>IF(OR(G246="",J246=""),"",G246-J246)</f>
        <v/>
      </c>
    </row>
    <row r="247">
      <c r="H247" s="10" t="n"/>
      <c r="I247" s="9">
        <f>IF(H247="","",IF(E247="USD",H247*Parametros!$B$2,H247))</f>
        <v/>
      </c>
      <c r="J247" s="9">
        <f>IF(A247="","",IFERROR(VLOOKUP(A247,Partidas!$A$2:$E$201,4,FALSE),""))</f>
        <v/>
      </c>
      <c r="K247" s="9">
        <f>IF(A247="","",IFERROR(VLOOKUP(A247,Partidas!$A$2:$E$201,5,FALSE),""))</f>
        <v/>
      </c>
      <c r="L247" s="9">
        <f>IF(OR(I247="",G247=""),"",G247*I247)</f>
        <v/>
      </c>
      <c r="M247" s="9">
        <f>IF(OR(J247="",K247=""),"",J247*K247)</f>
        <v/>
      </c>
      <c r="N247" s="11">
        <f>IF(OR(I247="",K247="",K247=0),"",(I247-K247)/K247)</f>
        <v/>
      </c>
      <c r="O247" s="9">
        <f>IF(OR(G247="",J247=""),"",G247-J247)</f>
        <v/>
      </c>
    </row>
    <row r="248">
      <c r="H248" s="10" t="n"/>
      <c r="I248" s="9">
        <f>IF(H248="","",IF(E248="USD",H248*Parametros!$B$2,H248))</f>
        <v/>
      </c>
      <c r="J248" s="9">
        <f>IF(A248="","",IFERROR(VLOOKUP(A248,Partidas!$A$2:$E$201,4,FALSE),""))</f>
        <v/>
      </c>
      <c r="K248" s="9">
        <f>IF(A248="","",IFERROR(VLOOKUP(A248,Partidas!$A$2:$E$201,5,FALSE),""))</f>
        <v/>
      </c>
      <c r="L248" s="9">
        <f>IF(OR(I248="",G248=""),"",G248*I248)</f>
        <v/>
      </c>
      <c r="M248" s="9">
        <f>IF(OR(J248="",K248=""),"",J248*K248)</f>
        <v/>
      </c>
      <c r="N248" s="11">
        <f>IF(OR(I248="",K248="",K248=0),"",(I248-K248)/K248)</f>
        <v/>
      </c>
      <c r="O248" s="9">
        <f>IF(OR(G248="",J248=""),"",G248-J248)</f>
        <v/>
      </c>
    </row>
    <row r="249">
      <c r="H249" s="10" t="n"/>
      <c r="I249" s="9">
        <f>IF(H249="","",IF(E249="USD",H249*Parametros!$B$2,H249))</f>
        <v/>
      </c>
      <c r="J249" s="9">
        <f>IF(A249="","",IFERROR(VLOOKUP(A249,Partidas!$A$2:$E$201,4,FALSE),""))</f>
        <v/>
      </c>
      <c r="K249" s="9">
        <f>IF(A249="","",IFERROR(VLOOKUP(A249,Partidas!$A$2:$E$201,5,FALSE),""))</f>
        <v/>
      </c>
      <c r="L249" s="9">
        <f>IF(OR(I249="",G249=""),"",G249*I249)</f>
        <v/>
      </c>
      <c r="M249" s="9">
        <f>IF(OR(J249="",K249=""),"",J249*K249)</f>
        <v/>
      </c>
      <c r="N249" s="11">
        <f>IF(OR(I249="",K249="",K249=0),"",(I249-K249)/K249)</f>
        <v/>
      </c>
      <c r="O249" s="9">
        <f>IF(OR(G249="",J249=""),"",G249-J249)</f>
        <v/>
      </c>
    </row>
    <row r="250">
      <c r="H250" s="10" t="n"/>
      <c r="I250" s="9">
        <f>IF(H250="","",IF(E250="USD",H250*Parametros!$B$2,H250))</f>
        <v/>
      </c>
      <c r="J250" s="9">
        <f>IF(A250="","",IFERROR(VLOOKUP(A250,Partidas!$A$2:$E$201,4,FALSE),""))</f>
        <v/>
      </c>
      <c r="K250" s="9">
        <f>IF(A250="","",IFERROR(VLOOKUP(A250,Partidas!$A$2:$E$201,5,FALSE),""))</f>
        <v/>
      </c>
      <c r="L250" s="9">
        <f>IF(OR(I250="",G250=""),"",G250*I250)</f>
        <v/>
      </c>
      <c r="M250" s="9">
        <f>IF(OR(J250="",K250=""),"",J250*K250)</f>
        <v/>
      </c>
      <c r="N250" s="11">
        <f>IF(OR(I250="",K250="",K250=0),"",(I250-K250)/K250)</f>
        <v/>
      </c>
      <c r="O250" s="9">
        <f>IF(OR(G250="",J250=""),"",G250-J250)</f>
        <v/>
      </c>
    </row>
    <row r="251">
      <c r="H251" s="10" t="n"/>
      <c r="I251" s="9">
        <f>IF(H251="","",IF(E251="USD",H251*Parametros!$B$2,H251))</f>
        <v/>
      </c>
      <c r="J251" s="9">
        <f>IF(A251="","",IFERROR(VLOOKUP(A251,Partidas!$A$2:$E$201,4,FALSE),""))</f>
        <v/>
      </c>
      <c r="K251" s="9">
        <f>IF(A251="","",IFERROR(VLOOKUP(A251,Partidas!$A$2:$E$201,5,FALSE),""))</f>
        <v/>
      </c>
      <c r="L251" s="9">
        <f>IF(OR(I251="",G251=""),"",G251*I251)</f>
        <v/>
      </c>
      <c r="M251" s="9">
        <f>IF(OR(J251="",K251=""),"",J251*K251)</f>
        <v/>
      </c>
      <c r="N251" s="11">
        <f>IF(OR(I251="",K251="",K251=0),"",(I251-K251)/K251)</f>
        <v/>
      </c>
      <c r="O251" s="9">
        <f>IF(OR(G251="",J251=""),"",G251-J251)</f>
        <v/>
      </c>
    </row>
    <row r="252">
      <c r="H252" s="10" t="n"/>
      <c r="I252" s="9">
        <f>IF(H252="","",IF(E252="USD",H252*Parametros!$B$2,H252))</f>
        <v/>
      </c>
      <c r="J252" s="9">
        <f>IF(A252="","",IFERROR(VLOOKUP(A252,Partidas!$A$2:$E$201,4,FALSE),""))</f>
        <v/>
      </c>
      <c r="K252" s="9">
        <f>IF(A252="","",IFERROR(VLOOKUP(A252,Partidas!$A$2:$E$201,5,FALSE),""))</f>
        <v/>
      </c>
      <c r="L252" s="9">
        <f>IF(OR(I252="",G252=""),"",G252*I252)</f>
        <v/>
      </c>
      <c r="M252" s="9">
        <f>IF(OR(J252="",K252=""),"",J252*K252)</f>
        <v/>
      </c>
      <c r="N252" s="11">
        <f>IF(OR(I252="",K252="",K252=0),"",(I252-K252)/K252)</f>
        <v/>
      </c>
      <c r="O252" s="9">
        <f>IF(OR(G252="",J252=""),"",G252-J252)</f>
        <v/>
      </c>
    </row>
    <row r="253">
      <c r="H253" s="10" t="n"/>
      <c r="I253" s="9">
        <f>IF(H253="","",IF(E253="USD",H253*Parametros!$B$2,H253))</f>
        <v/>
      </c>
      <c r="J253" s="9">
        <f>IF(A253="","",IFERROR(VLOOKUP(A253,Partidas!$A$2:$E$201,4,FALSE),""))</f>
        <v/>
      </c>
      <c r="K253" s="9">
        <f>IF(A253="","",IFERROR(VLOOKUP(A253,Partidas!$A$2:$E$201,5,FALSE),""))</f>
        <v/>
      </c>
      <c r="L253" s="9">
        <f>IF(OR(I253="",G253=""),"",G253*I253)</f>
        <v/>
      </c>
      <c r="M253" s="9">
        <f>IF(OR(J253="",K253=""),"",J253*K253)</f>
        <v/>
      </c>
      <c r="N253" s="11">
        <f>IF(OR(I253="",K253="",K253=0),"",(I253-K253)/K253)</f>
        <v/>
      </c>
      <c r="O253" s="9">
        <f>IF(OR(G253="",J253=""),"",G253-J253)</f>
        <v/>
      </c>
    </row>
    <row r="254">
      <c r="H254" s="10" t="n"/>
      <c r="I254" s="9">
        <f>IF(H254="","",IF(E254="USD",H254*Parametros!$B$2,H254))</f>
        <v/>
      </c>
      <c r="J254" s="9">
        <f>IF(A254="","",IFERROR(VLOOKUP(A254,Partidas!$A$2:$E$201,4,FALSE),""))</f>
        <v/>
      </c>
      <c r="K254" s="9">
        <f>IF(A254="","",IFERROR(VLOOKUP(A254,Partidas!$A$2:$E$201,5,FALSE),""))</f>
        <v/>
      </c>
      <c r="L254" s="9">
        <f>IF(OR(I254="",G254=""),"",G254*I254)</f>
        <v/>
      </c>
      <c r="M254" s="9">
        <f>IF(OR(J254="",K254=""),"",J254*K254)</f>
        <v/>
      </c>
      <c r="N254" s="11">
        <f>IF(OR(I254="",K254="",K254=0),"",(I254-K254)/K254)</f>
        <v/>
      </c>
      <c r="O254" s="9">
        <f>IF(OR(G254="",J254=""),"",G254-J254)</f>
        <v/>
      </c>
    </row>
    <row r="255">
      <c r="H255" s="10" t="n"/>
      <c r="I255" s="9">
        <f>IF(H255="","",IF(E255="USD",H255*Parametros!$B$2,H255))</f>
        <v/>
      </c>
      <c r="J255" s="9">
        <f>IF(A255="","",IFERROR(VLOOKUP(A255,Partidas!$A$2:$E$201,4,FALSE),""))</f>
        <v/>
      </c>
      <c r="K255" s="9">
        <f>IF(A255="","",IFERROR(VLOOKUP(A255,Partidas!$A$2:$E$201,5,FALSE),""))</f>
        <v/>
      </c>
      <c r="L255" s="9">
        <f>IF(OR(I255="",G255=""),"",G255*I255)</f>
        <v/>
      </c>
      <c r="M255" s="9">
        <f>IF(OR(J255="",K255=""),"",J255*K255)</f>
        <v/>
      </c>
      <c r="N255" s="11">
        <f>IF(OR(I255="",K255="",K255=0),"",(I255-K255)/K255)</f>
        <v/>
      </c>
      <c r="O255" s="9">
        <f>IF(OR(G255="",J255=""),"",G255-J255)</f>
        <v/>
      </c>
    </row>
    <row r="256">
      <c r="H256" s="10" t="n"/>
      <c r="I256" s="9">
        <f>IF(H256="","",IF(E256="USD",H256*Parametros!$B$2,H256))</f>
        <v/>
      </c>
      <c r="J256" s="9">
        <f>IF(A256="","",IFERROR(VLOOKUP(A256,Partidas!$A$2:$E$201,4,FALSE),""))</f>
        <v/>
      </c>
      <c r="K256" s="9">
        <f>IF(A256="","",IFERROR(VLOOKUP(A256,Partidas!$A$2:$E$201,5,FALSE),""))</f>
        <v/>
      </c>
      <c r="L256" s="9">
        <f>IF(OR(I256="",G256=""),"",G256*I256)</f>
        <v/>
      </c>
      <c r="M256" s="9">
        <f>IF(OR(J256="",K256=""),"",J256*K256)</f>
        <v/>
      </c>
      <c r="N256" s="11">
        <f>IF(OR(I256="",K256="",K256=0),"",(I256-K256)/K256)</f>
        <v/>
      </c>
      <c r="O256" s="9">
        <f>IF(OR(G256="",J256=""),"",G256-J256)</f>
        <v/>
      </c>
    </row>
    <row r="257">
      <c r="H257" s="10" t="n"/>
      <c r="I257" s="9">
        <f>IF(H257="","",IF(E257="USD",H257*Parametros!$B$2,H257))</f>
        <v/>
      </c>
      <c r="J257" s="9">
        <f>IF(A257="","",IFERROR(VLOOKUP(A257,Partidas!$A$2:$E$201,4,FALSE),""))</f>
        <v/>
      </c>
      <c r="K257" s="9">
        <f>IF(A257="","",IFERROR(VLOOKUP(A257,Partidas!$A$2:$E$201,5,FALSE),""))</f>
        <v/>
      </c>
      <c r="L257" s="9">
        <f>IF(OR(I257="",G257=""),"",G257*I257)</f>
        <v/>
      </c>
      <c r="M257" s="9">
        <f>IF(OR(J257="",K257=""),"",J257*K257)</f>
        <v/>
      </c>
      <c r="N257" s="11">
        <f>IF(OR(I257="",K257="",K257=0),"",(I257-K257)/K257)</f>
        <v/>
      </c>
      <c r="O257" s="9">
        <f>IF(OR(G257="",J257=""),"",G257-J257)</f>
        <v/>
      </c>
    </row>
    <row r="258">
      <c r="H258" s="10" t="n"/>
      <c r="I258" s="9">
        <f>IF(H258="","",IF(E258="USD",H258*Parametros!$B$2,H258))</f>
        <v/>
      </c>
      <c r="J258" s="9">
        <f>IF(A258="","",IFERROR(VLOOKUP(A258,Partidas!$A$2:$E$201,4,FALSE),""))</f>
        <v/>
      </c>
      <c r="K258" s="9">
        <f>IF(A258="","",IFERROR(VLOOKUP(A258,Partidas!$A$2:$E$201,5,FALSE),""))</f>
        <v/>
      </c>
      <c r="L258" s="9">
        <f>IF(OR(I258="",G258=""),"",G258*I258)</f>
        <v/>
      </c>
      <c r="M258" s="9">
        <f>IF(OR(J258="",K258=""),"",J258*K258)</f>
        <v/>
      </c>
      <c r="N258" s="11">
        <f>IF(OR(I258="",K258="",K258=0),"",(I258-K258)/K258)</f>
        <v/>
      </c>
      <c r="O258" s="9">
        <f>IF(OR(G258="",J258=""),"",G258-J258)</f>
        <v/>
      </c>
    </row>
    <row r="259">
      <c r="H259" s="10" t="n"/>
      <c r="I259" s="9">
        <f>IF(H259="","",IF(E259="USD",H259*Parametros!$B$2,H259))</f>
        <v/>
      </c>
      <c r="J259" s="9">
        <f>IF(A259="","",IFERROR(VLOOKUP(A259,Partidas!$A$2:$E$201,4,FALSE),""))</f>
        <v/>
      </c>
      <c r="K259" s="9">
        <f>IF(A259="","",IFERROR(VLOOKUP(A259,Partidas!$A$2:$E$201,5,FALSE),""))</f>
        <v/>
      </c>
      <c r="L259" s="9">
        <f>IF(OR(I259="",G259=""),"",G259*I259)</f>
        <v/>
      </c>
      <c r="M259" s="9">
        <f>IF(OR(J259="",K259=""),"",J259*K259)</f>
        <v/>
      </c>
      <c r="N259" s="11">
        <f>IF(OR(I259="",K259="",K259=0),"",(I259-K259)/K259)</f>
        <v/>
      </c>
      <c r="O259" s="9">
        <f>IF(OR(G259="",J259=""),"",G259-J259)</f>
        <v/>
      </c>
    </row>
    <row r="260">
      <c r="H260" s="10" t="n"/>
      <c r="I260" s="9">
        <f>IF(H260="","",IF(E260="USD",H260*Parametros!$B$2,H260))</f>
        <v/>
      </c>
      <c r="J260" s="9">
        <f>IF(A260="","",IFERROR(VLOOKUP(A260,Partidas!$A$2:$E$201,4,FALSE),""))</f>
        <v/>
      </c>
      <c r="K260" s="9">
        <f>IF(A260="","",IFERROR(VLOOKUP(A260,Partidas!$A$2:$E$201,5,FALSE),""))</f>
        <v/>
      </c>
      <c r="L260" s="9">
        <f>IF(OR(I260="",G260=""),"",G260*I260)</f>
        <v/>
      </c>
      <c r="M260" s="9">
        <f>IF(OR(J260="",K260=""),"",J260*K260)</f>
        <v/>
      </c>
      <c r="N260" s="11">
        <f>IF(OR(I260="",K260="",K260=0),"",(I260-K260)/K260)</f>
        <v/>
      </c>
      <c r="O260" s="9">
        <f>IF(OR(G260="",J260=""),"",G260-J260)</f>
        <v/>
      </c>
    </row>
    <row r="261">
      <c r="H261" s="10" t="n"/>
      <c r="I261" s="9">
        <f>IF(H261="","",IF(E261="USD",H261*Parametros!$B$2,H261))</f>
        <v/>
      </c>
      <c r="J261" s="9">
        <f>IF(A261="","",IFERROR(VLOOKUP(A261,Partidas!$A$2:$E$201,4,FALSE),""))</f>
        <v/>
      </c>
      <c r="K261" s="9">
        <f>IF(A261="","",IFERROR(VLOOKUP(A261,Partidas!$A$2:$E$201,5,FALSE),""))</f>
        <v/>
      </c>
      <c r="L261" s="9">
        <f>IF(OR(I261="",G261=""),"",G261*I261)</f>
        <v/>
      </c>
      <c r="M261" s="9">
        <f>IF(OR(J261="",K261=""),"",J261*K261)</f>
        <v/>
      </c>
      <c r="N261" s="11">
        <f>IF(OR(I261="",K261="",K261=0),"",(I261-K261)/K261)</f>
        <v/>
      </c>
      <c r="O261" s="9">
        <f>IF(OR(G261="",J261=""),"",G261-J261)</f>
        <v/>
      </c>
    </row>
    <row r="262">
      <c r="H262" s="10" t="n"/>
      <c r="I262" s="9">
        <f>IF(H262="","",IF(E262="USD",H262*Parametros!$B$2,H262))</f>
        <v/>
      </c>
      <c r="J262" s="9">
        <f>IF(A262="","",IFERROR(VLOOKUP(A262,Partidas!$A$2:$E$201,4,FALSE),""))</f>
        <v/>
      </c>
      <c r="K262" s="9">
        <f>IF(A262="","",IFERROR(VLOOKUP(A262,Partidas!$A$2:$E$201,5,FALSE),""))</f>
        <v/>
      </c>
      <c r="L262" s="9">
        <f>IF(OR(I262="",G262=""),"",G262*I262)</f>
        <v/>
      </c>
      <c r="M262" s="9">
        <f>IF(OR(J262="",K262=""),"",J262*K262)</f>
        <v/>
      </c>
      <c r="N262" s="11">
        <f>IF(OR(I262="",K262="",K262=0),"",(I262-K262)/K262)</f>
        <v/>
      </c>
      <c r="O262" s="9">
        <f>IF(OR(G262="",J262=""),"",G262-J262)</f>
        <v/>
      </c>
    </row>
    <row r="263">
      <c r="H263" s="10" t="n"/>
      <c r="I263" s="9">
        <f>IF(H263="","",IF(E263="USD",H263*Parametros!$B$2,H263))</f>
        <v/>
      </c>
      <c r="J263" s="9">
        <f>IF(A263="","",IFERROR(VLOOKUP(A263,Partidas!$A$2:$E$201,4,FALSE),""))</f>
        <v/>
      </c>
      <c r="K263" s="9">
        <f>IF(A263="","",IFERROR(VLOOKUP(A263,Partidas!$A$2:$E$201,5,FALSE),""))</f>
        <v/>
      </c>
      <c r="L263" s="9">
        <f>IF(OR(I263="",G263=""),"",G263*I263)</f>
        <v/>
      </c>
      <c r="M263" s="9">
        <f>IF(OR(J263="",K263=""),"",J263*K263)</f>
        <v/>
      </c>
      <c r="N263" s="11">
        <f>IF(OR(I263="",K263="",K263=0),"",(I263-K263)/K263)</f>
        <v/>
      </c>
      <c r="O263" s="9">
        <f>IF(OR(G263="",J263=""),"",G263-J263)</f>
        <v/>
      </c>
    </row>
    <row r="264">
      <c r="H264" s="10" t="n"/>
      <c r="I264" s="9">
        <f>IF(H264="","",IF(E264="USD",H264*Parametros!$B$2,H264))</f>
        <v/>
      </c>
      <c r="J264" s="9">
        <f>IF(A264="","",IFERROR(VLOOKUP(A264,Partidas!$A$2:$E$201,4,FALSE),""))</f>
        <v/>
      </c>
      <c r="K264" s="9">
        <f>IF(A264="","",IFERROR(VLOOKUP(A264,Partidas!$A$2:$E$201,5,FALSE),""))</f>
        <v/>
      </c>
      <c r="L264" s="9">
        <f>IF(OR(I264="",G264=""),"",G264*I264)</f>
        <v/>
      </c>
      <c r="M264" s="9">
        <f>IF(OR(J264="",K264=""),"",J264*K264)</f>
        <v/>
      </c>
      <c r="N264" s="11">
        <f>IF(OR(I264="",K264="",K264=0),"",(I264-K264)/K264)</f>
        <v/>
      </c>
      <c r="O264" s="9">
        <f>IF(OR(G264="",J264=""),"",G264-J264)</f>
        <v/>
      </c>
    </row>
    <row r="265">
      <c r="H265" s="10" t="n"/>
      <c r="I265" s="9">
        <f>IF(H265="","",IF(E265="USD",H265*Parametros!$B$2,H265))</f>
        <v/>
      </c>
      <c r="J265" s="9">
        <f>IF(A265="","",IFERROR(VLOOKUP(A265,Partidas!$A$2:$E$201,4,FALSE),""))</f>
        <v/>
      </c>
      <c r="K265" s="9">
        <f>IF(A265="","",IFERROR(VLOOKUP(A265,Partidas!$A$2:$E$201,5,FALSE),""))</f>
        <v/>
      </c>
      <c r="L265" s="9">
        <f>IF(OR(I265="",G265=""),"",G265*I265)</f>
        <v/>
      </c>
      <c r="M265" s="9">
        <f>IF(OR(J265="",K265=""),"",J265*K265)</f>
        <v/>
      </c>
      <c r="N265" s="11">
        <f>IF(OR(I265="",K265="",K265=0),"",(I265-K265)/K265)</f>
        <v/>
      </c>
      <c r="O265" s="9">
        <f>IF(OR(G265="",J265=""),"",G265-J265)</f>
        <v/>
      </c>
    </row>
    <row r="266">
      <c r="H266" s="10" t="n"/>
      <c r="I266" s="9">
        <f>IF(H266="","",IF(E266="USD",H266*Parametros!$B$2,H266))</f>
        <v/>
      </c>
      <c r="J266" s="9">
        <f>IF(A266="","",IFERROR(VLOOKUP(A266,Partidas!$A$2:$E$201,4,FALSE),""))</f>
        <v/>
      </c>
      <c r="K266" s="9">
        <f>IF(A266="","",IFERROR(VLOOKUP(A266,Partidas!$A$2:$E$201,5,FALSE),""))</f>
        <v/>
      </c>
      <c r="L266" s="9">
        <f>IF(OR(I266="",G266=""),"",G266*I266)</f>
        <v/>
      </c>
      <c r="M266" s="9">
        <f>IF(OR(J266="",K266=""),"",J266*K266)</f>
        <v/>
      </c>
      <c r="N266" s="11">
        <f>IF(OR(I266="",K266="",K266=0),"",(I266-K266)/K266)</f>
        <v/>
      </c>
      <c r="O266" s="9">
        <f>IF(OR(G266="",J266=""),"",G266-J266)</f>
        <v/>
      </c>
    </row>
    <row r="267">
      <c r="H267" s="10" t="n"/>
      <c r="I267" s="9">
        <f>IF(H267="","",IF(E267="USD",H267*Parametros!$B$2,H267))</f>
        <v/>
      </c>
      <c r="J267" s="9">
        <f>IF(A267="","",IFERROR(VLOOKUP(A267,Partidas!$A$2:$E$201,4,FALSE),""))</f>
        <v/>
      </c>
      <c r="K267" s="9">
        <f>IF(A267="","",IFERROR(VLOOKUP(A267,Partidas!$A$2:$E$201,5,FALSE),""))</f>
        <v/>
      </c>
      <c r="L267" s="9">
        <f>IF(OR(I267="",G267=""),"",G267*I267)</f>
        <v/>
      </c>
      <c r="M267" s="9">
        <f>IF(OR(J267="",K267=""),"",J267*K267)</f>
        <v/>
      </c>
      <c r="N267" s="11">
        <f>IF(OR(I267="",K267="",K267=0),"",(I267-K267)/K267)</f>
        <v/>
      </c>
      <c r="O267" s="9">
        <f>IF(OR(G267="",J267=""),"",G267-J267)</f>
        <v/>
      </c>
    </row>
    <row r="268">
      <c r="H268" s="10" t="n"/>
      <c r="I268" s="9">
        <f>IF(H268="","",IF(E268="USD",H268*Parametros!$B$2,H268))</f>
        <v/>
      </c>
      <c r="J268" s="9">
        <f>IF(A268="","",IFERROR(VLOOKUP(A268,Partidas!$A$2:$E$201,4,FALSE),""))</f>
        <v/>
      </c>
      <c r="K268" s="9">
        <f>IF(A268="","",IFERROR(VLOOKUP(A268,Partidas!$A$2:$E$201,5,FALSE),""))</f>
        <v/>
      </c>
      <c r="L268" s="9">
        <f>IF(OR(I268="",G268=""),"",G268*I268)</f>
        <v/>
      </c>
      <c r="M268" s="9">
        <f>IF(OR(J268="",K268=""),"",J268*K268)</f>
        <v/>
      </c>
      <c r="N268" s="11">
        <f>IF(OR(I268="",K268="",K268=0),"",(I268-K268)/K268)</f>
        <v/>
      </c>
      <c r="O268" s="9">
        <f>IF(OR(G268="",J268=""),"",G268-J268)</f>
        <v/>
      </c>
    </row>
    <row r="269">
      <c r="H269" s="10" t="n"/>
      <c r="I269" s="9">
        <f>IF(H269="","",IF(E269="USD",H269*Parametros!$B$2,H269))</f>
        <v/>
      </c>
      <c r="J269" s="9">
        <f>IF(A269="","",IFERROR(VLOOKUP(A269,Partidas!$A$2:$E$201,4,FALSE),""))</f>
        <v/>
      </c>
      <c r="K269" s="9">
        <f>IF(A269="","",IFERROR(VLOOKUP(A269,Partidas!$A$2:$E$201,5,FALSE),""))</f>
        <v/>
      </c>
      <c r="L269" s="9">
        <f>IF(OR(I269="",G269=""),"",G269*I269)</f>
        <v/>
      </c>
      <c r="M269" s="9">
        <f>IF(OR(J269="",K269=""),"",J269*K269)</f>
        <v/>
      </c>
      <c r="N269" s="11">
        <f>IF(OR(I269="",K269="",K269=0),"",(I269-K269)/K269)</f>
        <v/>
      </c>
      <c r="O269" s="9">
        <f>IF(OR(G269="",J269=""),"",G269-J269)</f>
        <v/>
      </c>
    </row>
    <row r="270">
      <c r="H270" s="10" t="n"/>
      <c r="I270" s="9">
        <f>IF(H270="","",IF(E270="USD",H270*Parametros!$B$2,H270))</f>
        <v/>
      </c>
      <c r="J270" s="9">
        <f>IF(A270="","",IFERROR(VLOOKUP(A270,Partidas!$A$2:$E$201,4,FALSE),""))</f>
        <v/>
      </c>
      <c r="K270" s="9">
        <f>IF(A270="","",IFERROR(VLOOKUP(A270,Partidas!$A$2:$E$201,5,FALSE),""))</f>
        <v/>
      </c>
      <c r="L270" s="9">
        <f>IF(OR(I270="",G270=""),"",G270*I270)</f>
        <v/>
      </c>
      <c r="M270" s="9">
        <f>IF(OR(J270="",K270=""),"",J270*K270)</f>
        <v/>
      </c>
      <c r="N270" s="11">
        <f>IF(OR(I270="",K270="",K270=0),"",(I270-K270)/K270)</f>
        <v/>
      </c>
      <c r="O270" s="9">
        <f>IF(OR(G270="",J270=""),"",G270-J270)</f>
        <v/>
      </c>
    </row>
    <row r="271">
      <c r="H271" s="10" t="n"/>
      <c r="I271" s="9">
        <f>IF(H271="","",IF(E271="USD",H271*Parametros!$B$2,H271))</f>
        <v/>
      </c>
      <c r="J271" s="9">
        <f>IF(A271="","",IFERROR(VLOOKUP(A271,Partidas!$A$2:$E$201,4,FALSE),""))</f>
        <v/>
      </c>
      <c r="K271" s="9">
        <f>IF(A271="","",IFERROR(VLOOKUP(A271,Partidas!$A$2:$E$201,5,FALSE),""))</f>
        <v/>
      </c>
      <c r="L271" s="9">
        <f>IF(OR(I271="",G271=""),"",G271*I271)</f>
        <v/>
      </c>
      <c r="M271" s="9">
        <f>IF(OR(J271="",K271=""),"",J271*K271)</f>
        <v/>
      </c>
      <c r="N271" s="11">
        <f>IF(OR(I271="",K271="",K271=0),"",(I271-K271)/K271)</f>
        <v/>
      </c>
      <c r="O271" s="9">
        <f>IF(OR(G271="",J271=""),"",G271-J271)</f>
        <v/>
      </c>
    </row>
    <row r="272">
      <c r="H272" s="10" t="n"/>
      <c r="I272" s="9">
        <f>IF(H272="","",IF(E272="USD",H272*Parametros!$B$2,H272))</f>
        <v/>
      </c>
      <c r="J272" s="9">
        <f>IF(A272="","",IFERROR(VLOOKUP(A272,Partidas!$A$2:$E$201,4,FALSE),""))</f>
        <v/>
      </c>
      <c r="K272" s="9">
        <f>IF(A272="","",IFERROR(VLOOKUP(A272,Partidas!$A$2:$E$201,5,FALSE),""))</f>
        <v/>
      </c>
      <c r="L272" s="9">
        <f>IF(OR(I272="",G272=""),"",G272*I272)</f>
        <v/>
      </c>
      <c r="M272" s="9">
        <f>IF(OR(J272="",K272=""),"",J272*K272)</f>
        <v/>
      </c>
      <c r="N272" s="11">
        <f>IF(OR(I272="",K272="",K272=0),"",(I272-K272)/K272)</f>
        <v/>
      </c>
      <c r="O272" s="9">
        <f>IF(OR(G272="",J272=""),"",G272-J272)</f>
        <v/>
      </c>
    </row>
    <row r="273">
      <c r="H273" s="10" t="n"/>
      <c r="I273" s="9">
        <f>IF(H273="","",IF(E273="USD",H273*Parametros!$B$2,H273))</f>
        <v/>
      </c>
      <c r="J273" s="9">
        <f>IF(A273="","",IFERROR(VLOOKUP(A273,Partidas!$A$2:$E$201,4,FALSE),""))</f>
        <v/>
      </c>
      <c r="K273" s="9">
        <f>IF(A273="","",IFERROR(VLOOKUP(A273,Partidas!$A$2:$E$201,5,FALSE),""))</f>
        <v/>
      </c>
      <c r="L273" s="9">
        <f>IF(OR(I273="",G273=""),"",G273*I273)</f>
        <v/>
      </c>
      <c r="M273" s="9">
        <f>IF(OR(J273="",K273=""),"",J273*K273)</f>
        <v/>
      </c>
      <c r="N273" s="11">
        <f>IF(OR(I273="",K273="",K273=0),"",(I273-K273)/K273)</f>
        <v/>
      </c>
      <c r="O273" s="9">
        <f>IF(OR(G273="",J273=""),"",G273-J273)</f>
        <v/>
      </c>
    </row>
    <row r="274">
      <c r="H274" s="10" t="n"/>
      <c r="I274" s="9">
        <f>IF(H274="","",IF(E274="USD",H274*Parametros!$B$2,H274))</f>
        <v/>
      </c>
      <c r="J274" s="9">
        <f>IF(A274="","",IFERROR(VLOOKUP(A274,Partidas!$A$2:$E$201,4,FALSE),""))</f>
        <v/>
      </c>
      <c r="K274" s="9">
        <f>IF(A274="","",IFERROR(VLOOKUP(A274,Partidas!$A$2:$E$201,5,FALSE),""))</f>
        <v/>
      </c>
      <c r="L274" s="9">
        <f>IF(OR(I274="",G274=""),"",G274*I274)</f>
        <v/>
      </c>
      <c r="M274" s="9">
        <f>IF(OR(J274="",K274=""),"",J274*K274)</f>
        <v/>
      </c>
      <c r="N274" s="11">
        <f>IF(OR(I274="",K274="",K274=0),"",(I274-K274)/K274)</f>
        <v/>
      </c>
      <c r="O274" s="9">
        <f>IF(OR(G274="",J274=""),"",G274-J274)</f>
        <v/>
      </c>
    </row>
    <row r="275">
      <c r="H275" s="10" t="n"/>
      <c r="I275" s="9">
        <f>IF(H275="","",IF(E275="USD",H275*Parametros!$B$2,H275))</f>
        <v/>
      </c>
      <c r="J275" s="9">
        <f>IF(A275="","",IFERROR(VLOOKUP(A275,Partidas!$A$2:$E$201,4,FALSE),""))</f>
        <v/>
      </c>
      <c r="K275" s="9">
        <f>IF(A275="","",IFERROR(VLOOKUP(A275,Partidas!$A$2:$E$201,5,FALSE),""))</f>
        <v/>
      </c>
      <c r="L275" s="9">
        <f>IF(OR(I275="",G275=""),"",G275*I275)</f>
        <v/>
      </c>
      <c r="M275" s="9">
        <f>IF(OR(J275="",K275=""),"",J275*K275)</f>
        <v/>
      </c>
      <c r="N275" s="11">
        <f>IF(OR(I275="",K275="",K275=0),"",(I275-K275)/K275)</f>
        <v/>
      </c>
      <c r="O275" s="9">
        <f>IF(OR(G275="",J275=""),"",G275-J275)</f>
        <v/>
      </c>
    </row>
    <row r="276">
      <c r="H276" s="10" t="n"/>
      <c r="I276" s="9">
        <f>IF(H276="","",IF(E276="USD",H276*Parametros!$B$2,H276))</f>
        <v/>
      </c>
      <c r="J276" s="9">
        <f>IF(A276="","",IFERROR(VLOOKUP(A276,Partidas!$A$2:$E$201,4,FALSE),""))</f>
        <v/>
      </c>
      <c r="K276" s="9">
        <f>IF(A276="","",IFERROR(VLOOKUP(A276,Partidas!$A$2:$E$201,5,FALSE),""))</f>
        <v/>
      </c>
      <c r="L276" s="9">
        <f>IF(OR(I276="",G276=""),"",G276*I276)</f>
        <v/>
      </c>
      <c r="M276" s="9">
        <f>IF(OR(J276="",K276=""),"",J276*K276)</f>
        <v/>
      </c>
      <c r="N276" s="11">
        <f>IF(OR(I276="",K276="",K276=0),"",(I276-K276)/K276)</f>
        <v/>
      </c>
      <c r="O276" s="9">
        <f>IF(OR(G276="",J276=""),"",G276-J276)</f>
        <v/>
      </c>
    </row>
    <row r="277">
      <c r="H277" s="10" t="n"/>
      <c r="I277" s="9">
        <f>IF(H277="","",IF(E277="USD",H277*Parametros!$B$2,H277))</f>
        <v/>
      </c>
      <c r="J277" s="9">
        <f>IF(A277="","",IFERROR(VLOOKUP(A277,Partidas!$A$2:$E$201,4,FALSE),""))</f>
        <v/>
      </c>
      <c r="K277" s="9">
        <f>IF(A277="","",IFERROR(VLOOKUP(A277,Partidas!$A$2:$E$201,5,FALSE),""))</f>
        <v/>
      </c>
      <c r="L277" s="9">
        <f>IF(OR(I277="",G277=""),"",G277*I277)</f>
        <v/>
      </c>
      <c r="M277" s="9">
        <f>IF(OR(J277="",K277=""),"",J277*K277)</f>
        <v/>
      </c>
      <c r="N277" s="11">
        <f>IF(OR(I277="",K277="",K277=0),"",(I277-K277)/K277)</f>
        <v/>
      </c>
      <c r="O277" s="9">
        <f>IF(OR(G277="",J277=""),"",G277-J277)</f>
        <v/>
      </c>
    </row>
    <row r="278">
      <c r="H278" s="10" t="n"/>
      <c r="I278" s="9">
        <f>IF(H278="","",IF(E278="USD",H278*Parametros!$B$2,H278))</f>
        <v/>
      </c>
      <c r="J278" s="9">
        <f>IF(A278="","",IFERROR(VLOOKUP(A278,Partidas!$A$2:$E$201,4,FALSE),""))</f>
        <v/>
      </c>
      <c r="K278" s="9">
        <f>IF(A278="","",IFERROR(VLOOKUP(A278,Partidas!$A$2:$E$201,5,FALSE),""))</f>
        <v/>
      </c>
      <c r="L278" s="9">
        <f>IF(OR(I278="",G278=""),"",G278*I278)</f>
        <v/>
      </c>
      <c r="M278" s="9">
        <f>IF(OR(J278="",K278=""),"",J278*K278)</f>
        <v/>
      </c>
      <c r="N278" s="11">
        <f>IF(OR(I278="",K278="",K278=0),"",(I278-K278)/K278)</f>
        <v/>
      </c>
      <c r="O278" s="9">
        <f>IF(OR(G278="",J278=""),"",G278-J278)</f>
        <v/>
      </c>
    </row>
    <row r="279">
      <c r="H279" s="10" t="n"/>
      <c r="I279" s="9">
        <f>IF(H279="","",IF(E279="USD",H279*Parametros!$B$2,H279))</f>
        <v/>
      </c>
      <c r="J279" s="9">
        <f>IF(A279="","",IFERROR(VLOOKUP(A279,Partidas!$A$2:$E$201,4,FALSE),""))</f>
        <v/>
      </c>
      <c r="K279" s="9">
        <f>IF(A279="","",IFERROR(VLOOKUP(A279,Partidas!$A$2:$E$201,5,FALSE),""))</f>
        <v/>
      </c>
      <c r="L279" s="9">
        <f>IF(OR(I279="",G279=""),"",G279*I279)</f>
        <v/>
      </c>
      <c r="M279" s="9">
        <f>IF(OR(J279="",K279=""),"",J279*K279)</f>
        <v/>
      </c>
      <c r="N279" s="11">
        <f>IF(OR(I279="",K279="",K279=0),"",(I279-K279)/K279)</f>
        <v/>
      </c>
      <c r="O279" s="9">
        <f>IF(OR(G279="",J279=""),"",G279-J279)</f>
        <v/>
      </c>
    </row>
    <row r="280">
      <c r="H280" s="10" t="n"/>
      <c r="I280" s="9">
        <f>IF(H280="","",IF(E280="USD",H280*Parametros!$B$2,H280))</f>
        <v/>
      </c>
      <c r="J280" s="9">
        <f>IF(A280="","",IFERROR(VLOOKUP(A280,Partidas!$A$2:$E$201,4,FALSE),""))</f>
        <v/>
      </c>
      <c r="K280" s="9">
        <f>IF(A280="","",IFERROR(VLOOKUP(A280,Partidas!$A$2:$E$201,5,FALSE),""))</f>
        <v/>
      </c>
      <c r="L280" s="9">
        <f>IF(OR(I280="",G280=""),"",G280*I280)</f>
        <v/>
      </c>
      <c r="M280" s="9">
        <f>IF(OR(J280="",K280=""),"",J280*K280)</f>
        <v/>
      </c>
      <c r="N280" s="11">
        <f>IF(OR(I280="",K280="",K280=0),"",(I280-K280)/K280)</f>
        <v/>
      </c>
      <c r="O280" s="9">
        <f>IF(OR(G280="",J280=""),"",G280-J280)</f>
        <v/>
      </c>
    </row>
    <row r="281">
      <c r="H281" s="10" t="n"/>
      <c r="I281" s="9">
        <f>IF(H281="","",IF(E281="USD",H281*Parametros!$B$2,H281))</f>
        <v/>
      </c>
      <c r="J281" s="9">
        <f>IF(A281="","",IFERROR(VLOOKUP(A281,Partidas!$A$2:$E$201,4,FALSE),""))</f>
        <v/>
      </c>
      <c r="K281" s="9">
        <f>IF(A281="","",IFERROR(VLOOKUP(A281,Partidas!$A$2:$E$201,5,FALSE),""))</f>
        <v/>
      </c>
      <c r="L281" s="9">
        <f>IF(OR(I281="",G281=""),"",G281*I281)</f>
        <v/>
      </c>
      <c r="M281" s="9">
        <f>IF(OR(J281="",K281=""),"",J281*K281)</f>
        <v/>
      </c>
      <c r="N281" s="11">
        <f>IF(OR(I281="",K281="",K281=0),"",(I281-K281)/K281)</f>
        <v/>
      </c>
      <c r="O281" s="9">
        <f>IF(OR(G281="",J281=""),"",G281-J281)</f>
        <v/>
      </c>
    </row>
    <row r="282">
      <c r="H282" s="10" t="n"/>
      <c r="I282" s="9">
        <f>IF(H282="","",IF(E282="USD",H282*Parametros!$B$2,H282))</f>
        <v/>
      </c>
      <c r="J282" s="9">
        <f>IF(A282="","",IFERROR(VLOOKUP(A282,Partidas!$A$2:$E$201,4,FALSE),""))</f>
        <v/>
      </c>
      <c r="K282" s="9">
        <f>IF(A282="","",IFERROR(VLOOKUP(A282,Partidas!$A$2:$E$201,5,FALSE),""))</f>
        <v/>
      </c>
      <c r="L282" s="9">
        <f>IF(OR(I282="",G282=""),"",G282*I282)</f>
        <v/>
      </c>
      <c r="M282" s="9">
        <f>IF(OR(J282="",K282=""),"",J282*K282)</f>
        <v/>
      </c>
      <c r="N282" s="11">
        <f>IF(OR(I282="",K282="",K282=0),"",(I282-K282)/K282)</f>
        <v/>
      </c>
      <c r="O282" s="9">
        <f>IF(OR(G282="",J282=""),"",G282-J282)</f>
        <v/>
      </c>
    </row>
    <row r="283">
      <c r="H283" s="10" t="n"/>
      <c r="I283" s="9">
        <f>IF(H283="","",IF(E283="USD",H283*Parametros!$B$2,H283))</f>
        <v/>
      </c>
      <c r="J283" s="9">
        <f>IF(A283="","",IFERROR(VLOOKUP(A283,Partidas!$A$2:$E$201,4,FALSE),""))</f>
        <v/>
      </c>
      <c r="K283" s="9">
        <f>IF(A283="","",IFERROR(VLOOKUP(A283,Partidas!$A$2:$E$201,5,FALSE),""))</f>
        <v/>
      </c>
      <c r="L283" s="9">
        <f>IF(OR(I283="",G283=""),"",G283*I283)</f>
        <v/>
      </c>
      <c r="M283" s="9">
        <f>IF(OR(J283="",K283=""),"",J283*K283)</f>
        <v/>
      </c>
      <c r="N283" s="11">
        <f>IF(OR(I283="",K283="",K283=0),"",(I283-K283)/K283)</f>
        <v/>
      </c>
      <c r="O283" s="9">
        <f>IF(OR(G283="",J283=""),"",G283-J283)</f>
        <v/>
      </c>
    </row>
    <row r="284">
      <c r="H284" s="10" t="n"/>
      <c r="I284" s="9">
        <f>IF(H284="","",IF(E284="USD",H284*Parametros!$B$2,H284))</f>
        <v/>
      </c>
      <c r="J284" s="9">
        <f>IF(A284="","",IFERROR(VLOOKUP(A284,Partidas!$A$2:$E$201,4,FALSE),""))</f>
        <v/>
      </c>
      <c r="K284" s="9">
        <f>IF(A284="","",IFERROR(VLOOKUP(A284,Partidas!$A$2:$E$201,5,FALSE),""))</f>
        <v/>
      </c>
      <c r="L284" s="9">
        <f>IF(OR(I284="",G284=""),"",G284*I284)</f>
        <v/>
      </c>
      <c r="M284" s="9">
        <f>IF(OR(J284="",K284=""),"",J284*K284)</f>
        <v/>
      </c>
      <c r="N284" s="11">
        <f>IF(OR(I284="",K284="",K284=0),"",(I284-K284)/K284)</f>
        <v/>
      </c>
      <c r="O284" s="9">
        <f>IF(OR(G284="",J284=""),"",G284-J284)</f>
        <v/>
      </c>
    </row>
    <row r="285">
      <c r="H285" s="10" t="n"/>
      <c r="I285" s="9">
        <f>IF(H285="","",IF(E285="USD",H285*Parametros!$B$2,H285))</f>
        <v/>
      </c>
      <c r="J285" s="9">
        <f>IF(A285="","",IFERROR(VLOOKUP(A285,Partidas!$A$2:$E$201,4,FALSE),""))</f>
        <v/>
      </c>
      <c r="K285" s="9">
        <f>IF(A285="","",IFERROR(VLOOKUP(A285,Partidas!$A$2:$E$201,5,FALSE),""))</f>
        <v/>
      </c>
      <c r="L285" s="9">
        <f>IF(OR(I285="",G285=""),"",G285*I285)</f>
        <v/>
      </c>
      <c r="M285" s="9">
        <f>IF(OR(J285="",K285=""),"",J285*K285)</f>
        <v/>
      </c>
      <c r="N285" s="11">
        <f>IF(OR(I285="",K285="",K285=0),"",(I285-K285)/K285)</f>
        <v/>
      </c>
      <c r="O285" s="9">
        <f>IF(OR(G285="",J285=""),"",G285-J285)</f>
        <v/>
      </c>
    </row>
    <row r="286">
      <c r="H286" s="10" t="n"/>
      <c r="I286" s="9">
        <f>IF(H286="","",IF(E286="USD",H286*Parametros!$B$2,H286))</f>
        <v/>
      </c>
      <c r="J286" s="9">
        <f>IF(A286="","",IFERROR(VLOOKUP(A286,Partidas!$A$2:$E$201,4,FALSE),""))</f>
        <v/>
      </c>
      <c r="K286" s="9">
        <f>IF(A286="","",IFERROR(VLOOKUP(A286,Partidas!$A$2:$E$201,5,FALSE),""))</f>
        <v/>
      </c>
      <c r="L286" s="9">
        <f>IF(OR(I286="",G286=""),"",G286*I286)</f>
        <v/>
      </c>
      <c r="M286" s="9">
        <f>IF(OR(J286="",K286=""),"",J286*K286)</f>
        <v/>
      </c>
      <c r="N286" s="11">
        <f>IF(OR(I286="",K286="",K286=0),"",(I286-K286)/K286)</f>
        <v/>
      </c>
      <c r="O286" s="9">
        <f>IF(OR(G286="",J286=""),"",G286-J286)</f>
        <v/>
      </c>
    </row>
    <row r="287">
      <c r="H287" s="10" t="n"/>
      <c r="I287" s="9">
        <f>IF(H287="","",IF(E287="USD",H287*Parametros!$B$2,H287))</f>
        <v/>
      </c>
      <c r="J287" s="9">
        <f>IF(A287="","",IFERROR(VLOOKUP(A287,Partidas!$A$2:$E$201,4,FALSE),""))</f>
        <v/>
      </c>
      <c r="K287" s="9">
        <f>IF(A287="","",IFERROR(VLOOKUP(A287,Partidas!$A$2:$E$201,5,FALSE),""))</f>
        <v/>
      </c>
      <c r="L287" s="9">
        <f>IF(OR(I287="",G287=""),"",G287*I287)</f>
        <v/>
      </c>
      <c r="M287" s="9">
        <f>IF(OR(J287="",K287=""),"",J287*K287)</f>
        <v/>
      </c>
      <c r="N287" s="11">
        <f>IF(OR(I287="",K287="",K287=0),"",(I287-K287)/K287)</f>
        <v/>
      </c>
      <c r="O287" s="9">
        <f>IF(OR(G287="",J287=""),"",G287-J287)</f>
        <v/>
      </c>
    </row>
    <row r="288">
      <c r="H288" s="10" t="n"/>
      <c r="I288" s="9">
        <f>IF(H288="","",IF(E288="USD",H288*Parametros!$B$2,H288))</f>
        <v/>
      </c>
      <c r="J288" s="9">
        <f>IF(A288="","",IFERROR(VLOOKUP(A288,Partidas!$A$2:$E$201,4,FALSE),""))</f>
        <v/>
      </c>
      <c r="K288" s="9">
        <f>IF(A288="","",IFERROR(VLOOKUP(A288,Partidas!$A$2:$E$201,5,FALSE),""))</f>
        <v/>
      </c>
      <c r="L288" s="9">
        <f>IF(OR(I288="",G288=""),"",G288*I288)</f>
        <v/>
      </c>
      <c r="M288" s="9">
        <f>IF(OR(J288="",K288=""),"",J288*K288)</f>
        <v/>
      </c>
      <c r="N288" s="11">
        <f>IF(OR(I288="",K288="",K288=0),"",(I288-K288)/K288)</f>
        <v/>
      </c>
      <c r="O288" s="9">
        <f>IF(OR(G288="",J288=""),"",G288-J288)</f>
        <v/>
      </c>
    </row>
    <row r="289">
      <c r="H289" s="10" t="n"/>
      <c r="I289" s="9">
        <f>IF(H289="","",IF(E289="USD",H289*Parametros!$B$2,H289))</f>
        <v/>
      </c>
      <c r="J289" s="9">
        <f>IF(A289="","",IFERROR(VLOOKUP(A289,Partidas!$A$2:$E$201,4,FALSE),""))</f>
        <v/>
      </c>
      <c r="K289" s="9">
        <f>IF(A289="","",IFERROR(VLOOKUP(A289,Partidas!$A$2:$E$201,5,FALSE),""))</f>
        <v/>
      </c>
      <c r="L289" s="9">
        <f>IF(OR(I289="",G289=""),"",G289*I289)</f>
        <v/>
      </c>
      <c r="M289" s="9">
        <f>IF(OR(J289="",K289=""),"",J289*K289)</f>
        <v/>
      </c>
      <c r="N289" s="11">
        <f>IF(OR(I289="",K289="",K289=0),"",(I289-K289)/K289)</f>
        <v/>
      </c>
      <c r="O289" s="9">
        <f>IF(OR(G289="",J289=""),"",G289-J289)</f>
        <v/>
      </c>
    </row>
    <row r="290">
      <c r="H290" s="10" t="n"/>
      <c r="I290" s="9">
        <f>IF(H290="","",IF(E290="USD",H290*Parametros!$B$2,H290))</f>
        <v/>
      </c>
      <c r="J290" s="9">
        <f>IF(A290="","",IFERROR(VLOOKUP(A290,Partidas!$A$2:$E$201,4,FALSE),""))</f>
        <v/>
      </c>
      <c r="K290" s="9">
        <f>IF(A290="","",IFERROR(VLOOKUP(A290,Partidas!$A$2:$E$201,5,FALSE),""))</f>
        <v/>
      </c>
      <c r="L290" s="9">
        <f>IF(OR(I290="",G290=""),"",G290*I290)</f>
        <v/>
      </c>
      <c r="M290" s="9">
        <f>IF(OR(J290="",K290=""),"",J290*K290)</f>
        <v/>
      </c>
      <c r="N290" s="11">
        <f>IF(OR(I290="",K290="",K290=0),"",(I290-K290)/K290)</f>
        <v/>
      </c>
      <c r="O290" s="9">
        <f>IF(OR(G290="",J290=""),"",G290-J290)</f>
        <v/>
      </c>
    </row>
    <row r="291">
      <c r="H291" s="10" t="n"/>
      <c r="I291" s="9">
        <f>IF(H291="","",IF(E291="USD",H291*Parametros!$B$2,H291))</f>
        <v/>
      </c>
      <c r="J291" s="9">
        <f>IF(A291="","",IFERROR(VLOOKUP(A291,Partidas!$A$2:$E$201,4,FALSE),""))</f>
        <v/>
      </c>
      <c r="K291" s="9">
        <f>IF(A291="","",IFERROR(VLOOKUP(A291,Partidas!$A$2:$E$201,5,FALSE),""))</f>
        <v/>
      </c>
      <c r="L291" s="9">
        <f>IF(OR(I291="",G291=""),"",G291*I291)</f>
        <v/>
      </c>
      <c r="M291" s="9">
        <f>IF(OR(J291="",K291=""),"",J291*K291)</f>
        <v/>
      </c>
      <c r="N291" s="11">
        <f>IF(OR(I291="",K291="",K291=0),"",(I291-K291)/K291)</f>
        <v/>
      </c>
      <c r="O291" s="9">
        <f>IF(OR(G291="",J291=""),"",G291-J291)</f>
        <v/>
      </c>
    </row>
    <row r="292">
      <c r="H292" s="10" t="n"/>
      <c r="I292" s="9">
        <f>IF(H292="","",IF(E292="USD",H292*Parametros!$B$2,H292))</f>
        <v/>
      </c>
      <c r="J292" s="9">
        <f>IF(A292="","",IFERROR(VLOOKUP(A292,Partidas!$A$2:$E$201,4,FALSE),""))</f>
        <v/>
      </c>
      <c r="K292" s="9">
        <f>IF(A292="","",IFERROR(VLOOKUP(A292,Partidas!$A$2:$E$201,5,FALSE),""))</f>
        <v/>
      </c>
      <c r="L292" s="9">
        <f>IF(OR(I292="",G292=""),"",G292*I292)</f>
        <v/>
      </c>
      <c r="M292" s="9">
        <f>IF(OR(J292="",K292=""),"",J292*K292)</f>
        <v/>
      </c>
      <c r="N292" s="11">
        <f>IF(OR(I292="",K292="",K292=0),"",(I292-K292)/K292)</f>
        <v/>
      </c>
      <c r="O292" s="9">
        <f>IF(OR(G292="",J292=""),"",G292-J292)</f>
        <v/>
      </c>
    </row>
    <row r="293">
      <c r="H293" s="10" t="n"/>
      <c r="I293" s="9">
        <f>IF(H293="","",IF(E293="USD",H293*Parametros!$B$2,H293))</f>
        <v/>
      </c>
      <c r="J293" s="9">
        <f>IF(A293="","",IFERROR(VLOOKUP(A293,Partidas!$A$2:$E$201,4,FALSE),""))</f>
        <v/>
      </c>
      <c r="K293" s="9">
        <f>IF(A293="","",IFERROR(VLOOKUP(A293,Partidas!$A$2:$E$201,5,FALSE),""))</f>
        <v/>
      </c>
      <c r="L293" s="9">
        <f>IF(OR(I293="",G293=""),"",G293*I293)</f>
        <v/>
      </c>
      <c r="M293" s="9">
        <f>IF(OR(J293="",K293=""),"",J293*K293)</f>
        <v/>
      </c>
      <c r="N293" s="11">
        <f>IF(OR(I293="",K293="",K293=0),"",(I293-K293)/K293)</f>
        <v/>
      </c>
      <c r="O293" s="9">
        <f>IF(OR(G293="",J293=""),"",G293-J293)</f>
        <v/>
      </c>
    </row>
    <row r="294">
      <c r="H294" s="10" t="n"/>
      <c r="I294" s="9">
        <f>IF(H294="","",IF(E294="USD",H294*Parametros!$B$2,H294))</f>
        <v/>
      </c>
      <c r="J294" s="9">
        <f>IF(A294="","",IFERROR(VLOOKUP(A294,Partidas!$A$2:$E$201,4,FALSE),""))</f>
        <v/>
      </c>
      <c r="K294" s="9">
        <f>IF(A294="","",IFERROR(VLOOKUP(A294,Partidas!$A$2:$E$201,5,FALSE),""))</f>
        <v/>
      </c>
      <c r="L294" s="9">
        <f>IF(OR(I294="",G294=""),"",G294*I294)</f>
        <v/>
      </c>
      <c r="M294" s="9">
        <f>IF(OR(J294="",K294=""),"",J294*K294)</f>
        <v/>
      </c>
      <c r="N294" s="11">
        <f>IF(OR(I294="",K294="",K294=0),"",(I294-K294)/K294)</f>
        <v/>
      </c>
      <c r="O294" s="9">
        <f>IF(OR(G294="",J294=""),"",G294-J294)</f>
        <v/>
      </c>
    </row>
    <row r="295">
      <c r="H295" s="10" t="n"/>
      <c r="I295" s="9">
        <f>IF(H295="","",IF(E295="USD",H295*Parametros!$B$2,H295))</f>
        <v/>
      </c>
      <c r="J295" s="9">
        <f>IF(A295="","",IFERROR(VLOOKUP(A295,Partidas!$A$2:$E$201,4,FALSE),""))</f>
        <v/>
      </c>
      <c r="K295" s="9">
        <f>IF(A295="","",IFERROR(VLOOKUP(A295,Partidas!$A$2:$E$201,5,FALSE),""))</f>
        <v/>
      </c>
      <c r="L295" s="9">
        <f>IF(OR(I295="",G295=""),"",G295*I295)</f>
        <v/>
      </c>
      <c r="M295" s="9">
        <f>IF(OR(J295="",K295=""),"",J295*K295)</f>
        <v/>
      </c>
      <c r="N295" s="11">
        <f>IF(OR(I295="",K295="",K295=0),"",(I295-K295)/K295)</f>
        <v/>
      </c>
      <c r="O295" s="9">
        <f>IF(OR(G295="",J295=""),"",G295-J295)</f>
        <v/>
      </c>
    </row>
    <row r="296">
      <c r="H296" s="10" t="n"/>
      <c r="I296" s="9">
        <f>IF(H296="","",IF(E296="USD",H296*Parametros!$B$2,H296))</f>
        <v/>
      </c>
      <c r="J296" s="9">
        <f>IF(A296="","",IFERROR(VLOOKUP(A296,Partidas!$A$2:$E$201,4,FALSE),""))</f>
        <v/>
      </c>
      <c r="K296" s="9">
        <f>IF(A296="","",IFERROR(VLOOKUP(A296,Partidas!$A$2:$E$201,5,FALSE),""))</f>
        <v/>
      </c>
      <c r="L296" s="9">
        <f>IF(OR(I296="",G296=""),"",G296*I296)</f>
        <v/>
      </c>
      <c r="M296" s="9">
        <f>IF(OR(J296="",K296=""),"",J296*K296)</f>
        <v/>
      </c>
      <c r="N296" s="11">
        <f>IF(OR(I296="",K296="",K296=0),"",(I296-K296)/K296)</f>
        <v/>
      </c>
      <c r="O296" s="9">
        <f>IF(OR(G296="",J296=""),"",G296-J296)</f>
        <v/>
      </c>
    </row>
    <row r="297">
      <c r="H297" s="10" t="n"/>
      <c r="I297" s="9">
        <f>IF(H297="","",IF(E297="USD",H297*Parametros!$B$2,H297))</f>
        <v/>
      </c>
      <c r="J297" s="9">
        <f>IF(A297="","",IFERROR(VLOOKUP(A297,Partidas!$A$2:$E$201,4,FALSE),""))</f>
        <v/>
      </c>
      <c r="K297" s="9">
        <f>IF(A297="","",IFERROR(VLOOKUP(A297,Partidas!$A$2:$E$201,5,FALSE),""))</f>
        <v/>
      </c>
      <c r="L297" s="9">
        <f>IF(OR(I297="",G297=""),"",G297*I297)</f>
        <v/>
      </c>
      <c r="M297" s="9">
        <f>IF(OR(J297="",K297=""),"",J297*K297)</f>
        <v/>
      </c>
      <c r="N297" s="11">
        <f>IF(OR(I297="",K297="",K297=0),"",(I297-K297)/K297)</f>
        <v/>
      </c>
      <c r="O297" s="9">
        <f>IF(OR(G297="",J297=""),"",G297-J297)</f>
        <v/>
      </c>
    </row>
    <row r="298">
      <c r="H298" s="10" t="n"/>
      <c r="I298" s="9">
        <f>IF(H298="","",IF(E298="USD",H298*Parametros!$B$2,H298))</f>
        <v/>
      </c>
      <c r="J298" s="9">
        <f>IF(A298="","",IFERROR(VLOOKUP(A298,Partidas!$A$2:$E$201,4,FALSE),""))</f>
        <v/>
      </c>
      <c r="K298" s="9">
        <f>IF(A298="","",IFERROR(VLOOKUP(A298,Partidas!$A$2:$E$201,5,FALSE),""))</f>
        <v/>
      </c>
      <c r="L298" s="9">
        <f>IF(OR(I298="",G298=""),"",G298*I298)</f>
        <v/>
      </c>
      <c r="M298" s="9">
        <f>IF(OR(J298="",K298=""),"",J298*K298)</f>
        <v/>
      </c>
      <c r="N298" s="11">
        <f>IF(OR(I298="",K298="",K298=0),"",(I298-K298)/K298)</f>
        <v/>
      </c>
      <c r="O298" s="9">
        <f>IF(OR(G298="",J298=""),"",G298-J298)</f>
        <v/>
      </c>
    </row>
    <row r="299">
      <c r="H299" s="10" t="n"/>
      <c r="I299" s="9">
        <f>IF(H299="","",IF(E299="USD",H299*Parametros!$B$2,H299))</f>
        <v/>
      </c>
      <c r="J299" s="9">
        <f>IF(A299="","",IFERROR(VLOOKUP(A299,Partidas!$A$2:$E$201,4,FALSE),""))</f>
        <v/>
      </c>
      <c r="K299" s="9">
        <f>IF(A299="","",IFERROR(VLOOKUP(A299,Partidas!$A$2:$E$201,5,FALSE),""))</f>
        <v/>
      </c>
      <c r="L299" s="9">
        <f>IF(OR(I299="",G299=""),"",G299*I299)</f>
        <v/>
      </c>
      <c r="M299" s="9">
        <f>IF(OR(J299="",K299=""),"",J299*K299)</f>
        <v/>
      </c>
      <c r="N299" s="11">
        <f>IF(OR(I299="",K299="",K299=0),"",(I299-K299)/K299)</f>
        <v/>
      </c>
      <c r="O299" s="9">
        <f>IF(OR(G299="",J299=""),"",G299-J299)</f>
        <v/>
      </c>
    </row>
    <row r="300">
      <c r="H300" s="10" t="n"/>
      <c r="I300" s="9">
        <f>IF(H300="","",IF(E300="USD",H300*Parametros!$B$2,H300))</f>
        <v/>
      </c>
      <c r="J300" s="9">
        <f>IF(A300="","",IFERROR(VLOOKUP(A300,Partidas!$A$2:$E$201,4,FALSE),""))</f>
        <v/>
      </c>
      <c r="K300" s="9">
        <f>IF(A300="","",IFERROR(VLOOKUP(A300,Partidas!$A$2:$E$201,5,FALSE),""))</f>
        <v/>
      </c>
      <c r="L300" s="9">
        <f>IF(OR(I300="",G300=""),"",G300*I300)</f>
        <v/>
      </c>
      <c r="M300" s="9">
        <f>IF(OR(J300="",K300=""),"",J300*K300)</f>
        <v/>
      </c>
      <c r="N300" s="11">
        <f>IF(OR(I300="",K300="",K300=0),"",(I300-K300)/K300)</f>
        <v/>
      </c>
      <c r="O300" s="9">
        <f>IF(OR(G300="",J300=""),"",G300-J300)</f>
        <v/>
      </c>
    </row>
    <row r="301">
      <c r="H301" s="10" t="n"/>
      <c r="I301" s="9">
        <f>IF(H301="","",IF(E301="USD",H301*Parametros!$B$2,H301))</f>
        <v/>
      </c>
      <c r="J301" s="9">
        <f>IF(A301="","",IFERROR(VLOOKUP(A301,Partidas!$A$2:$E$201,4,FALSE),""))</f>
        <v/>
      </c>
      <c r="K301" s="9">
        <f>IF(A301="","",IFERROR(VLOOKUP(A301,Partidas!$A$2:$E$201,5,FALSE),""))</f>
        <v/>
      </c>
      <c r="L301" s="9">
        <f>IF(OR(I301="",G301=""),"",G301*I301)</f>
        <v/>
      </c>
      <c r="M301" s="9">
        <f>IF(OR(J301="",K301=""),"",J301*K301)</f>
        <v/>
      </c>
      <c r="N301" s="11">
        <f>IF(OR(I301="",K301="",K301=0),"",(I301-K301)/K301)</f>
        <v/>
      </c>
      <c r="O301" s="9">
        <f>IF(OR(G301="",J301=""),"",G301-J301)</f>
        <v/>
      </c>
    </row>
    <row r="302">
      <c r="H302" s="10" t="n"/>
      <c r="I302" s="9">
        <f>IF(H302="","",IF(E302="USD",H302*Parametros!$B$2,H302))</f>
        <v/>
      </c>
      <c r="J302" s="9">
        <f>IF(A302="","",IFERROR(VLOOKUP(A302,Partidas!$A$2:$E$201,4,FALSE),""))</f>
        <v/>
      </c>
      <c r="K302" s="9">
        <f>IF(A302="","",IFERROR(VLOOKUP(A302,Partidas!$A$2:$E$201,5,FALSE),""))</f>
        <v/>
      </c>
      <c r="L302" s="9">
        <f>IF(OR(I302="",G302=""),"",G302*I302)</f>
        <v/>
      </c>
      <c r="M302" s="9">
        <f>IF(OR(J302="",K302=""),"",J302*K302)</f>
        <v/>
      </c>
      <c r="N302" s="11">
        <f>IF(OR(I302="",K302="",K302=0),"",(I302-K302)/K302)</f>
        <v/>
      </c>
      <c r="O302" s="9">
        <f>IF(OR(G302="",J302=""),"",G302-J302)</f>
        <v/>
      </c>
    </row>
    <row r="303">
      <c r="H303" s="10" t="n"/>
      <c r="I303" s="9">
        <f>IF(H303="","",IF(E303="USD",H303*Parametros!$B$2,H303))</f>
        <v/>
      </c>
      <c r="J303" s="9">
        <f>IF(A303="","",IFERROR(VLOOKUP(A303,Partidas!$A$2:$E$201,4,FALSE),""))</f>
        <v/>
      </c>
      <c r="K303" s="9">
        <f>IF(A303="","",IFERROR(VLOOKUP(A303,Partidas!$A$2:$E$201,5,FALSE),""))</f>
        <v/>
      </c>
      <c r="L303" s="9">
        <f>IF(OR(I303="",G303=""),"",G303*I303)</f>
        <v/>
      </c>
      <c r="M303" s="9">
        <f>IF(OR(J303="",K303=""),"",J303*K303)</f>
        <v/>
      </c>
      <c r="N303" s="11">
        <f>IF(OR(I303="",K303="",K303=0),"",(I303-K303)/K303)</f>
        <v/>
      </c>
      <c r="O303" s="9">
        <f>IF(OR(G303="",J303=""),"",G303-J303)</f>
        <v/>
      </c>
    </row>
    <row r="304">
      <c r="H304" s="10" t="n"/>
      <c r="I304" s="9">
        <f>IF(H304="","",IF(E304="USD",H304*Parametros!$B$2,H304))</f>
        <v/>
      </c>
      <c r="J304" s="9">
        <f>IF(A304="","",IFERROR(VLOOKUP(A304,Partidas!$A$2:$E$201,4,FALSE),""))</f>
        <v/>
      </c>
      <c r="K304" s="9">
        <f>IF(A304="","",IFERROR(VLOOKUP(A304,Partidas!$A$2:$E$201,5,FALSE),""))</f>
        <v/>
      </c>
      <c r="L304" s="9">
        <f>IF(OR(I304="",G304=""),"",G304*I304)</f>
        <v/>
      </c>
      <c r="M304" s="9">
        <f>IF(OR(J304="",K304=""),"",J304*K304)</f>
        <v/>
      </c>
      <c r="N304" s="11">
        <f>IF(OR(I304="",K304="",K304=0),"",(I304-K304)/K304)</f>
        <v/>
      </c>
      <c r="O304" s="9">
        <f>IF(OR(G304="",J304=""),"",G304-J304)</f>
        <v/>
      </c>
    </row>
    <row r="305">
      <c r="H305" s="10" t="n"/>
      <c r="I305" s="9">
        <f>IF(H305="","",IF(E305="USD",H305*Parametros!$B$2,H305))</f>
        <v/>
      </c>
      <c r="J305" s="9">
        <f>IF(A305="","",IFERROR(VLOOKUP(A305,Partidas!$A$2:$E$201,4,FALSE),""))</f>
        <v/>
      </c>
      <c r="K305" s="9">
        <f>IF(A305="","",IFERROR(VLOOKUP(A305,Partidas!$A$2:$E$201,5,FALSE),""))</f>
        <v/>
      </c>
      <c r="L305" s="9">
        <f>IF(OR(I305="",G305=""),"",G305*I305)</f>
        <v/>
      </c>
      <c r="M305" s="9">
        <f>IF(OR(J305="",K305=""),"",J305*K305)</f>
        <v/>
      </c>
      <c r="N305" s="11">
        <f>IF(OR(I305="",K305="",K305=0),"",(I305-K305)/K305)</f>
        <v/>
      </c>
      <c r="O305" s="9">
        <f>IF(OR(G305="",J305=""),"",G305-J305)</f>
        <v/>
      </c>
    </row>
    <row r="306">
      <c r="H306" s="10" t="n"/>
      <c r="I306" s="9">
        <f>IF(H306="","",IF(E306="USD",H306*Parametros!$B$2,H306))</f>
        <v/>
      </c>
      <c r="J306" s="9">
        <f>IF(A306="","",IFERROR(VLOOKUP(A306,Partidas!$A$2:$E$201,4,FALSE),""))</f>
        <v/>
      </c>
      <c r="K306" s="9">
        <f>IF(A306="","",IFERROR(VLOOKUP(A306,Partidas!$A$2:$E$201,5,FALSE),""))</f>
        <v/>
      </c>
      <c r="L306" s="9">
        <f>IF(OR(I306="",G306=""),"",G306*I306)</f>
        <v/>
      </c>
      <c r="M306" s="9">
        <f>IF(OR(J306="",K306=""),"",J306*K306)</f>
        <v/>
      </c>
      <c r="N306" s="11">
        <f>IF(OR(I306="",K306="",K306=0),"",(I306-K306)/K306)</f>
        <v/>
      </c>
      <c r="O306" s="9">
        <f>IF(OR(G306="",J306=""),"",G306-J306)</f>
        <v/>
      </c>
    </row>
    <row r="307">
      <c r="H307" s="10" t="n"/>
      <c r="I307" s="9">
        <f>IF(H307="","",IF(E307="USD",H307*Parametros!$B$2,H307))</f>
        <v/>
      </c>
      <c r="J307" s="9">
        <f>IF(A307="","",IFERROR(VLOOKUP(A307,Partidas!$A$2:$E$201,4,FALSE),""))</f>
        <v/>
      </c>
      <c r="K307" s="9">
        <f>IF(A307="","",IFERROR(VLOOKUP(A307,Partidas!$A$2:$E$201,5,FALSE),""))</f>
        <v/>
      </c>
      <c r="L307" s="9">
        <f>IF(OR(I307="",G307=""),"",G307*I307)</f>
        <v/>
      </c>
      <c r="M307" s="9">
        <f>IF(OR(J307="",K307=""),"",J307*K307)</f>
        <v/>
      </c>
      <c r="N307" s="11">
        <f>IF(OR(I307="",K307="",K307=0),"",(I307-K307)/K307)</f>
        <v/>
      </c>
      <c r="O307" s="9">
        <f>IF(OR(G307="",J307=""),"",G307-J307)</f>
        <v/>
      </c>
    </row>
    <row r="308">
      <c r="H308" s="10" t="n"/>
      <c r="I308" s="9">
        <f>IF(H308="","",IF(E308="USD",H308*Parametros!$B$2,H308))</f>
        <v/>
      </c>
      <c r="J308" s="9">
        <f>IF(A308="","",IFERROR(VLOOKUP(A308,Partidas!$A$2:$E$201,4,FALSE),""))</f>
        <v/>
      </c>
      <c r="K308" s="9">
        <f>IF(A308="","",IFERROR(VLOOKUP(A308,Partidas!$A$2:$E$201,5,FALSE),""))</f>
        <v/>
      </c>
      <c r="L308" s="9">
        <f>IF(OR(I308="",G308=""),"",G308*I308)</f>
        <v/>
      </c>
      <c r="M308" s="9">
        <f>IF(OR(J308="",K308=""),"",J308*K308)</f>
        <v/>
      </c>
      <c r="N308" s="11">
        <f>IF(OR(I308="",K308="",K308=0),"",(I308-K308)/K308)</f>
        <v/>
      </c>
      <c r="O308" s="9">
        <f>IF(OR(G308="",J308=""),"",G308-J308)</f>
        <v/>
      </c>
    </row>
    <row r="309">
      <c r="H309" s="10" t="n"/>
      <c r="I309" s="9">
        <f>IF(H309="","",IF(E309="USD",H309*Parametros!$B$2,H309))</f>
        <v/>
      </c>
      <c r="J309" s="9">
        <f>IF(A309="","",IFERROR(VLOOKUP(A309,Partidas!$A$2:$E$201,4,FALSE),""))</f>
        <v/>
      </c>
      <c r="K309" s="9">
        <f>IF(A309="","",IFERROR(VLOOKUP(A309,Partidas!$A$2:$E$201,5,FALSE),""))</f>
        <v/>
      </c>
      <c r="L309" s="9">
        <f>IF(OR(I309="",G309=""),"",G309*I309)</f>
        <v/>
      </c>
      <c r="M309" s="9">
        <f>IF(OR(J309="",K309=""),"",J309*K309)</f>
        <v/>
      </c>
      <c r="N309" s="11">
        <f>IF(OR(I309="",K309="",K309=0),"",(I309-K309)/K309)</f>
        <v/>
      </c>
      <c r="O309" s="9">
        <f>IF(OR(G309="",J309=""),"",G309-J309)</f>
        <v/>
      </c>
    </row>
    <row r="310">
      <c r="H310" s="10" t="n"/>
      <c r="I310" s="9">
        <f>IF(H310="","",IF(E310="USD",H310*Parametros!$B$2,H310))</f>
        <v/>
      </c>
      <c r="J310" s="9">
        <f>IF(A310="","",IFERROR(VLOOKUP(A310,Partidas!$A$2:$E$201,4,FALSE),""))</f>
        <v/>
      </c>
      <c r="K310" s="9">
        <f>IF(A310="","",IFERROR(VLOOKUP(A310,Partidas!$A$2:$E$201,5,FALSE),""))</f>
        <v/>
      </c>
      <c r="L310" s="9">
        <f>IF(OR(I310="",G310=""),"",G310*I310)</f>
        <v/>
      </c>
      <c r="M310" s="9">
        <f>IF(OR(J310="",K310=""),"",J310*K310)</f>
        <v/>
      </c>
      <c r="N310" s="11">
        <f>IF(OR(I310="",K310="",K310=0),"",(I310-K310)/K310)</f>
        <v/>
      </c>
      <c r="O310" s="9">
        <f>IF(OR(G310="",J310=""),"",G310-J310)</f>
        <v/>
      </c>
    </row>
    <row r="311">
      <c r="H311" s="10" t="n"/>
      <c r="I311" s="9">
        <f>IF(H311="","",IF(E311="USD",H311*Parametros!$B$2,H311))</f>
        <v/>
      </c>
      <c r="J311" s="9">
        <f>IF(A311="","",IFERROR(VLOOKUP(A311,Partidas!$A$2:$E$201,4,FALSE),""))</f>
        <v/>
      </c>
      <c r="K311" s="9">
        <f>IF(A311="","",IFERROR(VLOOKUP(A311,Partidas!$A$2:$E$201,5,FALSE),""))</f>
        <v/>
      </c>
      <c r="L311" s="9">
        <f>IF(OR(I311="",G311=""),"",G311*I311)</f>
        <v/>
      </c>
      <c r="M311" s="9">
        <f>IF(OR(J311="",K311=""),"",J311*K311)</f>
        <v/>
      </c>
      <c r="N311" s="11">
        <f>IF(OR(I311="",K311="",K311=0),"",(I311-K311)/K311)</f>
        <v/>
      </c>
      <c r="O311" s="9">
        <f>IF(OR(G311="",J311=""),"",G311-J311)</f>
        <v/>
      </c>
    </row>
    <row r="312">
      <c r="H312" s="10" t="n"/>
      <c r="I312" s="9">
        <f>IF(H312="","",IF(E312="USD",H312*Parametros!$B$2,H312))</f>
        <v/>
      </c>
      <c r="J312" s="9">
        <f>IF(A312="","",IFERROR(VLOOKUP(A312,Partidas!$A$2:$E$201,4,FALSE),""))</f>
        <v/>
      </c>
      <c r="K312" s="9">
        <f>IF(A312="","",IFERROR(VLOOKUP(A312,Partidas!$A$2:$E$201,5,FALSE),""))</f>
        <v/>
      </c>
      <c r="L312" s="9">
        <f>IF(OR(I312="",G312=""),"",G312*I312)</f>
        <v/>
      </c>
      <c r="M312" s="9">
        <f>IF(OR(J312="",K312=""),"",J312*K312)</f>
        <v/>
      </c>
      <c r="N312" s="11">
        <f>IF(OR(I312="",K312="",K312=0),"",(I312-K312)/K312)</f>
        <v/>
      </c>
      <c r="O312" s="9">
        <f>IF(OR(G312="",J312=""),"",G312-J312)</f>
        <v/>
      </c>
    </row>
    <row r="313">
      <c r="H313" s="10" t="n"/>
      <c r="I313" s="9">
        <f>IF(H313="","",IF(E313="USD",H313*Parametros!$B$2,H313))</f>
        <v/>
      </c>
      <c r="J313" s="9">
        <f>IF(A313="","",IFERROR(VLOOKUP(A313,Partidas!$A$2:$E$201,4,FALSE),""))</f>
        <v/>
      </c>
      <c r="K313" s="9">
        <f>IF(A313="","",IFERROR(VLOOKUP(A313,Partidas!$A$2:$E$201,5,FALSE),""))</f>
        <v/>
      </c>
      <c r="L313" s="9">
        <f>IF(OR(I313="",G313=""),"",G313*I313)</f>
        <v/>
      </c>
      <c r="M313" s="9">
        <f>IF(OR(J313="",K313=""),"",J313*K313)</f>
        <v/>
      </c>
      <c r="N313" s="11">
        <f>IF(OR(I313="",K313="",K313=0),"",(I313-K313)/K313)</f>
        <v/>
      </c>
      <c r="O313" s="9">
        <f>IF(OR(G313="",J313=""),"",G313-J313)</f>
        <v/>
      </c>
    </row>
    <row r="314">
      <c r="H314" s="10" t="n"/>
      <c r="I314" s="9">
        <f>IF(H314="","",IF(E314="USD",H314*Parametros!$B$2,H314))</f>
        <v/>
      </c>
      <c r="J314" s="9">
        <f>IF(A314="","",IFERROR(VLOOKUP(A314,Partidas!$A$2:$E$201,4,FALSE),""))</f>
        <v/>
      </c>
      <c r="K314" s="9">
        <f>IF(A314="","",IFERROR(VLOOKUP(A314,Partidas!$A$2:$E$201,5,FALSE),""))</f>
        <v/>
      </c>
      <c r="L314" s="9">
        <f>IF(OR(I314="",G314=""),"",G314*I314)</f>
        <v/>
      </c>
      <c r="M314" s="9">
        <f>IF(OR(J314="",K314=""),"",J314*K314)</f>
        <v/>
      </c>
      <c r="N314" s="11">
        <f>IF(OR(I314="",K314="",K314=0),"",(I314-K314)/K314)</f>
        <v/>
      </c>
      <c r="O314" s="9">
        <f>IF(OR(G314="",J314=""),"",G314-J314)</f>
        <v/>
      </c>
    </row>
    <row r="315">
      <c r="H315" s="10" t="n"/>
      <c r="I315" s="9">
        <f>IF(H315="","",IF(E315="USD",H315*Parametros!$B$2,H315))</f>
        <v/>
      </c>
      <c r="J315" s="9">
        <f>IF(A315="","",IFERROR(VLOOKUP(A315,Partidas!$A$2:$E$201,4,FALSE),""))</f>
        <v/>
      </c>
      <c r="K315" s="9">
        <f>IF(A315="","",IFERROR(VLOOKUP(A315,Partidas!$A$2:$E$201,5,FALSE),""))</f>
        <v/>
      </c>
      <c r="L315" s="9">
        <f>IF(OR(I315="",G315=""),"",G315*I315)</f>
        <v/>
      </c>
      <c r="M315" s="9">
        <f>IF(OR(J315="",K315=""),"",J315*K315)</f>
        <v/>
      </c>
      <c r="N315" s="11">
        <f>IF(OR(I315="",K315="",K315=0),"",(I315-K315)/K315)</f>
        <v/>
      </c>
      <c r="O315" s="9">
        <f>IF(OR(G315="",J315=""),"",G315-J315)</f>
        <v/>
      </c>
    </row>
    <row r="316">
      <c r="H316" s="10" t="n"/>
      <c r="I316" s="9">
        <f>IF(H316="","",IF(E316="USD",H316*Parametros!$B$2,H316))</f>
        <v/>
      </c>
      <c r="J316" s="9">
        <f>IF(A316="","",IFERROR(VLOOKUP(A316,Partidas!$A$2:$E$201,4,FALSE),""))</f>
        <v/>
      </c>
      <c r="K316" s="9">
        <f>IF(A316="","",IFERROR(VLOOKUP(A316,Partidas!$A$2:$E$201,5,FALSE),""))</f>
        <v/>
      </c>
      <c r="L316" s="9">
        <f>IF(OR(I316="",G316=""),"",G316*I316)</f>
        <v/>
      </c>
      <c r="M316" s="9">
        <f>IF(OR(J316="",K316=""),"",J316*K316)</f>
        <v/>
      </c>
      <c r="N316" s="11">
        <f>IF(OR(I316="",K316="",K316=0),"",(I316-K316)/K316)</f>
        <v/>
      </c>
      <c r="O316" s="9">
        <f>IF(OR(G316="",J316=""),"",G316-J316)</f>
        <v/>
      </c>
    </row>
    <row r="317">
      <c r="H317" s="10" t="n"/>
      <c r="I317" s="9">
        <f>IF(H317="","",IF(E317="USD",H317*Parametros!$B$2,H317))</f>
        <v/>
      </c>
      <c r="J317" s="9">
        <f>IF(A317="","",IFERROR(VLOOKUP(A317,Partidas!$A$2:$E$201,4,FALSE),""))</f>
        <v/>
      </c>
      <c r="K317" s="9">
        <f>IF(A317="","",IFERROR(VLOOKUP(A317,Partidas!$A$2:$E$201,5,FALSE),""))</f>
        <v/>
      </c>
      <c r="L317" s="9">
        <f>IF(OR(I317="",G317=""),"",G317*I317)</f>
        <v/>
      </c>
      <c r="M317" s="9">
        <f>IF(OR(J317="",K317=""),"",J317*K317)</f>
        <v/>
      </c>
      <c r="N317" s="11">
        <f>IF(OR(I317="",K317="",K317=0),"",(I317-K317)/K317)</f>
        <v/>
      </c>
      <c r="O317" s="9">
        <f>IF(OR(G317="",J317=""),"",G317-J317)</f>
        <v/>
      </c>
    </row>
    <row r="318">
      <c r="H318" s="10" t="n"/>
      <c r="I318" s="9">
        <f>IF(H318="","",IF(E318="USD",H318*Parametros!$B$2,H318))</f>
        <v/>
      </c>
      <c r="J318" s="9">
        <f>IF(A318="","",IFERROR(VLOOKUP(A318,Partidas!$A$2:$E$201,4,FALSE),""))</f>
        <v/>
      </c>
      <c r="K318" s="9">
        <f>IF(A318="","",IFERROR(VLOOKUP(A318,Partidas!$A$2:$E$201,5,FALSE),""))</f>
        <v/>
      </c>
      <c r="L318" s="9">
        <f>IF(OR(I318="",G318=""),"",G318*I318)</f>
        <v/>
      </c>
      <c r="M318" s="9">
        <f>IF(OR(J318="",K318=""),"",J318*K318)</f>
        <v/>
      </c>
      <c r="N318" s="11">
        <f>IF(OR(I318="",K318="",K318=0),"",(I318-K318)/K318)</f>
        <v/>
      </c>
      <c r="O318" s="9">
        <f>IF(OR(G318="",J318=""),"",G318-J318)</f>
        <v/>
      </c>
    </row>
    <row r="319">
      <c r="H319" s="10" t="n"/>
      <c r="I319" s="9">
        <f>IF(H319="","",IF(E319="USD",H319*Parametros!$B$2,H319))</f>
        <v/>
      </c>
      <c r="J319" s="9">
        <f>IF(A319="","",IFERROR(VLOOKUP(A319,Partidas!$A$2:$E$201,4,FALSE),""))</f>
        <v/>
      </c>
      <c r="K319" s="9">
        <f>IF(A319="","",IFERROR(VLOOKUP(A319,Partidas!$A$2:$E$201,5,FALSE),""))</f>
        <v/>
      </c>
      <c r="L319" s="9">
        <f>IF(OR(I319="",G319=""),"",G319*I319)</f>
        <v/>
      </c>
      <c r="M319" s="9">
        <f>IF(OR(J319="",K319=""),"",J319*K319)</f>
        <v/>
      </c>
      <c r="N319" s="11">
        <f>IF(OR(I319="",K319="",K319=0),"",(I319-K319)/K319)</f>
        <v/>
      </c>
      <c r="O319" s="9">
        <f>IF(OR(G319="",J319=""),"",G319-J319)</f>
        <v/>
      </c>
    </row>
    <row r="320">
      <c r="H320" s="10" t="n"/>
      <c r="I320" s="9">
        <f>IF(H320="","",IF(E320="USD",H320*Parametros!$B$2,H320))</f>
        <v/>
      </c>
      <c r="J320" s="9">
        <f>IF(A320="","",IFERROR(VLOOKUP(A320,Partidas!$A$2:$E$201,4,FALSE),""))</f>
        <v/>
      </c>
      <c r="K320" s="9">
        <f>IF(A320="","",IFERROR(VLOOKUP(A320,Partidas!$A$2:$E$201,5,FALSE),""))</f>
        <v/>
      </c>
      <c r="L320" s="9">
        <f>IF(OR(I320="",G320=""),"",G320*I320)</f>
        <v/>
      </c>
      <c r="M320" s="9">
        <f>IF(OR(J320="",K320=""),"",J320*K320)</f>
        <v/>
      </c>
      <c r="N320" s="11">
        <f>IF(OR(I320="",K320="",K320=0),"",(I320-K320)/K320)</f>
        <v/>
      </c>
      <c r="O320" s="9">
        <f>IF(OR(G320="",J320=""),"",G320-J320)</f>
        <v/>
      </c>
    </row>
    <row r="321">
      <c r="H321" s="10" t="n"/>
      <c r="I321" s="9">
        <f>IF(H321="","",IF(E321="USD",H321*Parametros!$B$2,H321))</f>
        <v/>
      </c>
      <c r="J321" s="9">
        <f>IF(A321="","",IFERROR(VLOOKUP(A321,Partidas!$A$2:$E$201,4,FALSE),""))</f>
        <v/>
      </c>
      <c r="K321" s="9">
        <f>IF(A321="","",IFERROR(VLOOKUP(A321,Partidas!$A$2:$E$201,5,FALSE),""))</f>
        <v/>
      </c>
      <c r="L321" s="9">
        <f>IF(OR(I321="",G321=""),"",G321*I321)</f>
        <v/>
      </c>
      <c r="M321" s="9">
        <f>IF(OR(J321="",K321=""),"",J321*K321)</f>
        <v/>
      </c>
      <c r="N321" s="11">
        <f>IF(OR(I321="",K321="",K321=0),"",(I321-K321)/K321)</f>
        <v/>
      </c>
      <c r="O321" s="9">
        <f>IF(OR(G321="",J321=""),"",G321-J321)</f>
        <v/>
      </c>
    </row>
    <row r="322">
      <c r="H322" s="10" t="n"/>
      <c r="I322" s="9">
        <f>IF(H322="","",IF(E322="USD",H322*Parametros!$B$2,H322))</f>
        <v/>
      </c>
      <c r="J322" s="9">
        <f>IF(A322="","",IFERROR(VLOOKUP(A322,Partidas!$A$2:$E$201,4,FALSE),""))</f>
        <v/>
      </c>
      <c r="K322" s="9">
        <f>IF(A322="","",IFERROR(VLOOKUP(A322,Partidas!$A$2:$E$201,5,FALSE),""))</f>
        <v/>
      </c>
      <c r="L322" s="9">
        <f>IF(OR(I322="",G322=""),"",G322*I322)</f>
        <v/>
      </c>
      <c r="M322" s="9">
        <f>IF(OR(J322="",K322=""),"",J322*K322)</f>
        <v/>
      </c>
      <c r="N322" s="11">
        <f>IF(OR(I322="",K322="",K322=0),"",(I322-K322)/K322)</f>
        <v/>
      </c>
      <c r="O322" s="9">
        <f>IF(OR(G322="",J322=""),"",G322-J322)</f>
        <v/>
      </c>
    </row>
    <row r="323">
      <c r="H323" s="10" t="n"/>
      <c r="I323" s="9">
        <f>IF(H323="","",IF(E323="USD",H323*Parametros!$B$2,H323))</f>
        <v/>
      </c>
      <c r="J323" s="9">
        <f>IF(A323="","",IFERROR(VLOOKUP(A323,Partidas!$A$2:$E$201,4,FALSE),""))</f>
        <v/>
      </c>
      <c r="K323" s="9">
        <f>IF(A323="","",IFERROR(VLOOKUP(A323,Partidas!$A$2:$E$201,5,FALSE),""))</f>
        <v/>
      </c>
      <c r="L323" s="9">
        <f>IF(OR(I323="",G323=""),"",G323*I323)</f>
        <v/>
      </c>
      <c r="M323" s="9">
        <f>IF(OR(J323="",K323=""),"",J323*K323)</f>
        <v/>
      </c>
      <c r="N323" s="11">
        <f>IF(OR(I323="",K323="",K323=0),"",(I323-K323)/K323)</f>
        <v/>
      </c>
      <c r="O323" s="9">
        <f>IF(OR(G323="",J323=""),"",G323-J323)</f>
        <v/>
      </c>
    </row>
    <row r="324">
      <c r="H324" s="10" t="n"/>
      <c r="I324" s="9">
        <f>IF(H324="","",IF(E324="USD",H324*Parametros!$B$2,H324))</f>
        <v/>
      </c>
      <c r="J324" s="9">
        <f>IF(A324="","",IFERROR(VLOOKUP(A324,Partidas!$A$2:$E$201,4,FALSE),""))</f>
        <v/>
      </c>
      <c r="K324" s="9">
        <f>IF(A324="","",IFERROR(VLOOKUP(A324,Partidas!$A$2:$E$201,5,FALSE),""))</f>
        <v/>
      </c>
      <c r="L324" s="9">
        <f>IF(OR(I324="",G324=""),"",G324*I324)</f>
        <v/>
      </c>
      <c r="M324" s="9">
        <f>IF(OR(J324="",K324=""),"",J324*K324)</f>
        <v/>
      </c>
      <c r="N324" s="11">
        <f>IF(OR(I324="",K324="",K324=0),"",(I324-K324)/K324)</f>
        <v/>
      </c>
      <c r="O324" s="9">
        <f>IF(OR(G324="",J324=""),"",G324-J324)</f>
        <v/>
      </c>
    </row>
    <row r="325">
      <c r="H325" s="10" t="n"/>
      <c r="I325" s="9">
        <f>IF(H325="","",IF(E325="USD",H325*Parametros!$B$2,H325))</f>
        <v/>
      </c>
      <c r="J325" s="9">
        <f>IF(A325="","",IFERROR(VLOOKUP(A325,Partidas!$A$2:$E$201,4,FALSE),""))</f>
        <v/>
      </c>
      <c r="K325" s="9">
        <f>IF(A325="","",IFERROR(VLOOKUP(A325,Partidas!$A$2:$E$201,5,FALSE),""))</f>
        <v/>
      </c>
      <c r="L325" s="9">
        <f>IF(OR(I325="",G325=""),"",G325*I325)</f>
        <v/>
      </c>
      <c r="M325" s="9">
        <f>IF(OR(J325="",K325=""),"",J325*K325)</f>
        <v/>
      </c>
      <c r="N325" s="11">
        <f>IF(OR(I325="",K325="",K325=0),"",(I325-K325)/K325)</f>
        <v/>
      </c>
      <c r="O325" s="9">
        <f>IF(OR(G325="",J325=""),"",G325-J325)</f>
        <v/>
      </c>
    </row>
    <row r="326">
      <c r="H326" s="10" t="n"/>
      <c r="I326" s="9">
        <f>IF(H326="","",IF(E326="USD",H326*Parametros!$B$2,H326))</f>
        <v/>
      </c>
      <c r="J326" s="9">
        <f>IF(A326="","",IFERROR(VLOOKUP(A326,Partidas!$A$2:$E$201,4,FALSE),""))</f>
        <v/>
      </c>
      <c r="K326" s="9">
        <f>IF(A326="","",IFERROR(VLOOKUP(A326,Partidas!$A$2:$E$201,5,FALSE),""))</f>
        <v/>
      </c>
      <c r="L326" s="9">
        <f>IF(OR(I326="",G326=""),"",G326*I326)</f>
        <v/>
      </c>
      <c r="M326" s="9">
        <f>IF(OR(J326="",K326=""),"",J326*K326)</f>
        <v/>
      </c>
      <c r="N326" s="11">
        <f>IF(OR(I326="",K326="",K326=0),"",(I326-K326)/K326)</f>
        <v/>
      </c>
      <c r="O326" s="9">
        <f>IF(OR(G326="",J326=""),"",G326-J326)</f>
        <v/>
      </c>
    </row>
    <row r="327">
      <c r="H327" s="10" t="n"/>
      <c r="I327" s="9">
        <f>IF(H327="","",IF(E327="USD",H327*Parametros!$B$2,H327))</f>
        <v/>
      </c>
      <c r="J327" s="9">
        <f>IF(A327="","",IFERROR(VLOOKUP(A327,Partidas!$A$2:$E$201,4,FALSE),""))</f>
        <v/>
      </c>
      <c r="K327" s="9">
        <f>IF(A327="","",IFERROR(VLOOKUP(A327,Partidas!$A$2:$E$201,5,FALSE),""))</f>
        <v/>
      </c>
      <c r="L327" s="9">
        <f>IF(OR(I327="",G327=""),"",G327*I327)</f>
        <v/>
      </c>
      <c r="M327" s="9">
        <f>IF(OR(J327="",K327=""),"",J327*K327)</f>
        <v/>
      </c>
      <c r="N327" s="11">
        <f>IF(OR(I327="",K327="",K327=0),"",(I327-K327)/K327)</f>
        <v/>
      </c>
      <c r="O327" s="9">
        <f>IF(OR(G327="",J327=""),"",G327-J327)</f>
        <v/>
      </c>
    </row>
    <row r="328">
      <c r="H328" s="10" t="n"/>
      <c r="I328" s="9">
        <f>IF(H328="","",IF(E328="USD",H328*Parametros!$B$2,H328))</f>
        <v/>
      </c>
      <c r="J328" s="9">
        <f>IF(A328="","",IFERROR(VLOOKUP(A328,Partidas!$A$2:$E$201,4,FALSE),""))</f>
        <v/>
      </c>
      <c r="K328" s="9">
        <f>IF(A328="","",IFERROR(VLOOKUP(A328,Partidas!$A$2:$E$201,5,FALSE),""))</f>
        <v/>
      </c>
      <c r="L328" s="9">
        <f>IF(OR(I328="",G328=""),"",G328*I328)</f>
        <v/>
      </c>
      <c r="M328" s="9">
        <f>IF(OR(J328="",K328=""),"",J328*K328)</f>
        <v/>
      </c>
      <c r="N328" s="11">
        <f>IF(OR(I328="",K328="",K328=0),"",(I328-K328)/K328)</f>
        <v/>
      </c>
      <c r="O328" s="9">
        <f>IF(OR(G328="",J328=""),"",G328-J328)</f>
        <v/>
      </c>
    </row>
    <row r="329">
      <c r="H329" s="10" t="n"/>
      <c r="I329" s="9">
        <f>IF(H329="","",IF(E329="USD",H329*Parametros!$B$2,H329))</f>
        <v/>
      </c>
      <c r="J329" s="9">
        <f>IF(A329="","",IFERROR(VLOOKUP(A329,Partidas!$A$2:$E$201,4,FALSE),""))</f>
        <v/>
      </c>
      <c r="K329" s="9">
        <f>IF(A329="","",IFERROR(VLOOKUP(A329,Partidas!$A$2:$E$201,5,FALSE),""))</f>
        <v/>
      </c>
      <c r="L329" s="9">
        <f>IF(OR(I329="",G329=""),"",G329*I329)</f>
        <v/>
      </c>
      <c r="M329" s="9">
        <f>IF(OR(J329="",K329=""),"",J329*K329)</f>
        <v/>
      </c>
      <c r="N329" s="11">
        <f>IF(OR(I329="",K329="",K329=0),"",(I329-K329)/K329)</f>
        <v/>
      </c>
      <c r="O329" s="9">
        <f>IF(OR(G329="",J329=""),"",G329-J329)</f>
        <v/>
      </c>
    </row>
    <row r="330">
      <c r="H330" s="10" t="n"/>
      <c r="I330" s="9">
        <f>IF(H330="","",IF(E330="USD",H330*Parametros!$B$2,H330))</f>
        <v/>
      </c>
      <c r="J330" s="9">
        <f>IF(A330="","",IFERROR(VLOOKUP(A330,Partidas!$A$2:$E$201,4,FALSE),""))</f>
        <v/>
      </c>
      <c r="K330" s="9">
        <f>IF(A330="","",IFERROR(VLOOKUP(A330,Partidas!$A$2:$E$201,5,FALSE),""))</f>
        <v/>
      </c>
      <c r="L330" s="9">
        <f>IF(OR(I330="",G330=""),"",G330*I330)</f>
        <v/>
      </c>
      <c r="M330" s="9">
        <f>IF(OR(J330="",K330=""),"",J330*K330)</f>
        <v/>
      </c>
      <c r="N330" s="11">
        <f>IF(OR(I330="",K330="",K330=0),"",(I330-K330)/K330)</f>
        <v/>
      </c>
      <c r="O330" s="9">
        <f>IF(OR(G330="",J330=""),"",G330-J330)</f>
        <v/>
      </c>
    </row>
    <row r="331">
      <c r="H331" s="10" t="n"/>
      <c r="I331" s="9">
        <f>IF(H331="","",IF(E331="USD",H331*Parametros!$B$2,H331))</f>
        <v/>
      </c>
      <c r="J331" s="9">
        <f>IF(A331="","",IFERROR(VLOOKUP(A331,Partidas!$A$2:$E$201,4,FALSE),""))</f>
        <v/>
      </c>
      <c r="K331" s="9">
        <f>IF(A331="","",IFERROR(VLOOKUP(A331,Partidas!$A$2:$E$201,5,FALSE),""))</f>
        <v/>
      </c>
      <c r="L331" s="9">
        <f>IF(OR(I331="",G331=""),"",G331*I331)</f>
        <v/>
      </c>
      <c r="M331" s="9">
        <f>IF(OR(J331="",K331=""),"",J331*K331)</f>
        <v/>
      </c>
      <c r="N331" s="11">
        <f>IF(OR(I331="",K331="",K331=0),"",(I331-K331)/K331)</f>
        <v/>
      </c>
      <c r="O331" s="9">
        <f>IF(OR(G331="",J331=""),"",G331-J331)</f>
        <v/>
      </c>
    </row>
    <row r="332">
      <c r="H332" s="10" t="n"/>
      <c r="I332" s="9">
        <f>IF(H332="","",IF(E332="USD",H332*Parametros!$B$2,H332))</f>
        <v/>
      </c>
      <c r="J332" s="9">
        <f>IF(A332="","",IFERROR(VLOOKUP(A332,Partidas!$A$2:$E$201,4,FALSE),""))</f>
        <v/>
      </c>
      <c r="K332" s="9">
        <f>IF(A332="","",IFERROR(VLOOKUP(A332,Partidas!$A$2:$E$201,5,FALSE),""))</f>
        <v/>
      </c>
      <c r="L332" s="9">
        <f>IF(OR(I332="",G332=""),"",G332*I332)</f>
        <v/>
      </c>
      <c r="M332" s="9">
        <f>IF(OR(J332="",K332=""),"",J332*K332)</f>
        <v/>
      </c>
      <c r="N332" s="11">
        <f>IF(OR(I332="",K332="",K332=0),"",(I332-K332)/K332)</f>
        <v/>
      </c>
      <c r="O332" s="9">
        <f>IF(OR(G332="",J332=""),"",G332-J332)</f>
        <v/>
      </c>
    </row>
    <row r="333">
      <c r="H333" s="10" t="n"/>
      <c r="I333" s="9">
        <f>IF(H333="","",IF(E333="USD",H333*Parametros!$B$2,H333))</f>
        <v/>
      </c>
      <c r="J333" s="9">
        <f>IF(A333="","",IFERROR(VLOOKUP(A333,Partidas!$A$2:$E$201,4,FALSE),""))</f>
        <v/>
      </c>
      <c r="K333" s="9">
        <f>IF(A333="","",IFERROR(VLOOKUP(A333,Partidas!$A$2:$E$201,5,FALSE),""))</f>
        <v/>
      </c>
      <c r="L333" s="9">
        <f>IF(OR(I333="",G333=""),"",G333*I333)</f>
        <v/>
      </c>
      <c r="M333" s="9">
        <f>IF(OR(J333="",K333=""),"",J333*K333)</f>
        <v/>
      </c>
      <c r="N333" s="11">
        <f>IF(OR(I333="",K333="",K333=0),"",(I333-K333)/K333)</f>
        <v/>
      </c>
      <c r="O333" s="9">
        <f>IF(OR(G333="",J333=""),"",G333-J333)</f>
        <v/>
      </c>
    </row>
    <row r="334">
      <c r="H334" s="10" t="n"/>
      <c r="I334" s="9">
        <f>IF(H334="","",IF(E334="USD",H334*Parametros!$B$2,H334))</f>
        <v/>
      </c>
      <c r="J334" s="9">
        <f>IF(A334="","",IFERROR(VLOOKUP(A334,Partidas!$A$2:$E$201,4,FALSE),""))</f>
        <v/>
      </c>
      <c r="K334" s="9">
        <f>IF(A334="","",IFERROR(VLOOKUP(A334,Partidas!$A$2:$E$201,5,FALSE),""))</f>
        <v/>
      </c>
      <c r="L334" s="9">
        <f>IF(OR(I334="",G334=""),"",G334*I334)</f>
        <v/>
      </c>
      <c r="M334" s="9">
        <f>IF(OR(J334="",K334=""),"",J334*K334)</f>
        <v/>
      </c>
      <c r="N334" s="11">
        <f>IF(OR(I334="",K334="",K334=0),"",(I334-K334)/K334)</f>
        <v/>
      </c>
      <c r="O334" s="9">
        <f>IF(OR(G334="",J334=""),"",G334-J334)</f>
        <v/>
      </c>
    </row>
    <row r="335">
      <c r="H335" s="10" t="n"/>
      <c r="I335" s="9">
        <f>IF(H335="","",IF(E335="USD",H335*Parametros!$B$2,H335))</f>
        <v/>
      </c>
      <c r="J335" s="9">
        <f>IF(A335="","",IFERROR(VLOOKUP(A335,Partidas!$A$2:$E$201,4,FALSE),""))</f>
        <v/>
      </c>
      <c r="K335" s="9">
        <f>IF(A335="","",IFERROR(VLOOKUP(A335,Partidas!$A$2:$E$201,5,FALSE),""))</f>
        <v/>
      </c>
      <c r="L335" s="9">
        <f>IF(OR(I335="",G335=""),"",G335*I335)</f>
        <v/>
      </c>
      <c r="M335" s="9">
        <f>IF(OR(J335="",K335=""),"",J335*K335)</f>
        <v/>
      </c>
      <c r="N335" s="11">
        <f>IF(OR(I335="",K335="",K335=0),"",(I335-K335)/K335)</f>
        <v/>
      </c>
      <c r="O335" s="9">
        <f>IF(OR(G335="",J335=""),"",G335-J335)</f>
        <v/>
      </c>
    </row>
    <row r="336">
      <c r="H336" s="10" t="n"/>
      <c r="I336" s="9">
        <f>IF(H336="","",IF(E336="USD",H336*Parametros!$B$2,H336))</f>
        <v/>
      </c>
      <c r="J336" s="9">
        <f>IF(A336="","",IFERROR(VLOOKUP(A336,Partidas!$A$2:$E$201,4,FALSE),""))</f>
        <v/>
      </c>
      <c r="K336" s="9">
        <f>IF(A336="","",IFERROR(VLOOKUP(A336,Partidas!$A$2:$E$201,5,FALSE),""))</f>
        <v/>
      </c>
      <c r="L336" s="9">
        <f>IF(OR(I336="",G336=""),"",G336*I336)</f>
        <v/>
      </c>
      <c r="M336" s="9">
        <f>IF(OR(J336="",K336=""),"",J336*K336)</f>
        <v/>
      </c>
      <c r="N336" s="11">
        <f>IF(OR(I336="",K336="",K336=0),"",(I336-K336)/K336)</f>
        <v/>
      </c>
      <c r="O336" s="9">
        <f>IF(OR(G336="",J336=""),"",G336-J336)</f>
        <v/>
      </c>
    </row>
    <row r="337">
      <c r="H337" s="10" t="n"/>
      <c r="I337" s="9">
        <f>IF(H337="","",IF(E337="USD",H337*Parametros!$B$2,H337))</f>
        <v/>
      </c>
      <c r="J337" s="9">
        <f>IF(A337="","",IFERROR(VLOOKUP(A337,Partidas!$A$2:$E$201,4,FALSE),""))</f>
        <v/>
      </c>
      <c r="K337" s="9">
        <f>IF(A337="","",IFERROR(VLOOKUP(A337,Partidas!$A$2:$E$201,5,FALSE),""))</f>
        <v/>
      </c>
      <c r="L337" s="9">
        <f>IF(OR(I337="",G337=""),"",G337*I337)</f>
        <v/>
      </c>
      <c r="M337" s="9">
        <f>IF(OR(J337="",K337=""),"",J337*K337)</f>
        <v/>
      </c>
      <c r="N337" s="11">
        <f>IF(OR(I337="",K337="",K337=0),"",(I337-K337)/K337)</f>
        <v/>
      </c>
      <c r="O337" s="9">
        <f>IF(OR(G337="",J337=""),"",G337-J337)</f>
        <v/>
      </c>
    </row>
    <row r="338">
      <c r="H338" s="10" t="n"/>
      <c r="I338" s="9">
        <f>IF(H338="","",IF(E338="USD",H338*Parametros!$B$2,H338))</f>
        <v/>
      </c>
      <c r="J338" s="9">
        <f>IF(A338="","",IFERROR(VLOOKUP(A338,Partidas!$A$2:$E$201,4,FALSE),""))</f>
        <v/>
      </c>
      <c r="K338" s="9">
        <f>IF(A338="","",IFERROR(VLOOKUP(A338,Partidas!$A$2:$E$201,5,FALSE),""))</f>
        <v/>
      </c>
      <c r="L338" s="9">
        <f>IF(OR(I338="",G338=""),"",G338*I338)</f>
        <v/>
      </c>
      <c r="M338" s="9">
        <f>IF(OR(J338="",K338=""),"",J338*K338)</f>
        <v/>
      </c>
      <c r="N338" s="11">
        <f>IF(OR(I338="",K338="",K338=0),"",(I338-K338)/K338)</f>
        <v/>
      </c>
      <c r="O338" s="9">
        <f>IF(OR(G338="",J338=""),"",G338-J338)</f>
        <v/>
      </c>
    </row>
    <row r="339">
      <c r="H339" s="10" t="n"/>
      <c r="I339" s="9">
        <f>IF(H339="","",IF(E339="USD",H339*Parametros!$B$2,H339))</f>
        <v/>
      </c>
      <c r="J339" s="9">
        <f>IF(A339="","",IFERROR(VLOOKUP(A339,Partidas!$A$2:$E$201,4,FALSE),""))</f>
        <v/>
      </c>
      <c r="K339" s="9">
        <f>IF(A339="","",IFERROR(VLOOKUP(A339,Partidas!$A$2:$E$201,5,FALSE),""))</f>
        <v/>
      </c>
      <c r="L339" s="9">
        <f>IF(OR(I339="",G339=""),"",G339*I339)</f>
        <v/>
      </c>
      <c r="M339" s="9">
        <f>IF(OR(J339="",K339=""),"",J339*K339)</f>
        <v/>
      </c>
      <c r="N339" s="11">
        <f>IF(OR(I339="",K339="",K339=0),"",(I339-K339)/K339)</f>
        <v/>
      </c>
      <c r="O339" s="9">
        <f>IF(OR(G339="",J339=""),"",G339-J339)</f>
        <v/>
      </c>
    </row>
    <row r="340">
      <c r="H340" s="10" t="n"/>
      <c r="I340" s="9">
        <f>IF(H340="","",IF(E340="USD",H340*Parametros!$B$2,H340))</f>
        <v/>
      </c>
      <c r="J340" s="9">
        <f>IF(A340="","",IFERROR(VLOOKUP(A340,Partidas!$A$2:$E$201,4,FALSE),""))</f>
        <v/>
      </c>
      <c r="K340" s="9">
        <f>IF(A340="","",IFERROR(VLOOKUP(A340,Partidas!$A$2:$E$201,5,FALSE),""))</f>
        <v/>
      </c>
      <c r="L340" s="9">
        <f>IF(OR(I340="",G340=""),"",G340*I340)</f>
        <v/>
      </c>
      <c r="M340" s="9">
        <f>IF(OR(J340="",K340=""),"",J340*K340)</f>
        <v/>
      </c>
      <c r="N340" s="11">
        <f>IF(OR(I340="",K340="",K340=0),"",(I340-K340)/K340)</f>
        <v/>
      </c>
      <c r="O340" s="9">
        <f>IF(OR(G340="",J340=""),"",G340-J340)</f>
        <v/>
      </c>
    </row>
    <row r="341">
      <c r="H341" s="10" t="n"/>
      <c r="I341" s="9">
        <f>IF(H341="","",IF(E341="USD",H341*Parametros!$B$2,H341))</f>
        <v/>
      </c>
      <c r="J341" s="9">
        <f>IF(A341="","",IFERROR(VLOOKUP(A341,Partidas!$A$2:$E$201,4,FALSE),""))</f>
        <v/>
      </c>
      <c r="K341" s="9">
        <f>IF(A341="","",IFERROR(VLOOKUP(A341,Partidas!$A$2:$E$201,5,FALSE),""))</f>
        <v/>
      </c>
      <c r="L341" s="9">
        <f>IF(OR(I341="",G341=""),"",G341*I341)</f>
        <v/>
      </c>
      <c r="M341" s="9">
        <f>IF(OR(J341="",K341=""),"",J341*K341)</f>
        <v/>
      </c>
      <c r="N341" s="11">
        <f>IF(OR(I341="",K341="",K341=0),"",(I341-K341)/K341)</f>
        <v/>
      </c>
      <c r="O341" s="9">
        <f>IF(OR(G341="",J341=""),"",G341-J341)</f>
        <v/>
      </c>
    </row>
    <row r="342">
      <c r="H342" s="10" t="n"/>
      <c r="I342" s="9">
        <f>IF(H342="","",IF(E342="USD",H342*Parametros!$B$2,H342))</f>
        <v/>
      </c>
      <c r="J342" s="9">
        <f>IF(A342="","",IFERROR(VLOOKUP(A342,Partidas!$A$2:$E$201,4,FALSE),""))</f>
        <v/>
      </c>
      <c r="K342" s="9">
        <f>IF(A342="","",IFERROR(VLOOKUP(A342,Partidas!$A$2:$E$201,5,FALSE),""))</f>
        <v/>
      </c>
      <c r="L342" s="9">
        <f>IF(OR(I342="",G342=""),"",G342*I342)</f>
        <v/>
      </c>
      <c r="M342" s="9">
        <f>IF(OR(J342="",K342=""),"",J342*K342)</f>
        <v/>
      </c>
      <c r="N342" s="11">
        <f>IF(OR(I342="",K342="",K342=0),"",(I342-K342)/K342)</f>
        <v/>
      </c>
      <c r="O342" s="9">
        <f>IF(OR(G342="",J342=""),"",G342-J342)</f>
        <v/>
      </c>
    </row>
    <row r="343">
      <c r="H343" s="10" t="n"/>
      <c r="I343" s="9">
        <f>IF(H343="","",IF(E343="USD",H343*Parametros!$B$2,H343))</f>
        <v/>
      </c>
      <c r="J343" s="9">
        <f>IF(A343="","",IFERROR(VLOOKUP(A343,Partidas!$A$2:$E$201,4,FALSE),""))</f>
        <v/>
      </c>
      <c r="K343" s="9">
        <f>IF(A343="","",IFERROR(VLOOKUP(A343,Partidas!$A$2:$E$201,5,FALSE),""))</f>
        <v/>
      </c>
      <c r="L343" s="9">
        <f>IF(OR(I343="",G343=""),"",G343*I343)</f>
        <v/>
      </c>
      <c r="M343" s="9">
        <f>IF(OR(J343="",K343=""),"",J343*K343)</f>
        <v/>
      </c>
      <c r="N343" s="11">
        <f>IF(OR(I343="",K343="",K343=0),"",(I343-K343)/K343)</f>
        <v/>
      </c>
      <c r="O343" s="9">
        <f>IF(OR(G343="",J343=""),"",G343-J343)</f>
        <v/>
      </c>
    </row>
    <row r="344">
      <c r="H344" s="10" t="n"/>
      <c r="I344" s="9">
        <f>IF(H344="","",IF(E344="USD",H344*Parametros!$B$2,H344))</f>
        <v/>
      </c>
      <c r="J344" s="9">
        <f>IF(A344="","",IFERROR(VLOOKUP(A344,Partidas!$A$2:$E$201,4,FALSE),""))</f>
        <v/>
      </c>
      <c r="K344" s="9">
        <f>IF(A344="","",IFERROR(VLOOKUP(A344,Partidas!$A$2:$E$201,5,FALSE),""))</f>
        <v/>
      </c>
      <c r="L344" s="9">
        <f>IF(OR(I344="",G344=""),"",G344*I344)</f>
        <v/>
      </c>
      <c r="M344" s="9">
        <f>IF(OR(J344="",K344=""),"",J344*K344)</f>
        <v/>
      </c>
      <c r="N344" s="11">
        <f>IF(OR(I344="",K344="",K344=0),"",(I344-K344)/K344)</f>
        <v/>
      </c>
      <c r="O344" s="9">
        <f>IF(OR(G344="",J344=""),"",G344-J344)</f>
        <v/>
      </c>
    </row>
    <row r="345">
      <c r="H345" s="10" t="n"/>
      <c r="I345" s="9">
        <f>IF(H345="","",IF(E345="USD",H345*Parametros!$B$2,H345))</f>
        <v/>
      </c>
      <c r="J345" s="9">
        <f>IF(A345="","",IFERROR(VLOOKUP(A345,Partidas!$A$2:$E$201,4,FALSE),""))</f>
        <v/>
      </c>
      <c r="K345" s="9">
        <f>IF(A345="","",IFERROR(VLOOKUP(A345,Partidas!$A$2:$E$201,5,FALSE),""))</f>
        <v/>
      </c>
      <c r="L345" s="9">
        <f>IF(OR(I345="",G345=""),"",G345*I345)</f>
        <v/>
      </c>
      <c r="M345" s="9">
        <f>IF(OR(J345="",K345=""),"",J345*K345)</f>
        <v/>
      </c>
      <c r="N345" s="11">
        <f>IF(OR(I345="",K345="",K345=0),"",(I345-K345)/K345)</f>
        <v/>
      </c>
      <c r="O345" s="9">
        <f>IF(OR(G345="",J345=""),"",G345-J345)</f>
        <v/>
      </c>
    </row>
    <row r="346">
      <c r="H346" s="10" t="n"/>
      <c r="I346" s="9">
        <f>IF(H346="","",IF(E346="USD",H346*Parametros!$B$2,H346))</f>
        <v/>
      </c>
      <c r="J346" s="9">
        <f>IF(A346="","",IFERROR(VLOOKUP(A346,Partidas!$A$2:$E$201,4,FALSE),""))</f>
        <v/>
      </c>
      <c r="K346" s="9">
        <f>IF(A346="","",IFERROR(VLOOKUP(A346,Partidas!$A$2:$E$201,5,FALSE),""))</f>
        <v/>
      </c>
      <c r="L346" s="9">
        <f>IF(OR(I346="",G346=""),"",G346*I346)</f>
        <v/>
      </c>
      <c r="M346" s="9">
        <f>IF(OR(J346="",K346=""),"",J346*K346)</f>
        <v/>
      </c>
      <c r="N346" s="11">
        <f>IF(OR(I346="",K346="",K346=0),"",(I346-K346)/K346)</f>
        <v/>
      </c>
      <c r="O346" s="9">
        <f>IF(OR(G346="",J346=""),"",G346-J346)</f>
        <v/>
      </c>
    </row>
    <row r="347">
      <c r="H347" s="10" t="n"/>
      <c r="I347" s="9">
        <f>IF(H347="","",IF(E347="USD",H347*Parametros!$B$2,H347))</f>
        <v/>
      </c>
      <c r="J347" s="9">
        <f>IF(A347="","",IFERROR(VLOOKUP(A347,Partidas!$A$2:$E$201,4,FALSE),""))</f>
        <v/>
      </c>
      <c r="K347" s="9">
        <f>IF(A347="","",IFERROR(VLOOKUP(A347,Partidas!$A$2:$E$201,5,FALSE),""))</f>
        <v/>
      </c>
      <c r="L347" s="9">
        <f>IF(OR(I347="",G347=""),"",G347*I347)</f>
        <v/>
      </c>
      <c r="M347" s="9">
        <f>IF(OR(J347="",K347=""),"",J347*K347)</f>
        <v/>
      </c>
      <c r="N347" s="11">
        <f>IF(OR(I347="",K347="",K347=0),"",(I347-K347)/K347)</f>
        <v/>
      </c>
      <c r="O347" s="9">
        <f>IF(OR(G347="",J347=""),"",G347-J347)</f>
        <v/>
      </c>
    </row>
    <row r="348">
      <c r="H348" s="10" t="n"/>
      <c r="I348" s="9">
        <f>IF(H348="","",IF(E348="USD",H348*Parametros!$B$2,H348))</f>
        <v/>
      </c>
      <c r="J348" s="9">
        <f>IF(A348="","",IFERROR(VLOOKUP(A348,Partidas!$A$2:$E$201,4,FALSE),""))</f>
        <v/>
      </c>
      <c r="K348" s="9">
        <f>IF(A348="","",IFERROR(VLOOKUP(A348,Partidas!$A$2:$E$201,5,FALSE),""))</f>
        <v/>
      </c>
      <c r="L348" s="9">
        <f>IF(OR(I348="",G348=""),"",G348*I348)</f>
        <v/>
      </c>
      <c r="M348" s="9">
        <f>IF(OR(J348="",K348=""),"",J348*K348)</f>
        <v/>
      </c>
      <c r="N348" s="11">
        <f>IF(OR(I348="",K348="",K348=0),"",(I348-K348)/K348)</f>
        <v/>
      </c>
      <c r="O348" s="9">
        <f>IF(OR(G348="",J348=""),"",G348-J348)</f>
        <v/>
      </c>
    </row>
    <row r="349">
      <c r="H349" s="10" t="n"/>
      <c r="I349" s="9">
        <f>IF(H349="","",IF(E349="USD",H349*Parametros!$B$2,H349))</f>
        <v/>
      </c>
      <c r="J349" s="9">
        <f>IF(A349="","",IFERROR(VLOOKUP(A349,Partidas!$A$2:$E$201,4,FALSE),""))</f>
        <v/>
      </c>
      <c r="K349" s="9">
        <f>IF(A349="","",IFERROR(VLOOKUP(A349,Partidas!$A$2:$E$201,5,FALSE),""))</f>
        <v/>
      </c>
      <c r="L349" s="9">
        <f>IF(OR(I349="",G349=""),"",G349*I349)</f>
        <v/>
      </c>
      <c r="M349" s="9">
        <f>IF(OR(J349="",K349=""),"",J349*K349)</f>
        <v/>
      </c>
      <c r="N349" s="11">
        <f>IF(OR(I349="",K349="",K349=0),"",(I349-K349)/K349)</f>
        <v/>
      </c>
      <c r="O349" s="9">
        <f>IF(OR(G349="",J349=""),"",G349-J349)</f>
        <v/>
      </c>
    </row>
    <row r="350">
      <c r="H350" s="10" t="n"/>
      <c r="I350" s="9">
        <f>IF(H350="","",IF(E350="USD",H350*Parametros!$B$2,H350))</f>
        <v/>
      </c>
      <c r="J350" s="9">
        <f>IF(A350="","",IFERROR(VLOOKUP(A350,Partidas!$A$2:$E$201,4,FALSE),""))</f>
        <v/>
      </c>
      <c r="K350" s="9">
        <f>IF(A350="","",IFERROR(VLOOKUP(A350,Partidas!$A$2:$E$201,5,FALSE),""))</f>
        <v/>
      </c>
      <c r="L350" s="9">
        <f>IF(OR(I350="",G350=""),"",G350*I350)</f>
        <v/>
      </c>
      <c r="M350" s="9">
        <f>IF(OR(J350="",K350=""),"",J350*K350)</f>
        <v/>
      </c>
      <c r="N350" s="11">
        <f>IF(OR(I350="",K350="",K350=0),"",(I350-K350)/K350)</f>
        <v/>
      </c>
      <c r="O350" s="9">
        <f>IF(OR(G350="",J350=""),"",G350-J350)</f>
        <v/>
      </c>
    </row>
    <row r="351">
      <c r="H351" s="10" t="n"/>
      <c r="I351" s="9">
        <f>IF(H351="","",IF(E351="USD",H351*Parametros!$B$2,H351))</f>
        <v/>
      </c>
      <c r="J351" s="9">
        <f>IF(A351="","",IFERROR(VLOOKUP(A351,Partidas!$A$2:$E$201,4,FALSE),""))</f>
        <v/>
      </c>
      <c r="K351" s="9">
        <f>IF(A351="","",IFERROR(VLOOKUP(A351,Partidas!$A$2:$E$201,5,FALSE),""))</f>
        <v/>
      </c>
      <c r="L351" s="9">
        <f>IF(OR(I351="",G351=""),"",G351*I351)</f>
        <v/>
      </c>
      <c r="M351" s="9">
        <f>IF(OR(J351="",K351=""),"",J351*K351)</f>
        <v/>
      </c>
      <c r="N351" s="11">
        <f>IF(OR(I351="",K351="",K351=0),"",(I351-K351)/K351)</f>
        <v/>
      </c>
      <c r="O351" s="9">
        <f>IF(OR(G351="",J351=""),"",G351-J351)</f>
        <v/>
      </c>
    </row>
    <row r="352">
      <c r="H352" s="10" t="n"/>
      <c r="I352" s="9">
        <f>IF(H352="","",IF(E352="USD",H352*Parametros!$B$2,H352))</f>
        <v/>
      </c>
      <c r="J352" s="9">
        <f>IF(A352="","",IFERROR(VLOOKUP(A352,Partidas!$A$2:$E$201,4,FALSE),""))</f>
        <v/>
      </c>
      <c r="K352" s="9">
        <f>IF(A352="","",IFERROR(VLOOKUP(A352,Partidas!$A$2:$E$201,5,FALSE),""))</f>
        <v/>
      </c>
      <c r="L352" s="9">
        <f>IF(OR(I352="",G352=""),"",G352*I352)</f>
        <v/>
      </c>
      <c r="M352" s="9">
        <f>IF(OR(J352="",K352=""),"",J352*K352)</f>
        <v/>
      </c>
      <c r="N352" s="11">
        <f>IF(OR(I352="",K352="",K352=0),"",(I352-K352)/K352)</f>
        <v/>
      </c>
      <c r="O352" s="9">
        <f>IF(OR(G352="",J352=""),"",G352-J352)</f>
        <v/>
      </c>
    </row>
    <row r="353">
      <c r="H353" s="10" t="n"/>
      <c r="I353" s="9">
        <f>IF(H353="","",IF(E353="USD",H353*Parametros!$B$2,H353))</f>
        <v/>
      </c>
      <c r="J353" s="9">
        <f>IF(A353="","",IFERROR(VLOOKUP(A353,Partidas!$A$2:$E$201,4,FALSE),""))</f>
        <v/>
      </c>
      <c r="K353" s="9">
        <f>IF(A353="","",IFERROR(VLOOKUP(A353,Partidas!$A$2:$E$201,5,FALSE),""))</f>
        <v/>
      </c>
      <c r="L353" s="9">
        <f>IF(OR(I353="",G353=""),"",G353*I353)</f>
        <v/>
      </c>
      <c r="M353" s="9">
        <f>IF(OR(J353="",K353=""),"",J353*K353)</f>
        <v/>
      </c>
      <c r="N353" s="11">
        <f>IF(OR(I353="",K353="",K353=0),"",(I353-K353)/K353)</f>
        <v/>
      </c>
      <c r="O353" s="9">
        <f>IF(OR(G353="",J353=""),"",G353-J353)</f>
        <v/>
      </c>
    </row>
    <row r="354">
      <c r="H354" s="10" t="n"/>
      <c r="I354" s="9">
        <f>IF(H354="","",IF(E354="USD",H354*Parametros!$B$2,H354))</f>
        <v/>
      </c>
      <c r="J354" s="9">
        <f>IF(A354="","",IFERROR(VLOOKUP(A354,Partidas!$A$2:$E$201,4,FALSE),""))</f>
        <v/>
      </c>
      <c r="K354" s="9">
        <f>IF(A354="","",IFERROR(VLOOKUP(A354,Partidas!$A$2:$E$201,5,FALSE),""))</f>
        <v/>
      </c>
      <c r="L354" s="9">
        <f>IF(OR(I354="",G354=""),"",G354*I354)</f>
        <v/>
      </c>
      <c r="M354" s="9">
        <f>IF(OR(J354="",K354=""),"",J354*K354)</f>
        <v/>
      </c>
      <c r="N354" s="11">
        <f>IF(OR(I354="",K354="",K354=0),"",(I354-K354)/K354)</f>
        <v/>
      </c>
      <c r="O354" s="9">
        <f>IF(OR(G354="",J354=""),"",G354-J354)</f>
        <v/>
      </c>
    </row>
    <row r="355">
      <c r="H355" s="10" t="n"/>
      <c r="I355" s="9">
        <f>IF(H355="","",IF(E355="USD",H355*Parametros!$B$2,H355))</f>
        <v/>
      </c>
      <c r="J355" s="9">
        <f>IF(A355="","",IFERROR(VLOOKUP(A355,Partidas!$A$2:$E$201,4,FALSE),""))</f>
        <v/>
      </c>
      <c r="K355" s="9">
        <f>IF(A355="","",IFERROR(VLOOKUP(A355,Partidas!$A$2:$E$201,5,FALSE),""))</f>
        <v/>
      </c>
      <c r="L355" s="9">
        <f>IF(OR(I355="",G355=""),"",G355*I355)</f>
        <v/>
      </c>
      <c r="M355" s="9">
        <f>IF(OR(J355="",K355=""),"",J355*K355)</f>
        <v/>
      </c>
      <c r="N355" s="11">
        <f>IF(OR(I355="",K355="",K355=0),"",(I355-K355)/K355)</f>
        <v/>
      </c>
      <c r="O355" s="9">
        <f>IF(OR(G355="",J355=""),"",G355-J355)</f>
        <v/>
      </c>
    </row>
    <row r="356">
      <c r="H356" s="10" t="n"/>
      <c r="I356" s="9">
        <f>IF(H356="","",IF(E356="USD",H356*Parametros!$B$2,H356))</f>
        <v/>
      </c>
      <c r="J356" s="9">
        <f>IF(A356="","",IFERROR(VLOOKUP(A356,Partidas!$A$2:$E$201,4,FALSE),""))</f>
        <v/>
      </c>
      <c r="K356" s="9">
        <f>IF(A356="","",IFERROR(VLOOKUP(A356,Partidas!$A$2:$E$201,5,FALSE),""))</f>
        <v/>
      </c>
      <c r="L356" s="9">
        <f>IF(OR(I356="",G356=""),"",G356*I356)</f>
        <v/>
      </c>
      <c r="M356" s="9">
        <f>IF(OR(J356="",K356=""),"",J356*K356)</f>
        <v/>
      </c>
      <c r="N356" s="11">
        <f>IF(OR(I356="",K356="",K356=0),"",(I356-K356)/K356)</f>
        <v/>
      </c>
      <c r="O356" s="9">
        <f>IF(OR(G356="",J356=""),"",G356-J356)</f>
        <v/>
      </c>
    </row>
    <row r="357">
      <c r="H357" s="10" t="n"/>
      <c r="I357" s="9">
        <f>IF(H357="","",IF(E357="USD",H357*Parametros!$B$2,H357))</f>
        <v/>
      </c>
      <c r="J357" s="9">
        <f>IF(A357="","",IFERROR(VLOOKUP(A357,Partidas!$A$2:$E$201,4,FALSE),""))</f>
        <v/>
      </c>
      <c r="K357" s="9">
        <f>IF(A357="","",IFERROR(VLOOKUP(A357,Partidas!$A$2:$E$201,5,FALSE),""))</f>
        <v/>
      </c>
      <c r="L357" s="9">
        <f>IF(OR(I357="",G357=""),"",G357*I357)</f>
        <v/>
      </c>
      <c r="M357" s="9">
        <f>IF(OR(J357="",K357=""),"",J357*K357)</f>
        <v/>
      </c>
      <c r="N357" s="11">
        <f>IF(OR(I357="",K357="",K357=0),"",(I357-K357)/K357)</f>
        <v/>
      </c>
      <c r="O357" s="9">
        <f>IF(OR(G357="",J357=""),"",G357-J357)</f>
        <v/>
      </c>
    </row>
    <row r="358">
      <c r="H358" s="10" t="n"/>
      <c r="I358" s="9">
        <f>IF(H358="","",IF(E358="USD",H358*Parametros!$B$2,H358))</f>
        <v/>
      </c>
      <c r="J358" s="9">
        <f>IF(A358="","",IFERROR(VLOOKUP(A358,Partidas!$A$2:$E$201,4,FALSE),""))</f>
        <v/>
      </c>
      <c r="K358" s="9">
        <f>IF(A358="","",IFERROR(VLOOKUP(A358,Partidas!$A$2:$E$201,5,FALSE),""))</f>
        <v/>
      </c>
      <c r="L358" s="9">
        <f>IF(OR(I358="",G358=""),"",G358*I358)</f>
        <v/>
      </c>
      <c r="M358" s="9">
        <f>IF(OR(J358="",K358=""),"",J358*K358)</f>
        <v/>
      </c>
      <c r="N358" s="11">
        <f>IF(OR(I358="",K358="",K358=0),"",(I358-K358)/K358)</f>
        <v/>
      </c>
      <c r="O358" s="9">
        <f>IF(OR(G358="",J358=""),"",G358-J358)</f>
        <v/>
      </c>
    </row>
    <row r="359">
      <c r="H359" s="10" t="n"/>
      <c r="I359" s="9">
        <f>IF(H359="","",IF(E359="USD",H359*Parametros!$B$2,H359))</f>
        <v/>
      </c>
      <c r="J359" s="9">
        <f>IF(A359="","",IFERROR(VLOOKUP(A359,Partidas!$A$2:$E$201,4,FALSE),""))</f>
        <v/>
      </c>
      <c r="K359" s="9">
        <f>IF(A359="","",IFERROR(VLOOKUP(A359,Partidas!$A$2:$E$201,5,FALSE),""))</f>
        <v/>
      </c>
      <c r="L359" s="9">
        <f>IF(OR(I359="",G359=""),"",G359*I359)</f>
        <v/>
      </c>
      <c r="M359" s="9">
        <f>IF(OR(J359="",K359=""),"",J359*K359)</f>
        <v/>
      </c>
      <c r="N359" s="11">
        <f>IF(OR(I359="",K359="",K359=0),"",(I359-K359)/K359)</f>
        <v/>
      </c>
      <c r="O359" s="9">
        <f>IF(OR(G359="",J359=""),"",G359-J359)</f>
        <v/>
      </c>
    </row>
    <row r="360">
      <c r="H360" s="10" t="n"/>
      <c r="I360" s="9">
        <f>IF(H360="","",IF(E360="USD",H360*Parametros!$B$2,H360))</f>
        <v/>
      </c>
      <c r="J360" s="9">
        <f>IF(A360="","",IFERROR(VLOOKUP(A360,Partidas!$A$2:$E$201,4,FALSE),""))</f>
        <v/>
      </c>
      <c r="K360" s="9">
        <f>IF(A360="","",IFERROR(VLOOKUP(A360,Partidas!$A$2:$E$201,5,FALSE),""))</f>
        <v/>
      </c>
      <c r="L360" s="9">
        <f>IF(OR(I360="",G360=""),"",G360*I360)</f>
        <v/>
      </c>
      <c r="M360" s="9">
        <f>IF(OR(J360="",K360=""),"",J360*K360)</f>
        <v/>
      </c>
      <c r="N360" s="11">
        <f>IF(OR(I360="",K360="",K360=0),"",(I360-K360)/K360)</f>
        <v/>
      </c>
      <c r="O360" s="9">
        <f>IF(OR(G360="",J360=""),"",G360-J360)</f>
        <v/>
      </c>
    </row>
    <row r="361">
      <c r="H361" s="10" t="n"/>
      <c r="I361" s="9">
        <f>IF(H361="","",IF(E361="USD",H361*Parametros!$B$2,H361))</f>
        <v/>
      </c>
      <c r="J361" s="9">
        <f>IF(A361="","",IFERROR(VLOOKUP(A361,Partidas!$A$2:$E$201,4,FALSE),""))</f>
        <v/>
      </c>
      <c r="K361" s="9">
        <f>IF(A361="","",IFERROR(VLOOKUP(A361,Partidas!$A$2:$E$201,5,FALSE),""))</f>
        <v/>
      </c>
      <c r="L361" s="9">
        <f>IF(OR(I361="",G361=""),"",G361*I361)</f>
        <v/>
      </c>
      <c r="M361" s="9">
        <f>IF(OR(J361="",K361=""),"",J361*K361)</f>
        <v/>
      </c>
      <c r="N361" s="11">
        <f>IF(OR(I361="",K361="",K361=0),"",(I361-K361)/K361)</f>
        <v/>
      </c>
      <c r="O361" s="9">
        <f>IF(OR(G361="",J361=""),"",G361-J361)</f>
        <v/>
      </c>
    </row>
    <row r="362">
      <c r="H362" s="10" t="n"/>
      <c r="I362" s="9">
        <f>IF(H362="","",IF(E362="USD",H362*Parametros!$B$2,H362))</f>
        <v/>
      </c>
      <c r="J362" s="9">
        <f>IF(A362="","",IFERROR(VLOOKUP(A362,Partidas!$A$2:$E$201,4,FALSE),""))</f>
        <v/>
      </c>
      <c r="K362" s="9">
        <f>IF(A362="","",IFERROR(VLOOKUP(A362,Partidas!$A$2:$E$201,5,FALSE),""))</f>
        <v/>
      </c>
      <c r="L362" s="9">
        <f>IF(OR(I362="",G362=""),"",G362*I362)</f>
        <v/>
      </c>
      <c r="M362" s="9">
        <f>IF(OR(J362="",K362=""),"",J362*K362)</f>
        <v/>
      </c>
      <c r="N362" s="11">
        <f>IF(OR(I362="",K362="",K362=0),"",(I362-K362)/K362)</f>
        <v/>
      </c>
      <c r="O362" s="9">
        <f>IF(OR(G362="",J362=""),"",G362-J362)</f>
        <v/>
      </c>
    </row>
    <row r="363">
      <c r="H363" s="10" t="n"/>
      <c r="I363" s="9">
        <f>IF(H363="","",IF(E363="USD",H363*Parametros!$B$2,H363))</f>
        <v/>
      </c>
      <c r="J363" s="9">
        <f>IF(A363="","",IFERROR(VLOOKUP(A363,Partidas!$A$2:$E$201,4,FALSE),""))</f>
        <v/>
      </c>
      <c r="K363" s="9">
        <f>IF(A363="","",IFERROR(VLOOKUP(A363,Partidas!$A$2:$E$201,5,FALSE),""))</f>
        <v/>
      </c>
      <c r="L363" s="9">
        <f>IF(OR(I363="",G363=""),"",G363*I363)</f>
        <v/>
      </c>
      <c r="M363" s="9">
        <f>IF(OR(J363="",K363=""),"",J363*K363)</f>
        <v/>
      </c>
      <c r="N363" s="11">
        <f>IF(OR(I363="",K363="",K363=0),"",(I363-K363)/K363)</f>
        <v/>
      </c>
      <c r="O363" s="9">
        <f>IF(OR(G363="",J363=""),"",G363-J363)</f>
        <v/>
      </c>
    </row>
    <row r="364">
      <c r="H364" s="10" t="n"/>
      <c r="I364" s="9">
        <f>IF(H364="","",IF(E364="USD",H364*Parametros!$B$2,H364))</f>
        <v/>
      </c>
      <c r="J364" s="9">
        <f>IF(A364="","",IFERROR(VLOOKUP(A364,Partidas!$A$2:$E$201,4,FALSE),""))</f>
        <v/>
      </c>
      <c r="K364" s="9">
        <f>IF(A364="","",IFERROR(VLOOKUP(A364,Partidas!$A$2:$E$201,5,FALSE),""))</f>
        <v/>
      </c>
      <c r="L364" s="9">
        <f>IF(OR(I364="",G364=""),"",G364*I364)</f>
        <v/>
      </c>
      <c r="M364" s="9">
        <f>IF(OR(J364="",K364=""),"",J364*K364)</f>
        <v/>
      </c>
      <c r="N364" s="11">
        <f>IF(OR(I364="",K364="",K364=0),"",(I364-K364)/K364)</f>
        <v/>
      </c>
      <c r="O364" s="9">
        <f>IF(OR(G364="",J364=""),"",G364-J364)</f>
        <v/>
      </c>
    </row>
    <row r="365">
      <c r="H365" s="10" t="n"/>
      <c r="I365" s="9">
        <f>IF(H365="","",IF(E365="USD",H365*Parametros!$B$2,H365))</f>
        <v/>
      </c>
      <c r="J365" s="9">
        <f>IF(A365="","",IFERROR(VLOOKUP(A365,Partidas!$A$2:$E$201,4,FALSE),""))</f>
        <v/>
      </c>
      <c r="K365" s="9">
        <f>IF(A365="","",IFERROR(VLOOKUP(A365,Partidas!$A$2:$E$201,5,FALSE),""))</f>
        <v/>
      </c>
      <c r="L365" s="9">
        <f>IF(OR(I365="",G365=""),"",G365*I365)</f>
        <v/>
      </c>
      <c r="M365" s="9">
        <f>IF(OR(J365="",K365=""),"",J365*K365)</f>
        <v/>
      </c>
      <c r="N365" s="11">
        <f>IF(OR(I365="",K365="",K365=0),"",(I365-K365)/K365)</f>
        <v/>
      </c>
      <c r="O365" s="9">
        <f>IF(OR(G365="",J365=""),"",G365-J365)</f>
        <v/>
      </c>
    </row>
    <row r="366">
      <c r="H366" s="10" t="n"/>
      <c r="I366" s="9">
        <f>IF(H366="","",IF(E366="USD",H366*Parametros!$B$2,H366))</f>
        <v/>
      </c>
      <c r="J366" s="9">
        <f>IF(A366="","",IFERROR(VLOOKUP(A366,Partidas!$A$2:$E$201,4,FALSE),""))</f>
        <v/>
      </c>
      <c r="K366" s="9">
        <f>IF(A366="","",IFERROR(VLOOKUP(A366,Partidas!$A$2:$E$201,5,FALSE),""))</f>
        <v/>
      </c>
      <c r="L366" s="9">
        <f>IF(OR(I366="",G366=""),"",G366*I366)</f>
        <v/>
      </c>
      <c r="M366" s="9">
        <f>IF(OR(J366="",K366=""),"",J366*K366)</f>
        <v/>
      </c>
      <c r="N366" s="11">
        <f>IF(OR(I366="",K366="",K366=0),"",(I366-K366)/K366)</f>
        <v/>
      </c>
      <c r="O366" s="9">
        <f>IF(OR(G366="",J366=""),"",G366-J366)</f>
        <v/>
      </c>
    </row>
    <row r="367">
      <c r="H367" s="10" t="n"/>
      <c r="I367" s="9">
        <f>IF(H367="","",IF(E367="USD",H367*Parametros!$B$2,H367))</f>
        <v/>
      </c>
      <c r="J367" s="9">
        <f>IF(A367="","",IFERROR(VLOOKUP(A367,Partidas!$A$2:$E$201,4,FALSE),""))</f>
        <v/>
      </c>
      <c r="K367" s="9">
        <f>IF(A367="","",IFERROR(VLOOKUP(A367,Partidas!$A$2:$E$201,5,FALSE),""))</f>
        <v/>
      </c>
      <c r="L367" s="9">
        <f>IF(OR(I367="",G367=""),"",G367*I367)</f>
        <v/>
      </c>
      <c r="M367" s="9">
        <f>IF(OR(J367="",K367=""),"",J367*K367)</f>
        <v/>
      </c>
      <c r="N367" s="11">
        <f>IF(OR(I367="",K367="",K367=0),"",(I367-K367)/K367)</f>
        <v/>
      </c>
      <c r="O367" s="9">
        <f>IF(OR(G367="",J367=""),"",G367-J367)</f>
        <v/>
      </c>
    </row>
    <row r="368">
      <c r="H368" s="10" t="n"/>
      <c r="I368" s="9">
        <f>IF(H368="","",IF(E368="USD",H368*Parametros!$B$2,H368))</f>
        <v/>
      </c>
      <c r="J368" s="9">
        <f>IF(A368="","",IFERROR(VLOOKUP(A368,Partidas!$A$2:$E$201,4,FALSE),""))</f>
        <v/>
      </c>
      <c r="K368" s="9">
        <f>IF(A368="","",IFERROR(VLOOKUP(A368,Partidas!$A$2:$E$201,5,FALSE),""))</f>
        <v/>
      </c>
      <c r="L368" s="9">
        <f>IF(OR(I368="",G368=""),"",G368*I368)</f>
        <v/>
      </c>
      <c r="M368" s="9">
        <f>IF(OR(J368="",K368=""),"",J368*K368)</f>
        <v/>
      </c>
      <c r="N368" s="11">
        <f>IF(OR(I368="",K368="",K368=0),"",(I368-K368)/K368)</f>
        <v/>
      </c>
      <c r="O368" s="9">
        <f>IF(OR(G368="",J368=""),"",G368-J368)</f>
        <v/>
      </c>
    </row>
    <row r="369">
      <c r="H369" s="10" t="n"/>
      <c r="I369" s="9">
        <f>IF(H369="","",IF(E369="USD",H369*Parametros!$B$2,H369))</f>
        <v/>
      </c>
      <c r="J369" s="9">
        <f>IF(A369="","",IFERROR(VLOOKUP(A369,Partidas!$A$2:$E$201,4,FALSE),""))</f>
        <v/>
      </c>
      <c r="K369" s="9">
        <f>IF(A369="","",IFERROR(VLOOKUP(A369,Partidas!$A$2:$E$201,5,FALSE),""))</f>
        <v/>
      </c>
      <c r="L369" s="9">
        <f>IF(OR(I369="",G369=""),"",G369*I369)</f>
        <v/>
      </c>
      <c r="M369" s="9">
        <f>IF(OR(J369="",K369=""),"",J369*K369)</f>
        <v/>
      </c>
      <c r="N369" s="11">
        <f>IF(OR(I369="",K369="",K369=0),"",(I369-K369)/K369)</f>
        <v/>
      </c>
      <c r="O369" s="9">
        <f>IF(OR(G369="",J369=""),"",G369-J369)</f>
        <v/>
      </c>
    </row>
    <row r="370">
      <c r="H370" s="10" t="n"/>
      <c r="I370" s="9">
        <f>IF(H370="","",IF(E370="USD",H370*Parametros!$B$2,H370))</f>
        <v/>
      </c>
      <c r="J370" s="9">
        <f>IF(A370="","",IFERROR(VLOOKUP(A370,Partidas!$A$2:$E$201,4,FALSE),""))</f>
        <v/>
      </c>
      <c r="K370" s="9">
        <f>IF(A370="","",IFERROR(VLOOKUP(A370,Partidas!$A$2:$E$201,5,FALSE),""))</f>
        <v/>
      </c>
      <c r="L370" s="9">
        <f>IF(OR(I370="",G370=""),"",G370*I370)</f>
        <v/>
      </c>
      <c r="M370" s="9">
        <f>IF(OR(J370="",K370=""),"",J370*K370)</f>
        <v/>
      </c>
      <c r="N370" s="11">
        <f>IF(OR(I370="",K370="",K370=0),"",(I370-K370)/K370)</f>
        <v/>
      </c>
      <c r="O370" s="9">
        <f>IF(OR(G370="",J370=""),"",G370-J370)</f>
        <v/>
      </c>
    </row>
    <row r="371">
      <c r="H371" s="10" t="n"/>
      <c r="I371" s="9">
        <f>IF(H371="","",IF(E371="USD",H371*Parametros!$B$2,H371))</f>
        <v/>
      </c>
      <c r="J371" s="9">
        <f>IF(A371="","",IFERROR(VLOOKUP(A371,Partidas!$A$2:$E$201,4,FALSE),""))</f>
        <v/>
      </c>
      <c r="K371" s="9">
        <f>IF(A371="","",IFERROR(VLOOKUP(A371,Partidas!$A$2:$E$201,5,FALSE),""))</f>
        <v/>
      </c>
      <c r="L371" s="9">
        <f>IF(OR(I371="",G371=""),"",G371*I371)</f>
        <v/>
      </c>
      <c r="M371" s="9">
        <f>IF(OR(J371="",K371=""),"",J371*K371)</f>
        <v/>
      </c>
      <c r="N371" s="11">
        <f>IF(OR(I371="",K371="",K371=0),"",(I371-K371)/K371)</f>
        <v/>
      </c>
      <c r="O371" s="9">
        <f>IF(OR(G371="",J371=""),"",G371-J371)</f>
        <v/>
      </c>
    </row>
    <row r="372">
      <c r="H372" s="10" t="n"/>
      <c r="I372" s="9">
        <f>IF(H372="","",IF(E372="USD",H372*Parametros!$B$2,H372))</f>
        <v/>
      </c>
      <c r="J372" s="9">
        <f>IF(A372="","",IFERROR(VLOOKUP(A372,Partidas!$A$2:$E$201,4,FALSE),""))</f>
        <v/>
      </c>
      <c r="K372" s="9">
        <f>IF(A372="","",IFERROR(VLOOKUP(A372,Partidas!$A$2:$E$201,5,FALSE),""))</f>
        <v/>
      </c>
      <c r="L372" s="9">
        <f>IF(OR(I372="",G372=""),"",G372*I372)</f>
        <v/>
      </c>
      <c r="M372" s="9">
        <f>IF(OR(J372="",K372=""),"",J372*K372)</f>
        <v/>
      </c>
      <c r="N372" s="11">
        <f>IF(OR(I372="",K372="",K372=0),"",(I372-K372)/K372)</f>
        <v/>
      </c>
      <c r="O372" s="9">
        <f>IF(OR(G372="",J372=""),"",G372-J372)</f>
        <v/>
      </c>
    </row>
    <row r="373">
      <c r="H373" s="10" t="n"/>
      <c r="I373" s="9">
        <f>IF(H373="","",IF(E373="USD",H373*Parametros!$B$2,H373))</f>
        <v/>
      </c>
      <c r="J373" s="9">
        <f>IF(A373="","",IFERROR(VLOOKUP(A373,Partidas!$A$2:$E$201,4,FALSE),""))</f>
        <v/>
      </c>
      <c r="K373" s="9">
        <f>IF(A373="","",IFERROR(VLOOKUP(A373,Partidas!$A$2:$E$201,5,FALSE),""))</f>
        <v/>
      </c>
      <c r="L373" s="9">
        <f>IF(OR(I373="",G373=""),"",G373*I373)</f>
        <v/>
      </c>
      <c r="M373" s="9">
        <f>IF(OR(J373="",K373=""),"",J373*K373)</f>
        <v/>
      </c>
      <c r="N373" s="11">
        <f>IF(OR(I373="",K373="",K373=0),"",(I373-K373)/K373)</f>
        <v/>
      </c>
      <c r="O373" s="9">
        <f>IF(OR(G373="",J373=""),"",G373-J373)</f>
        <v/>
      </c>
    </row>
    <row r="374">
      <c r="H374" s="10" t="n"/>
      <c r="I374" s="9">
        <f>IF(H374="","",IF(E374="USD",H374*Parametros!$B$2,H374))</f>
        <v/>
      </c>
      <c r="J374" s="9">
        <f>IF(A374="","",IFERROR(VLOOKUP(A374,Partidas!$A$2:$E$201,4,FALSE),""))</f>
        <v/>
      </c>
      <c r="K374" s="9">
        <f>IF(A374="","",IFERROR(VLOOKUP(A374,Partidas!$A$2:$E$201,5,FALSE),""))</f>
        <v/>
      </c>
      <c r="L374" s="9">
        <f>IF(OR(I374="",G374=""),"",G374*I374)</f>
        <v/>
      </c>
      <c r="M374" s="9">
        <f>IF(OR(J374="",K374=""),"",J374*K374)</f>
        <v/>
      </c>
      <c r="N374" s="11">
        <f>IF(OR(I374="",K374="",K374=0),"",(I374-K374)/K374)</f>
        <v/>
      </c>
      <c r="O374" s="9">
        <f>IF(OR(G374="",J374=""),"",G374-J374)</f>
        <v/>
      </c>
    </row>
    <row r="375">
      <c r="H375" s="10" t="n"/>
      <c r="I375" s="9">
        <f>IF(H375="","",IF(E375="USD",H375*Parametros!$B$2,H375))</f>
        <v/>
      </c>
      <c r="J375" s="9">
        <f>IF(A375="","",IFERROR(VLOOKUP(A375,Partidas!$A$2:$E$201,4,FALSE),""))</f>
        <v/>
      </c>
      <c r="K375" s="9">
        <f>IF(A375="","",IFERROR(VLOOKUP(A375,Partidas!$A$2:$E$201,5,FALSE),""))</f>
        <v/>
      </c>
      <c r="L375" s="9">
        <f>IF(OR(I375="",G375=""),"",G375*I375)</f>
        <v/>
      </c>
      <c r="M375" s="9">
        <f>IF(OR(J375="",K375=""),"",J375*K375)</f>
        <v/>
      </c>
      <c r="N375" s="11">
        <f>IF(OR(I375="",K375="",K375=0),"",(I375-K375)/K375)</f>
        <v/>
      </c>
      <c r="O375" s="9">
        <f>IF(OR(G375="",J375=""),"",G375-J375)</f>
        <v/>
      </c>
    </row>
    <row r="376">
      <c r="H376" s="10" t="n"/>
      <c r="I376" s="9">
        <f>IF(H376="","",IF(E376="USD",H376*Parametros!$B$2,H376))</f>
        <v/>
      </c>
      <c r="J376" s="9">
        <f>IF(A376="","",IFERROR(VLOOKUP(A376,Partidas!$A$2:$E$201,4,FALSE),""))</f>
        <v/>
      </c>
      <c r="K376" s="9">
        <f>IF(A376="","",IFERROR(VLOOKUP(A376,Partidas!$A$2:$E$201,5,FALSE),""))</f>
        <v/>
      </c>
      <c r="L376" s="9">
        <f>IF(OR(I376="",G376=""),"",G376*I376)</f>
        <v/>
      </c>
      <c r="M376" s="9">
        <f>IF(OR(J376="",K376=""),"",J376*K376)</f>
        <v/>
      </c>
      <c r="N376" s="11">
        <f>IF(OR(I376="",K376="",K376=0),"",(I376-K376)/K376)</f>
        <v/>
      </c>
      <c r="O376" s="9">
        <f>IF(OR(G376="",J376=""),"",G376-J376)</f>
        <v/>
      </c>
    </row>
    <row r="377">
      <c r="H377" s="10" t="n"/>
      <c r="I377" s="9">
        <f>IF(H377="","",IF(E377="USD",H377*Parametros!$B$2,H377))</f>
        <v/>
      </c>
      <c r="J377" s="9">
        <f>IF(A377="","",IFERROR(VLOOKUP(A377,Partidas!$A$2:$E$201,4,FALSE),""))</f>
        <v/>
      </c>
      <c r="K377" s="9">
        <f>IF(A377="","",IFERROR(VLOOKUP(A377,Partidas!$A$2:$E$201,5,FALSE),""))</f>
        <v/>
      </c>
      <c r="L377" s="9">
        <f>IF(OR(I377="",G377=""),"",G377*I377)</f>
        <v/>
      </c>
      <c r="M377" s="9">
        <f>IF(OR(J377="",K377=""),"",J377*K377)</f>
        <v/>
      </c>
      <c r="N377" s="11">
        <f>IF(OR(I377="",K377="",K377=0),"",(I377-K377)/K377)</f>
        <v/>
      </c>
      <c r="O377" s="9">
        <f>IF(OR(G377="",J377=""),"",G377-J377)</f>
        <v/>
      </c>
    </row>
    <row r="378">
      <c r="H378" s="10" t="n"/>
      <c r="I378" s="9">
        <f>IF(H378="","",IF(E378="USD",H378*Parametros!$B$2,H378))</f>
        <v/>
      </c>
      <c r="J378" s="9">
        <f>IF(A378="","",IFERROR(VLOOKUP(A378,Partidas!$A$2:$E$201,4,FALSE),""))</f>
        <v/>
      </c>
      <c r="K378" s="9">
        <f>IF(A378="","",IFERROR(VLOOKUP(A378,Partidas!$A$2:$E$201,5,FALSE),""))</f>
        <v/>
      </c>
      <c r="L378" s="9">
        <f>IF(OR(I378="",G378=""),"",G378*I378)</f>
        <v/>
      </c>
      <c r="M378" s="9">
        <f>IF(OR(J378="",K378=""),"",J378*K378)</f>
        <v/>
      </c>
      <c r="N378" s="11">
        <f>IF(OR(I378="",K378="",K378=0),"",(I378-K378)/K378)</f>
        <v/>
      </c>
      <c r="O378" s="9">
        <f>IF(OR(G378="",J378=""),"",G378-J378)</f>
        <v/>
      </c>
    </row>
    <row r="379">
      <c r="H379" s="10" t="n"/>
      <c r="I379" s="9">
        <f>IF(H379="","",IF(E379="USD",H379*Parametros!$B$2,H379))</f>
        <v/>
      </c>
      <c r="J379" s="9">
        <f>IF(A379="","",IFERROR(VLOOKUP(A379,Partidas!$A$2:$E$201,4,FALSE),""))</f>
        <v/>
      </c>
      <c r="K379" s="9">
        <f>IF(A379="","",IFERROR(VLOOKUP(A379,Partidas!$A$2:$E$201,5,FALSE),""))</f>
        <v/>
      </c>
      <c r="L379" s="9">
        <f>IF(OR(I379="",G379=""),"",G379*I379)</f>
        <v/>
      </c>
      <c r="M379" s="9">
        <f>IF(OR(J379="",K379=""),"",J379*K379)</f>
        <v/>
      </c>
      <c r="N379" s="11">
        <f>IF(OR(I379="",K379="",K379=0),"",(I379-K379)/K379)</f>
        <v/>
      </c>
      <c r="O379" s="9">
        <f>IF(OR(G379="",J379=""),"",G379-J379)</f>
        <v/>
      </c>
    </row>
    <row r="380">
      <c r="H380" s="10" t="n"/>
      <c r="I380" s="9">
        <f>IF(H380="","",IF(E380="USD",H380*Parametros!$B$2,H380))</f>
        <v/>
      </c>
      <c r="J380" s="9">
        <f>IF(A380="","",IFERROR(VLOOKUP(A380,Partidas!$A$2:$E$201,4,FALSE),""))</f>
        <v/>
      </c>
      <c r="K380" s="9">
        <f>IF(A380="","",IFERROR(VLOOKUP(A380,Partidas!$A$2:$E$201,5,FALSE),""))</f>
        <v/>
      </c>
      <c r="L380" s="9">
        <f>IF(OR(I380="",G380=""),"",G380*I380)</f>
        <v/>
      </c>
      <c r="M380" s="9">
        <f>IF(OR(J380="",K380=""),"",J380*K380)</f>
        <v/>
      </c>
      <c r="N380" s="11">
        <f>IF(OR(I380="",K380="",K380=0),"",(I380-K380)/K380)</f>
        <v/>
      </c>
      <c r="O380" s="9">
        <f>IF(OR(G380="",J380=""),"",G380-J380)</f>
        <v/>
      </c>
    </row>
    <row r="381">
      <c r="H381" s="10" t="n"/>
      <c r="I381" s="9">
        <f>IF(H381="","",IF(E381="USD",H381*Parametros!$B$2,H381))</f>
        <v/>
      </c>
      <c r="J381" s="9">
        <f>IF(A381="","",IFERROR(VLOOKUP(A381,Partidas!$A$2:$E$201,4,FALSE),""))</f>
        <v/>
      </c>
      <c r="K381" s="9">
        <f>IF(A381="","",IFERROR(VLOOKUP(A381,Partidas!$A$2:$E$201,5,FALSE),""))</f>
        <v/>
      </c>
      <c r="L381" s="9">
        <f>IF(OR(I381="",G381=""),"",G381*I381)</f>
        <v/>
      </c>
      <c r="M381" s="9">
        <f>IF(OR(J381="",K381=""),"",J381*K381)</f>
        <v/>
      </c>
      <c r="N381" s="11">
        <f>IF(OR(I381="",K381="",K381=0),"",(I381-K381)/K381)</f>
        <v/>
      </c>
      <c r="O381" s="9">
        <f>IF(OR(G381="",J381=""),"",G381-J381)</f>
        <v/>
      </c>
    </row>
    <row r="382">
      <c r="H382" s="10" t="n"/>
      <c r="I382" s="9">
        <f>IF(H382="","",IF(E382="USD",H382*Parametros!$B$2,H382))</f>
        <v/>
      </c>
      <c r="J382" s="9">
        <f>IF(A382="","",IFERROR(VLOOKUP(A382,Partidas!$A$2:$E$201,4,FALSE),""))</f>
        <v/>
      </c>
      <c r="K382" s="9">
        <f>IF(A382="","",IFERROR(VLOOKUP(A382,Partidas!$A$2:$E$201,5,FALSE),""))</f>
        <v/>
      </c>
      <c r="L382" s="9">
        <f>IF(OR(I382="",G382=""),"",G382*I382)</f>
        <v/>
      </c>
      <c r="M382" s="9">
        <f>IF(OR(J382="",K382=""),"",J382*K382)</f>
        <v/>
      </c>
      <c r="N382" s="11">
        <f>IF(OR(I382="",K382="",K382=0),"",(I382-K382)/K382)</f>
        <v/>
      </c>
      <c r="O382" s="9">
        <f>IF(OR(G382="",J382=""),"",G382-J382)</f>
        <v/>
      </c>
    </row>
    <row r="383">
      <c r="H383" s="10" t="n"/>
      <c r="I383" s="9">
        <f>IF(H383="","",IF(E383="USD",H383*Parametros!$B$2,H383))</f>
        <v/>
      </c>
      <c r="J383" s="9">
        <f>IF(A383="","",IFERROR(VLOOKUP(A383,Partidas!$A$2:$E$201,4,FALSE),""))</f>
        <v/>
      </c>
      <c r="K383" s="9">
        <f>IF(A383="","",IFERROR(VLOOKUP(A383,Partidas!$A$2:$E$201,5,FALSE),""))</f>
        <v/>
      </c>
      <c r="L383" s="9">
        <f>IF(OR(I383="",G383=""),"",G383*I383)</f>
        <v/>
      </c>
      <c r="M383" s="9">
        <f>IF(OR(J383="",K383=""),"",J383*K383)</f>
        <v/>
      </c>
      <c r="N383" s="11">
        <f>IF(OR(I383="",K383="",K383=0),"",(I383-K383)/K383)</f>
        <v/>
      </c>
      <c r="O383" s="9">
        <f>IF(OR(G383="",J383=""),"",G383-J383)</f>
        <v/>
      </c>
    </row>
    <row r="384">
      <c r="H384" s="10" t="n"/>
      <c r="I384" s="9">
        <f>IF(H384="","",IF(E384="USD",H384*Parametros!$B$2,H384))</f>
        <v/>
      </c>
      <c r="J384" s="9">
        <f>IF(A384="","",IFERROR(VLOOKUP(A384,Partidas!$A$2:$E$201,4,FALSE),""))</f>
        <v/>
      </c>
      <c r="K384" s="9">
        <f>IF(A384="","",IFERROR(VLOOKUP(A384,Partidas!$A$2:$E$201,5,FALSE),""))</f>
        <v/>
      </c>
      <c r="L384" s="9">
        <f>IF(OR(I384="",G384=""),"",G384*I384)</f>
        <v/>
      </c>
      <c r="M384" s="9">
        <f>IF(OR(J384="",K384=""),"",J384*K384)</f>
        <v/>
      </c>
      <c r="N384" s="11">
        <f>IF(OR(I384="",K384="",K384=0),"",(I384-K384)/K384)</f>
        <v/>
      </c>
      <c r="O384" s="9">
        <f>IF(OR(G384="",J384=""),"",G384-J384)</f>
        <v/>
      </c>
    </row>
    <row r="385">
      <c r="H385" s="10" t="n"/>
      <c r="I385" s="9">
        <f>IF(H385="","",IF(E385="USD",H385*Parametros!$B$2,H385))</f>
        <v/>
      </c>
      <c r="J385" s="9">
        <f>IF(A385="","",IFERROR(VLOOKUP(A385,Partidas!$A$2:$E$201,4,FALSE),""))</f>
        <v/>
      </c>
      <c r="K385" s="9">
        <f>IF(A385="","",IFERROR(VLOOKUP(A385,Partidas!$A$2:$E$201,5,FALSE),""))</f>
        <v/>
      </c>
      <c r="L385" s="9">
        <f>IF(OR(I385="",G385=""),"",G385*I385)</f>
        <v/>
      </c>
      <c r="M385" s="9">
        <f>IF(OR(J385="",K385=""),"",J385*K385)</f>
        <v/>
      </c>
      <c r="N385" s="11">
        <f>IF(OR(I385="",K385="",K385=0),"",(I385-K385)/K385)</f>
        <v/>
      </c>
      <c r="O385" s="9">
        <f>IF(OR(G385="",J385=""),"",G385-J385)</f>
        <v/>
      </c>
    </row>
    <row r="386">
      <c r="H386" s="10" t="n"/>
      <c r="I386" s="9">
        <f>IF(H386="","",IF(E386="USD",H386*Parametros!$B$2,H386))</f>
        <v/>
      </c>
      <c r="J386" s="9">
        <f>IF(A386="","",IFERROR(VLOOKUP(A386,Partidas!$A$2:$E$201,4,FALSE),""))</f>
        <v/>
      </c>
      <c r="K386" s="9">
        <f>IF(A386="","",IFERROR(VLOOKUP(A386,Partidas!$A$2:$E$201,5,FALSE),""))</f>
        <v/>
      </c>
      <c r="L386" s="9">
        <f>IF(OR(I386="",G386=""),"",G386*I386)</f>
        <v/>
      </c>
      <c r="M386" s="9">
        <f>IF(OR(J386="",K386=""),"",J386*K386)</f>
        <v/>
      </c>
      <c r="N386" s="11">
        <f>IF(OR(I386="",K386="",K386=0),"",(I386-K386)/K386)</f>
        <v/>
      </c>
      <c r="O386" s="9">
        <f>IF(OR(G386="",J386=""),"",G386-J386)</f>
        <v/>
      </c>
    </row>
    <row r="387">
      <c r="H387" s="10" t="n"/>
      <c r="I387" s="9">
        <f>IF(H387="","",IF(E387="USD",H387*Parametros!$B$2,H387))</f>
        <v/>
      </c>
      <c r="J387" s="9">
        <f>IF(A387="","",IFERROR(VLOOKUP(A387,Partidas!$A$2:$E$201,4,FALSE),""))</f>
        <v/>
      </c>
      <c r="K387" s="9">
        <f>IF(A387="","",IFERROR(VLOOKUP(A387,Partidas!$A$2:$E$201,5,FALSE),""))</f>
        <v/>
      </c>
      <c r="L387" s="9">
        <f>IF(OR(I387="",G387=""),"",G387*I387)</f>
        <v/>
      </c>
      <c r="M387" s="9">
        <f>IF(OR(J387="",K387=""),"",J387*K387)</f>
        <v/>
      </c>
      <c r="N387" s="11">
        <f>IF(OR(I387="",K387="",K387=0),"",(I387-K387)/K387)</f>
        <v/>
      </c>
      <c r="O387" s="9">
        <f>IF(OR(G387="",J387=""),"",G387-J387)</f>
        <v/>
      </c>
    </row>
    <row r="388">
      <c r="H388" s="10" t="n"/>
      <c r="I388" s="9">
        <f>IF(H388="","",IF(E388="USD",H388*Parametros!$B$2,H388))</f>
        <v/>
      </c>
      <c r="J388" s="9">
        <f>IF(A388="","",IFERROR(VLOOKUP(A388,Partidas!$A$2:$E$201,4,FALSE),""))</f>
        <v/>
      </c>
      <c r="K388" s="9">
        <f>IF(A388="","",IFERROR(VLOOKUP(A388,Partidas!$A$2:$E$201,5,FALSE),""))</f>
        <v/>
      </c>
      <c r="L388" s="9">
        <f>IF(OR(I388="",G388=""),"",G388*I388)</f>
        <v/>
      </c>
      <c r="M388" s="9">
        <f>IF(OR(J388="",K388=""),"",J388*K388)</f>
        <v/>
      </c>
      <c r="N388" s="11">
        <f>IF(OR(I388="",K388="",K388=0),"",(I388-K388)/K388)</f>
        <v/>
      </c>
      <c r="O388" s="9">
        <f>IF(OR(G388="",J388=""),"",G388-J388)</f>
        <v/>
      </c>
    </row>
    <row r="389">
      <c r="H389" s="10" t="n"/>
      <c r="I389" s="9">
        <f>IF(H389="","",IF(E389="USD",H389*Parametros!$B$2,H389))</f>
        <v/>
      </c>
      <c r="J389" s="9">
        <f>IF(A389="","",IFERROR(VLOOKUP(A389,Partidas!$A$2:$E$201,4,FALSE),""))</f>
        <v/>
      </c>
      <c r="K389" s="9">
        <f>IF(A389="","",IFERROR(VLOOKUP(A389,Partidas!$A$2:$E$201,5,FALSE),""))</f>
        <v/>
      </c>
      <c r="L389" s="9">
        <f>IF(OR(I389="",G389=""),"",G389*I389)</f>
        <v/>
      </c>
      <c r="M389" s="9">
        <f>IF(OR(J389="",K389=""),"",J389*K389)</f>
        <v/>
      </c>
      <c r="N389" s="11">
        <f>IF(OR(I389="",K389="",K389=0),"",(I389-K389)/K389)</f>
        <v/>
      </c>
      <c r="O389" s="9">
        <f>IF(OR(G389="",J389=""),"",G389-J389)</f>
        <v/>
      </c>
    </row>
    <row r="390">
      <c r="H390" s="10" t="n"/>
      <c r="I390" s="9">
        <f>IF(H390="","",IF(E390="USD",H390*Parametros!$B$2,H390))</f>
        <v/>
      </c>
      <c r="J390" s="9">
        <f>IF(A390="","",IFERROR(VLOOKUP(A390,Partidas!$A$2:$E$201,4,FALSE),""))</f>
        <v/>
      </c>
      <c r="K390" s="9">
        <f>IF(A390="","",IFERROR(VLOOKUP(A390,Partidas!$A$2:$E$201,5,FALSE),""))</f>
        <v/>
      </c>
      <c r="L390" s="9">
        <f>IF(OR(I390="",G390=""),"",G390*I390)</f>
        <v/>
      </c>
      <c r="M390" s="9">
        <f>IF(OR(J390="",K390=""),"",J390*K390)</f>
        <v/>
      </c>
      <c r="N390" s="11">
        <f>IF(OR(I390="",K390="",K390=0),"",(I390-K390)/K390)</f>
        <v/>
      </c>
      <c r="O390" s="9">
        <f>IF(OR(G390="",J390=""),"",G390-J390)</f>
        <v/>
      </c>
    </row>
    <row r="391">
      <c r="H391" s="10" t="n"/>
      <c r="I391" s="9">
        <f>IF(H391="","",IF(E391="USD",H391*Parametros!$B$2,H391))</f>
        <v/>
      </c>
      <c r="J391" s="9">
        <f>IF(A391="","",IFERROR(VLOOKUP(A391,Partidas!$A$2:$E$201,4,FALSE),""))</f>
        <v/>
      </c>
      <c r="K391" s="9">
        <f>IF(A391="","",IFERROR(VLOOKUP(A391,Partidas!$A$2:$E$201,5,FALSE),""))</f>
        <v/>
      </c>
      <c r="L391" s="9">
        <f>IF(OR(I391="",G391=""),"",G391*I391)</f>
        <v/>
      </c>
      <c r="M391" s="9">
        <f>IF(OR(J391="",K391=""),"",J391*K391)</f>
        <v/>
      </c>
      <c r="N391" s="11">
        <f>IF(OR(I391="",K391="",K391=0),"",(I391-K391)/K391)</f>
        <v/>
      </c>
      <c r="O391" s="9">
        <f>IF(OR(G391="",J391=""),"",G391-J391)</f>
        <v/>
      </c>
    </row>
    <row r="392">
      <c r="H392" s="10" t="n"/>
      <c r="I392" s="9">
        <f>IF(H392="","",IF(E392="USD",H392*Parametros!$B$2,H392))</f>
        <v/>
      </c>
      <c r="J392" s="9">
        <f>IF(A392="","",IFERROR(VLOOKUP(A392,Partidas!$A$2:$E$201,4,FALSE),""))</f>
        <v/>
      </c>
      <c r="K392" s="9">
        <f>IF(A392="","",IFERROR(VLOOKUP(A392,Partidas!$A$2:$E$201,5,FALSE),""))</f>
        <v/>
      </c>
      <c r="L392" s="9">
        <f>IF(OR(I392="",G392=""),"",G392*I392)</f>
        <v/>
      </c>
      <c r="M392" s="9">
        <f>IF(OR(J392="",K392=""),"",J392*K392)</f>
        <v/>
      </c>
      <c r="N392" s="11">
        <f>IF(OR(I392="",K392="",K392=0),"",(I392-K392)/K392)</f>
        <v/>
      </c>
      <c r="O392" s="9">
        <f>IF(OR(G392="",J392=""),"",G392-J392)</f>
        <v/>
      </c>
    </row>
    <row r="393">
      <c r="H393" s="10" t="n"/>
      <c r="I393" s="9">
        <f>IF(H393="","",IF(E393="USD",H393*Parametros!$B$2,H393))</f>
        <v/>
      </c>
      <c r="J393" s="9">
        <f>IF(A393="","",IFERROR(VLOOKUP(A393,Partidas!$A$2:$E$201,4,FALSE),""))</f>
        <v/>
      </c>
      <c r="K393" s="9">
        <f>IF(A393="","",IFERROR(VLOOKUP(A393,Partidas!$A$2:$E$201,5,FALSE),""))</f>
        <v/>
      </c>
      <c r="L393" s="9">
        <f>IF(OR(I393="",G393=""),"",G393*I393)</f>
        <v/>
      </c>
      <c r="M393" s="9">
        <f>IF(OR(J393="",K393=""),"",J393*K393)</f>
        <v/>
      </c>
      <c r="N393" s="11">
        <f>IF(OR(I393="",K393="",K393=0),"",(I393-K393)/K393)</f>
        <v/>
      </c>
      <c r="O393" s="9">
        <f>IF(OR(G393="",J393=""),"",G393-J393)</f>
        <v/>
      </c>
    </row>
    <row r="394">
      <c r="H394" s="10" t="n"/>
      <c r="I394" s="9">
        <f>IF(H394="","",IF(E394="USD",H394*Parametros!$B$2,H394))</f>
        <v/>
      </c>
      <c r="J394" s="9">
        <f>IF(A394="","",IFERROR(VLOOKUP(A394,Partidas!$A$2:$E$201,4,FALSE),""))</f>
        <v/>
      </c>
      <c r="K394" s="9">
        <f>IF(A394="","",IFERROR(VLOOKUP(A394,Partidas!$A$2:$E$201,5,FALSE),""))</f>
        <v/>
      </c>
      <c r="L394" s="9">
        <f>IF(OR(I394="",G394=""),"",G394*I394)</f>
        <v/>
      </c>
      <c r="M394" s="9">
        <f>IF(OR(J394="",K394=""),"",J394*K394)</f>
        <v/>
      </c>
      <c r="N394" s="11">
        <f>IF(OR(I394="",K394="",K394=0),"",(I394-K394)/K394)</f>
        <v/>
      </c>
      <c r="O394" s="9">
        <f>IF(OR(G394="",J394=""),"",G394-J394)</f>
        <v/>
      </c>
    </row>
    <row r="395">
      <c r="H395" s="10" t="n"/>
      <c r="I395" s="9">
        <f>IF(H395="","",IF(E395="USD",H395*Parametros!$B$2,H395))</f>
        <v/>
      </c>
      <c r="J395" s="9">
        <f>IF(A395="","",IFERROR(VLOOKUP(A395,Partidas!$A$2:$E$201,4,FALSE),""))</f>
        <v/>
      </c>
      <c r="K395" s="9">
        <f>IF(A395="","",IFERROR(VLOOKUP(A395,Partidas!$A$2:$E$201,5,FALSE),""))</f>
        <v/>
      </c>
      <c r="L395" s="9">
        <f>IF(OR(I395="",G395=""),"",G395*I395)</f>
        <v/>
      </c>
      <c r="M395" s="9">
        <f>IF(OR(J395="",K395=""),"",J395*K395)</f>
        <v/>
      </c>
      <c r="N395" s="11">
        <f>IF(OR(I395="",K395="",K395=0),"",(I395-K395)/K395)</f>
        <v/>
      </c>
      <c r="O395" s="9">
        <f>IF(OR(G395="",J395=""),"",G395-J395)</f>
        <v/>
      </c>
    </row>
    <row r="396">
      <c r="H396" s="10" t="n"/>
      <c r="I396" s="9">
        <f>IF(H396="","",IF(E396="USD",H396*Parametros!$B$2,H396))</f>
        <v/>
      </c>
      <c r="J396" s="9">
        <f>IF(A396="","",IFERROR(VLOOKUP(A396,Partidas!$A$2:$E$201,4,FALSE),""))</f>
        <v/>
      </c>
      <c r="K396" s="9">
        <f>IF(A396="","",IFERROR(VLOOKUP(A396,Partidas!$A$2:$E$201,5,FALSE),""))</f>
        <v/>
      </c>
      <c r="L396" s="9">
        <f>IF(OR(I396="",G396=""),"",G396*I396)</f>
        <v/>
      </c>
      <c r="M396" s="9">
        <f>IF(OR(J396="",K396=""),"",J396*K396)</f>
        <v/>
      </c>
      <c r="N396" s="11">
        <f>IF(OR(I396="",K396="",K396=0),"",(I396-K396)/K396)</f>
        <v/>
      </c>
      <c r="O396" s="9">
        <f>IF(OR(G396="",J396=""),"",G396-J396)</f>
        <v/>
      </c>
    </row>
    <row r="397">
      <c r="H397" s="10" t="n"/>
      <c r="I397" s="9">
        <f>IF(H397="","",IF(E397="USD",H397*Parametros!$B$2,H397))</f>
        <v/>
      </c>
      <c r="J397" s="9">
        <f>IF(A397="","",IFERROR(VLOOKUP(A397,Partidas!$A$2:$E$201,4,FALSE),""))</f>
        <v/>
      </c>
      <c r="K397" s="9">
        <f>IF(A397="","",IFERROR(VLOOKUP(A397,Partidas!$A$2:$E$201,5,FALSE),""))</f>
        <v/>
      </c>
      <c r="L397" s="9">
        <f>IF(OR(I397="",G397=""),"",G397*I397)</f>
        <v/>
      </c>
      <c r="M397" s="9">
        <f>IF(OR(J397="",K397=""),"",J397*K397)</f>
        <v/>
      </c>
      <c r="N397" s="11">
        <f>IF(OR(I397="",K397="",K397=0),"",(I397-K397)/K397)</f>
        <v/>
      </c>
      <c r="O397" s="9">
        <f>IF(OR(G397="",J397=""),"",G397-J397)</f>
        <v/>
      </c>
    </row>
    <row r="398">
      <c r="H398" s="10" t="n"/>
      <c r="I398" s="9">
        <f>IF(H398="","",IF(E398="USD",H398*Parametros!$B$2,H398))</f>
        <v/>
      </c>
      <c r="J398" s="9">
        <f>IF(A398="","",IFERROR(VLOOKUP(A398,Partidas!$A$2:$E$201,4,FALSE),""))</f>
        <v/>
      </c>
      <c r="K398" s="9">
        <f>IF(A398="","",IFERROR(VLOOKUP(A398,Partidas!$A$2:$E$201,5,FALSE),""))</f>
        <v/>
      </c>
      <c r="L398" s="9">
        <f>IF(OR(I398="",G398=""),"",G398*I398)</f>
        <v/>
      </c>
      <c r="M398" s="9">
        <f>IF(OR(J398="",K398=""),"",J398*K398)</f>
        <v/>
      </c>
      <c r="N398" s="11">
        <f>IF(OR(I398="",K398="",K398=0),"",(I398-K398)/K398)</f>
        <v/>
      </c>
      <c r="O398" s="9">
        <f>IF(OR(G398="",J398=""),"",G398-J398)</f>
        <v/>
      </c>
    </row>
    <row r="399">
      <c r="H399" s="10" t="n"/>
      <c r="I399" s="9">
        <f>IF(H399="","",IF(E399="USD",H399*Parametros!$B$2,H399))</f>
        <v/>
      </c>
      <c r="J399" s="9">
        <f>IF(A399="","",IFERROR(VLOOKUP(A399,Partidas!$A$2:$E$201,4,FALSE),""))</f>
        <v/>
      </c>
      <c r="K399" s="9">
        <f>IF(A399="","",IFERROR(VLOOKUP(A399,Partidas!$A$2:$E$201,5,FALSE),""))</f>
        <v/>
      </c>
      <c r="L399" s="9">
        <f>IF(OR(I399="",G399=""),"",G399*I399)</f>
        <v/>
      </c>
      <c r="M399" s="9">
        <f>IF(OR(J399="",K399=""),"",J399*K399)</f>
        <v/>
      </c>
      <c r="N399" s="11">
        <f>IF(OR(I399="",K399="",K399=0),"",(I399-K399)/K399)</f>
        <v/>
      </c>
      <c r="O399" s="9">
        <f>IF(OR(G399="",J399=""),"",G399-J399)</f>
        <v/>
      </c>
    </row>
    <row r="400">
      <c r="H400" s="10" t="n"/>
      <c r="I400" s="9">
        <f>IF(H400="","",IF(E400="USD",H400*Parametros!$B$2,H400))</f>
        <v/>
      </c>
      <c r="J400" s="9">
        <f>IF(A400="","",IFERROR(VLOOKUP(A400,Partidas!$A$2:$E$201,4,FALSE),""))</f>
        <v/>
      </c>
      <c r="K400" s="9">
        <f>IF(A400="","",IFERROR(VLOOKUP(A400,Partidas!$A$2:$E$201,5,FALSE),""))</f>
        <v/>
      </c>
      <c r="L400" s="9">
        <f>IF(OR(I400="",G400=""),"",G400*I400)</f>
        <v/>
      </c>
      <c r="M400" s="9">
        <f>IF(OR(J400="",K400=""),"",J400*K400)</f>
        <v/>
      </c>
      <c r="N400" s="11">
        <f>IF(OR(I400="",K400="",K400=0),"",(I400-K400)/K400)</f>
        <v/>
      </c>
      <c r="O400" s="9">
        <f>IF(OR(G400="",J400=""),"",G400-J400)</f>
        <v/>
      </c>
    </row>
    <row r="401">
      <c r="H401" s="10" t="n"/>
      <c r="I401" s="9">
        <f>IF(H401="","",IF(E401="USD",H401*Parametros!$B$2,H401))</f>
        <v/>
      </c>
      <c r="J401" s="9">
        <f>IF(A401="","",IFERROR(VLOOKUP(A401,Partidas!$A$2:$E$201,4,FALSE),""))</f>
        <v/>
      </c>
      <c r="K401" s="9">
        <f>IF(A401="","",IFERROR(VLOOKUP(A401,Partidas!$A$2:$E$201,5,FALSE),""))</f>
        <v/>
      </c>
      <c r="L401" s="9">
        <f>IF(OR(I401="",G401=""),"",G401*I401)</f>
        <v/>
      </c>
      <c r="M401" s="9">
        <f>IF(OR(J401="",K401=""),"",J401*K401)</f>
        <v/>
      </c>
      <c r="N401" s="11">
        <f>IF(OR(I401="",K401="",K401=0),"",(I401-K401)/K401)</f>
        <v/>
      </c>
      <c r="O401" s="9">
        <f>IF(OR(G401="",J401=""),"",G401-J401)</f>
        <v/>
      </c>
    </row>
    <row r="402">
      <c r="H402" s="10" t="n"/>
      <c r="I402" s="9">
        <f>IF(H402="","",IF(E402="USD",H402*Parametros!$B$2,H402))</f>
        <v/>
      </c>
      <c r="J402" s="9">
        <f>IF(A402="","",IFERROR(VLOOKUP(A402,Partidas!$A$2:$E$201,4,FALSE),""))</f>
        <v/>
      </c>
      <c r="K402" s="9">
        <f>IF(A402="","",IFERROR(VLOOKUP(A402,Partidas!$A$2:$E$201,5,FALSE),""))</f>
        <v/>
      </c>
      <c r="L402" s="9">
        <f>IF(OR(I402="",G402=""),"",G402*I402)</f>
        <v/>
      </c>
      <c r="M402" s="9">
        <f>IF(OR(J402="",K402=""),"",J402*K402)</f>
        <v/>
      </c>
      <c r="N402" s="11">
        <f>IF(OR(I402="",K402="",K402=0),"",(I402-K402)/K402)</f>
        <v/>
      </c>
      <c r="O402" s="9">
        <f>IF(OR(G402="",J402=""),"",G402-J402)</f>
        <v/>
      </c>
    </row>
    <row r="403">
      <c r="H403" s="10" t="n"/>
      <c r="I403" s="9">
        <f>IF(H403="","",IF(E403="USD",H403*Parametros!$B$2,H403))</f>
        <v/>
      </c>
      <c r="J403" s="9">
        <f>IF(A403="","",IFERROR(VLOOKUP(A403,Partidas!$A$2:$E$201,4,FALSE),""))</f>
        <v/>
      </c>
      <c r="K403" s="9">
        <f>IF(A403="","",IFERROR(VLOOKUP(A403,Partidas!$A$2:$E$201,5,FALSE),""))</f>
        <v/>
      </c>
      <c r="L403" s="9">
        <f>IF(OR(I403="",G403=""),"",G403*I403)</f>
        <v/>
      </c>
      <c r="M403" s="9">
        <f>IF(OR(J403="",K403=""),"",J403*K403)</f>
        <v/>
      </c>
      <c r="N403" s="11">
        <f>IF(OR(I403="",K403="",K403=0),"",(I403-K403)/K403)</f>
        <v/>
      </c>
      <c r="O403" s="9">
        <f>IF(OR(G403="",J403=""),"",G403-J403)</f>
        <v/>
      </c>
    </row>
    <row r="404">
      <c r="H404" s="10" t="n"/>
      <c r="I404" s="9">
        <f>IF(H404="","",IF(E404="USD",H404*Parametros!$B$2,H404))</f>
        <v/>
      </c>
      <c r="J404" s="9">
        <f>IF(A404="","",IFERROR(VLOOKUP(A404,Partidas!$A$2:$E$201,4,FALSE),""))</f>
        <v/>
      </c>
      <c r="K404" s="9">
        <f>IF(A404="","",IFERROR(VLOOKUP(A404,Partidas!$A$2:$E$201,5,FALSE),""))</f>
        <v/>
      </c>
      <c r="L404" s="9">
        <f>IF(OR(I404="",G404=""),"",G404*I404)</f>
        <v/>
      </c>
      <c r="M404" s="9">
        <f>IF(OR(J404="",K404=""),"",J404*K404)</f>
        <v/>
      </c>
      <c r="N404" s="11">
        <f>IF(OR(I404="",K404="",K404=0),"",(I404-K404)/K404)</f>
        <v/>
      </c>
      <c r="O404" s="9">
        <f>IF(OR(G404="",J404=""),"",G404-J404)</f>
        <v/>
      </c>
    </row>
    <row r="405">
      <c r="H405" s="10" t="n"/>
      <c r="I405" s="9">
        <f>IF(H405="","",IF(E405="USD",H405*Parametros!$B$2,H405))</f>
        <v/>
      </c>
      <c r="J405" s="9">
        <f>IF(A405="","",IFERROR(VLOOKUP(A405,Partidas!$A$2:$E$201,4,FALSE),""))</f>
        <v/>
      </c>
      <c r="K405" s="9">
        <f>IF(A405="","",IFERROR(VLOOKUP(A405,Partidas!$A$2:$E$201,5,FALSE),""))</f>
        <v/>
      </c>
      <c r="L405" s="9">
        <f>IF(OR(I405="",G405=""),"",G405*I405)</f>
        <v/>
      </c>
      <c r="M405" s="9">
        <f>IF(OR(J405="",K405=""),"",J405*K405)</f>
        <v/>
      </c>
      <c r="N405" s="11">
        <f>IF(OR(I405="",K405="",K405=0),"",(I405-K405)/K405)</f>
        <v/>
      </c>
      <c r="O405" s="9">
        <f>IF(OR(G405="",J405=""),"",G405-J405)</f>
        <v/>
      </c>
    </row>
    <row r="406">
      <c r="H406" s="10" t="n"/>
      <c r="I406" s="9">
        <f>IF(H406="","",IF(E406="USD",H406*Parametros!$B$2,H406))</f>
        <v/>
      </c>
      <c r="J406" s="9">
        <f>IF(A406="","",IFERROR(VLOOKUP(A406,Partidas!$A$2:$E$201,4,FALSE),""))</f>
        <v/>
      </c>
      <c r="K406" s="9">
        <f>IF(A406="","",IFERROR(VLOOKUP(A406,Partidas!$A$2:$E$201,5,FALSE),""))</f>
        <v/>
      </c>
      <c r="L406" s="9">
        <f>IF(OR(I406="",G406=""),"",G406*I406)</f>
        <v/>
      </c>
      <c r="M406" s="9">
        <f>IF(OR(J406="",K406=""),"",J406*K406)</f>
        <v/>
      </c>
      <c r="N406" s="11">
        <f>IF(OR(I406="",K406="",K406=0),"",(I406-K406)/K406)</f>
        <v/>
      </c>
      <c r="O406" s="9">
        <f>IF(OR(G406="",J406=""),"",G406-J406)</f>
        <v/>
      </c>
    </row>
    <row r="407">
      <c r="H407" s="10" t="n"/>
      <c r="I407" s="9">
        <f>IF(H407="","",IF(E407="USD",H407*Parametros!$B$2,H407))</f>
        <v/>
      </c>
      <c r="J407" s="9">
        <f>IF(A407="","",IFERROR(VLOOKUP(A407,Partidas!$A$2:$E$201,4,FALSE),""))</f>
        <v/>
      </c>
      <c r="K407" s="9">
        <f>IF(A407="","",IFERROR(VLOOKUP(A407,Partidas!$A$2:$E$201,5,FALSE),""))</f>
        <v/>
      </c>
      <c r="L407" s="9">
        <f>IF(OR(I407="",G407=""),"",G407*I407)</f>
        <v/>
      </c>
      <c r="M407" s="9">
        <f>IF(OR(J407="",K407=""),"",J407*K407)</f>
        <v/>
      </c>
      <c r="N407" s="11">
        <f>IF(OR(I407="",K407="",K407=0),"",(I407-K407)/K407)</f>
        <v/>
      </c>
      <c r="O407" s="9">
        <f>IF(OR(G407="",J407=""),"",G407-J407)</f>
        <v/>
      </c>
    </row>
    <row r="408">
      <c r="H408" s="10" t="n"/>
      <c r="I408" s="9">
        <f>IF(H408="","",IF(E408="USD",H408*Parametros!$B$2,H408))</f>
        <v/>
      </c>
      <c r="J408" s="9">
        <f>IF(A408="","",IFERROR(VLOOKUP(A408,Partidas!$A$2:$E$201,4,FALSE),""))</f>
        <v/>
      </c>
      <c r="K408" s="9">
        <f>IF(A408="","",IFERROR(VLOOKUP(A408,Partidas!$A$2:$E$201,5,FALSE),""))</f>
        <v/>
      </c>
      <c r="L408" s="9">
        <f>IF(OR(I408="",G408=""),"",G408*I408)</f>
        <v/>
      </c>
      <c r="M408" s="9">
        <f>IF(OR(J408="",K408=""),"",J408*K408)</f>
        <v/>
      </c>
      <c r="N408" s="11">
        <f>IF(OR(I408="",K408="",K408=0),"",(I408-K408)/K408)</f>
        <v/>
      </c>
      <c r="O408" s="9">
        <f>IF(OR(G408="",J408=""),"",G408-J408)</f>
        <v/>
      </c>
    </row>
    <row r="409">
      <c r="H409" s="10" t="n"/>
      <c r="I409" s="9">
        <f>IF(H409="","",IF(E409="USD",H409*Parametros!$B$2,H409))</f>
        <v/>
      </c>
      <c r="J409" s="9">
        <f>IF(A409="","",IFERROR(VLOOKUP(A409,Partidas!$A$2:$E$201,4,FALSE),""))</f>
        <v/>
      </c>
      <c r="K409" s="9">
        <f>IF(A409="","",IFERROR(VLOOKUP(A409,Partidas!$A$2:$E$201,5,FALSE),""))</f>
        <v/>
      </c>
      <c r="L409" s="9">
        <f>IF(OR(I409="",G409=""),"",G409*I409)</f>
        <v/>
      </c>
      <c r="M409" s="9">
        <f>IF(OR(J409="",K409=""),"",J409*K409)</f>
        <v/>
      </c>
      <c r="N409" s="11">
        <f>IF(OR(I409="",K409="",K409=0),"",(I409-K409)/K409)</f>
        <v/>
      </c>
      <c r="O409" s="9">
        <f>IF(OR(G409="",J409=""),"",G409-J409)</f>
        <v/>
      </c>
    </row>
    <row r="410">
      <c r="H410" s="10" t="n"/>
      <c r="I410" s="9">
        <f>IF(H410="","",IF(E410="USD",H410*Parametros!$B$2,H410))</f>
        <v/>
      </c>
      <c r="J410" s="9">
        <f>IF(A410="","",IFERROR(VLOOKUP(A410,Partidas!$A$2:$E$201,4,FALSE),""))</f>
        <v/>
      </c>
      <c r="K410" s="9">
        <f>IF(A410="","",IFERROR(VLOOKUP(A410,Partidas!$A$2:$E$201,5,FALSE),""))</f>
        <v/>
      </c>
      <c r="L410" s="9">
        <f>IF(OR(I410="",G410=""),"",G410*I410)</f>
        <v/>
      </c>
      <c r="M410" s="9">
        <f>IF(OR(J410="",K410=""),"",J410*K410)</f>
        <v/>
      </c>
      <c r="N410" s="11">
        <f>IF(OR(I410="",K410="",K410=0),"",(I410-K410)/K410)</f>
        <v/>
      </c>
      <c r="O410" s="9">
        <f>IF(OR(G410="",J410=""),"",G410-J410)</f>
        <v/>
      </c>
    </row>
    <row r="411">
      <c r="H411" s="10" t="n"/>
      <c r="I411" s="9">
        <f>IF(H411="","",IF(E411="USD",H411*Parametros!$B$2,H411))</f>
        <v/>
      </c>
      <c r="J411" s="9">
        <f>IF(A411="","",IFERROR(VLOOKUP(A411,Partidas!$A$2:$E$201,4,FALSE),""))</f>
        <v/>
      </c>
      <c r="K411" s="9">
        <f>IF(A411="","",IFERROR(VLOOKUP(A411,Partidas!$A$2:$E$201,5,FALSE),""))</f>
        <v/>
      </c>
      <c r="L411" s="9">
        <f>IF(OR(I411="",G411=""),"",G411*I411)</f>
        <v/>
      </c>
      <c r="M411" s="9">
        <f>IF(OR(J411="",K411=""),"",J411*K411)</f>
        <v/>
      </c>
      <c r="N411" s="11">
        <f>IF(OR(I411="",K411="",K411=0),"",(I411-K411)/K411)</f>
        <v/>
      </c>
      <c r="O411" s="9">
        <f>IF(OR(G411="",J411=""),"",G411-J411)</f>
        <v/>
      </c>
    </row>
    <row r="412">
      <c r="H412" s="10" t="n"/>
      <c r="I412" s="9">
        <f>IF(H412="","",IF(E412="USD",H412*Parametros!$B$2,H412))</f>
        <v/>
      </c>
      <c r="J412" s="9">
        <f>IF(A412="","",IFERROR(VLOOKUP(A412,Partidas!$A$2:$E$201,4,FALSE),""))</f>
        <v/>
      </c>
      <c r="K412" s="9">
        <f>IF(A412="","",IFERROR(VLOOKUP(A412,Partidas!$A$2:$E$201,5,FALSE),""))</f>
        <v/>
      </c>
      <c r="L412" s="9">
        <f>IF(OR(I412="",G412=""),"",G412*I412)</f>
        <v/>
      </c>
      <c r="M412" s="9">
        <f>IF(OR(J412="",K412=""),"",J412*K412)</f>
        <v/>
      </c>
      <c r="N412" s="11">
        <f>IF(OR(I412="",K412="",K412=0),"",(I412-K412)/K412)</f>
        <v/>
      </c>
      <c r="O412" s="9">
        <f>IF(OR(G412="",J412=""),"",G412-J412)</f>
        <v/>
      </c>
    </row>
    <row r="413">
      <c r="H413" s="10" t="n"/>
      <c r="I413" s="9">
        <f>IF(H413="","",IF(E413="USD",H413*Parametros!$B$2,H413))</f>
        <v/>
      </c>
      <c r="J413" s="9">
        <f>IF(A413="","",IFERROR(VLOOKUP(A413,Partidas!$A$2:$E$201,4,FALSE),""))</f>
        <v/>
      </c>
      <c r="K413" s="9">
        <f>IF(A413="","",IFERROR(VLOOKUP(A413,Partidas!$A$2:$E$201,5,FALSE),""))</f>
        <v/>
      </c>
      <c r="L413" s="9">
        <f>IF(OR(I413="",G413=""),"",G413*I413)</f>
        <v/>
      </c>
      <c r="M413" s="9">
        <f>IF(OR(J413="",K413=""),"",J413*K413)</f>
        <v/>
      </c>
      <c r="N413" s="11">
        <f>IF(OR(I413="",K413="",K413=0),"",(I413-K413)/K413)</f>
        <v/>
      </c>
      <c r="O413" s="9">
        <f>IF(OR(G413="",J413=""),"",G413-J413)</f>
        <v/>
      </c>
    </row>
    <row r="414">
      <c r="H414" s="10" t="n"/>
      <c r="I414" s="9">
        <f>IF(H414="","",IF(E414="USD",H414*Parametros!$B$2,H414))</f>
        <v/>
      </c>
      <c r="J414" s="9">
        <f>IF(A414="","",IFERROR(VLOOKUP(A414,Partidas!$A$2:$E$201,4,FALSE),""))</f>
        <v/>
      </c>
      <c r="K414" s="9">
        <f>IF(A414="","",IFERROR(VLOOKUP(A414,Partidas!$A$2:$E$201,5,FALSE),""))</f>
        <v/>
      </c>
      <c r="L414" s="9">
        <f>IF(OR(I414="",G414=""),"",G414*I414)</f>
        <v/>
      </c>
      <c r="M414" s="9">
        <f>IF(OR(J414="",K414=""),"",J414*K414)</f>
        <v/>
      </c>
      <c r="N414" s="11">
        <f>IF(OR(I414="",K414="",K414=0),"",(I414-K414)/K414)</f>
        <v/>
      </c>
      <c r="O414" s="9">
        <f>IF(OR(G414="",J414=""),"",G414-J414)</f>
        <v/>
      </c>
    </row>
    <row r="415">
      <c r="H415" s="10" t="n"/>
      <c r="I415" s="9">
        <f>IF(H415="","",IF(E415="USD",H415*Parametros!$B$2,H415))</f>
        <v/>
      </c>
      <c r="J415" s="9">
        <f>IF(A415="","",IFERROR(VLOOKUP(A415,Partidas!$A$2:$E$201,4,FALSE),""))</f>
        <v/>
      </c>
      <c r="K415" s="9">
        <f>IF(A415="","",IFERROR(VLOOKUP(A415,Partidas!$A$2:$E$201,5,FALSE),""))</f>
        <v/>
      </c>
      <c r="L415" s="9">
        <f>IF(OR(I415="",G415=""),"",G415*I415)</f>
        <v/>
      </c>
      <c r="M415" s="9">
        <f>IF(OR(J415="",K415=""),"",J415*K415)</f>
        <v/>
      </c>
      <c r="N415" s="11">
        <f>IF(OR(I415="",K415="",K415=0),"",(I415-K415)/K415)</f>
        <v/>
      </c>
      <c r="O415" s="9">
        <f>IF(OR(G415="",J415=""),"",G415-J415)</f>
        <v/>
      </c>
    </row>
    <row r="416">
      <c r="H416" s="10" t="n"/>
      <c r="I416" s="9">
        <f>IF(H416="","",IF(E416="USD",H416*Parametros!$B$2,H416))</f>
        <v/>
      </c>
      <c r="J416" s="9">
        <f>IF(A416="","",IFERROR(VLOOKUP(A416,Partidas!$A$2:$E$201,4,FALSE),""))</f>
        <v/>
      </c>
      <c r="K416" s="9">
        <f>IF(A416="","",IFERROR(VLOOKUP(A416,Partidas!$A$2:$E$201,5,FALSE),""))</f>
        <v/>
      </c>
      <c r="L416" s="9">
        <f>IF(OR(I416="",G416=""),"",G416*I416)</f>
        <v/>
      </c>
      <c r="M416" s="9">
        <f>IF(OR(J416="",K416=""),"",J416*K416)</f>
        <v/>
      </c>
      <c r="N416" s="11">
        <f>IF(OR(I416="",K416="",K416=0),"",(I416-K416)/K416)</f>
        <v/>
      </c>
      <c r="O416" s="9">
        <f>IF(OR(G416="",J416=""),"",G416-J416)</f>
        <v/>
      </c>
    </row>
    <row r="417">
      <c r="H417" s="10" t="n"/>
      <c r="I417" s="9">
        <f>IF(H417="","",IF(E417="USD",H417*Parametros!$B$2,H417))</f>
        <v/>
      </c>
      <c r="J417" s="9">
        <f>IF(A417="","",IFERROR(VLOOKUP(A417,Partidas!$A$2:$E$201,4,FALSE),""))</f>
        <v/>
      </c>
      <c r="K417" s="9">
        <f>IF(A417="","",IFERROR(VLOOKUP(A417,Partidas!$A$2:$E$201,5,FALSE),""))</f>
        <v/>
      </c>
      <c r="L417" s="9">
        <f>IF(OR(I417="",G417=""),"",G417*I417)</f>
        <v/>
      </c>
      <c r="M417" s="9">
        <f>IF(OR(J417="",K417=""),"",J417*K417)</f>
        <v/>
      </c>
      <c r="N417" s="11">
        <f>IF(OR(I417="",K417="",K417=0),"",(I417-K417)/K417)</f>
        <v/>
      </c>
      <c r="O417" s="9">
        <f>IF(OR(G417="",J417=""),"",G417-J417)</f>
        <v/>
      </c>
    </row>
    <row r="418">
      <c r="H418" s="10" t="n"/>
      <c r="I418" s="9">
        <f>IF(H418="","",IF(E418="USD",H418*Parametros!$B$2,H418))</f>
        <v/>
      </c>
      <c r="J418" s="9">
        <f>IF(A418="","",IFERROR(VLOOKUP(A418,Partidas!$A$2:$E$201,4,FALSE),""))</f>
        <v/>
      </c>
      <c r="K418" s="9">
        <f>IF(A418="","",IFERROR(VLOOKUP(A418,Partidas!$A$2:$E$201,5,FALSE),""))</f>
        <v/>
      </c>
      <c r="L418" s="9">
        <f>IF(OR(I418="",G418=""),"",G418*I418)</f>
        <v/>
      </c>
      <c r="M418" s="9">
        <f>IF(OR(J418="",K418=""),"",J418*K418)</f>
        <v/>
      </c>
      <c r="N418" s="11">
        <f>IF(OR(I418="",K418="",K418=0),"",(I418-K418)/K418)</f>
        <v/>
      </c>
      <c r="O418" s="9">
        <f>IF(OR(G418="",J418=""),"",G418-J418)</f>
        <v/>
      </c>
    </row>
    <row r="419">
      <c r="H419" s="10" t="n"/>
      <c r="I419" s="9">
        <f>IF(H419="","",IF(E419="USD",H419*Parametros!$B$2,H419))</f>
        <v/>
      </c>
      <c r="J419" s="9">
        <f>IF(A419="","",IFERROR(VLOOKUP(A419,Partidas!$A$2:$E$201,4,FALSE),""))</f>
        <v/>
      </c>
      <c r="K419" s="9">
        <f>IF(A419="","",IFERROR(VLOOKUP(A419,Partidas!$A$2:$E$201,5,FALSE),""))</f>
        <v/>
      </c>
      <c r="L419" s="9">
        <f>IF(OR(I419="",G419=""),"",G419*I419)</f>
        <v/>
      </c>
      <c r="M419" s="9">
        <f>IF(OR(J419="",K419=""),"",J419*K419)</f>
        <v/>
      </c>
      <c r="N419" s="11">
        <f>IF(OR(I419="",K419="",K419=0),"",(I419-K419)/K419)</f>
        <v/>
      </c>
      <c r="O419" s="9">
        <f>IF(OR(G419="",J419=""),"",G419-J419)</f>
        <v/>
      </c>
    </row>
    <row r="420">
      <c r="H420" s="10" t="n"/>
      <c r="I420" s="9">
        <f>IF(H420="","",IF(E420="USD",H420*Parametros!$B$2,H420))</f>
        <v/>
      </c>
      <c r="J420" s="9">
        <f>IF(A420="","",IFERROR(VLOOKUP(A420,Partidas!$A$2:$E$201,4,FALSE),""))</f>
        <v/>
      </c>
      <c r="K420" s="9">
        <f>IF(A420="","",IFERROR(VLOOKUP(A420,Partidas!$A$2:$E$201,5,FALSE),""))</f>
        <v/>
      </c>
      <c r="L420" s="9">
        <f>IF(OR(I420="",G420=""),"",G420*I420)</f>
        <v/>
      </c>
      <c r="M420" s="9">
        <f>IF(OR(J420="",K420=""),"",J420*K420)</f>
        <v/>
      </c>
      <c r="N420" s="11">
        <f>IF(OR(I420="",K420="",K420=0),"",(I420-K420)/K420)</f>
        <v/>
      </c>
      <c r="O420" s="9">
        <f>IF(OR(G420="",J420=""),"",G420-J420)</f>
        <v/>
      </c>
    </row>
    <row r="421">
      <c r="H421" s="10" t="n"/>
      <c r="I421" s="9">
        <f>IF(H421="","",IF(E421="USD",H421*Parametros!$B$2,H421))</f>
        <v/>
      </c>
      <c r="J421" s="9">
        <f>IF(A421="","",IFERROR(VLOOKUP(A421,Partidas!$A$2:$E$201,4,FALSE),""))</f>
        <v/>
      </c>
      <c r="K421" s="9">
        <f>IF(A421="","",IFERROR(VLOOKUP(A421,Partidas!$A$2:$E$201,5,FALSE),""))</f>
        <v/>
      </c>
      <c r="L421" s="9">
        <f>IF(OR(I421="",G421=""),"",G421*I421)</f>
        <v/>
      </c>
      <c r="M421" s="9">
        <f>IF(OR(J421="",K421=""),"",J421*K421)</f>
        <v/>
      </c>
      <c r="N421" s="11">
        <f>IF(OR(I421="",K421="",K421=0),"",(I421-K421)/K421)</f>
        <v/>
      </c>
      <c r="O421" s="9">
        <f>IF(OR(G421="",J421=""),"",G421-J421)</f>
        <v/>
      </c>
    </row>
    <row r="422">
      <c r="H422" s="10" t="n"/>
      <c r="I422" s="9">
        <f>IF(H422="","",IF(E422="USD",H422*Parametros!$B$2,H422))</f>
        <v/>
      </c>
      <c r="J422" s="9">
        <f>IF(A422="","",IFERROR(VLOOKUP(A422,Partidas!$A$2:$E$201,4,FALSE),""))</f>
        <v/>
      </c>
      <c r="K422" s="9">
        <f>IF(A422="","",IFERROR(VLOOKUP(A422,Partidas!$A$2:$E$201,5,FALSE),""))</f>
        <v/>
      </c>
      <c r="L422" s="9">
        <f>IF(OR(I422="",G422=""),"",G422*I422)</f>
        <v/>
      </c>
      <c r="M422" s="9">
        <f>IF(OR(J422="",K422=""),"",J422*K422)</f>
        <v/>
      </c>
      <c r="N422" s="11">
        <f>IF(OR(I422="",K422="",K422=0),"",(I422-K422)/K422)</f>
        <v/>
      </c>
      <c r="O422" s="9">
        <f>IF(OR(G422="",J422=""),"",G422-J422)</f>
        <v/>
      </c>
    </row>
    <row r="423">
      <c r="H423" s="10" t="n"/>
      <c r="I423" s="9">
        <f>IF(H423="","",IF(E423="USD",H423*Parametros!$B$2,H423))</f>
        <v/>
      </c>
      <c r="J423" s="9">
        <f>IF(A423="","",IFERROR(VLOOKUP(A423,Partidas!$A$2:$E$201,4,FALSE),""))</f>
        <v/>
      </c>
      <c r="K423" s="9">
        <f>IF(A423="","",IFERROR(VLOOKUP(A423,Partidas!$A$2:$E$201,5,FALSE),""))</f>
        <v/>
      </c>
      <c r="L423" s="9">
        <f>IF(OR(I423="",G423=""),"",G423*I423)</f>
        <v/>
      </c>
      <c r="M423" s="9">
        <f>IF(OR(J423="",K423=""),"",J423*K423)</f>
        <v/>
      </c>
      <c r="N423" s="11">
        <f>IF(OR(I423="",K423="",K423=0),"",(I423-K423)/K423)</f>
        <v/>
      </c>
      <c r="O423" s="9">
        <f>IF(OR(G423="",J423=""),"",G423-J423)</f>
        <v/>
      </c>
    </row>
    <row r="424">
      <c r="H424" s="10" t="n"/>
      <c r="I424" s="9">
        <f>IF(H424="","",IF(E424="USD",H424*Parametros!$B$2,H424))</f>
        <v/>
      </c>
      <c r="J424" s="9">
        <f>IF(A424="","",IFERROR(VLOOKUP(A424,Partidas!$A$2:$E$201,4,FALSE),""))</f>
        <v/>
      </c>
      <c r="K424" s="9">
        <f>IF(A424="","",IFERROR(VLOOKUP(A424,Partidas!$A$2:$E$201,5,FALSE),""))</f>
        <v/>
      </c>
      <c r="L424" s="9">
        <f>IF(OR(I424="",G424=""),"",G424*I424)</f>
        <v/>
      </c>
      <c r="M424" s="9">
        <f>IF(OR(J424="",K424=""),"",J424*K424)</f>
        <v/>
      </c>
      <c r="N424" s="11">
        <f>IF(OR(I424="",K424="",K424=0),"",(I424-K424)/K424)</f>
        <v/>
      </c>
      <c r="O424" s="9">
        <f>IF(OR(G424="",J424=""),"",G424-J424)</f>
        <v/>
      </c>
    </row>
    <row r="425">
      <c r="H425" s="10" t="n"/>
      <c r="I425" s="9">
        <f>IF(H425="","",IF(E425="USD",H425*Parametros!$B$2,H425))</f>
        <v/>
      </c>
      <c r="J425" s="9">
        <f>IF(A425="","",IFERROR(VLOOKUP(A425,Partidas!$A$2:$E$201,4,FALSE),""))</f>
        <v/>
      </c>
      <c r="K425" s="9">
        <f>IF(A425="","",IFERROR(VLOOKUP(A425,Partidas!$A$2:$E$201,5,FALSE),""))</f>
        <v/>
      </c>
      <c r="L425" s="9">
        <f>IF(OR(I425="",G425=""),"",G425*I425)</f>
        <v/>
      </c>
      <c r="M425" s="9">
        <f>IF(OR(J425="",K425=""),"",J425*K425)</f>
        <v/>
      </c>
      <c r="N425" s="11">
        <f>IF(OR(I425="",K425="",K425=0),"",(I425-K425)/K425)</f>
        <v/>
      </c>
      <c r="O425" s="9">
        <f>IF(OR(G425="",J425=""),"",G425-J425)</f>
        <v/>
      </c>
    </row>
    <row r="426">
      <c r="H426" s="10" t="n"/>
      <c r="I426" s="9">
        <f>IF(H426="","",IF(E426="USD",H426*Parametros!$B$2,H426))</f>
        <v/>
      </c>
      <c r="J426" s="9">
        <f>IF(A426="","",IFERROR(VLOOKUP(A426,Partidas!$A$2:$E$201,4,FALSE),""))</f>
        <v/>
      </c>
      <c r="K426" s="9">
        <f>IF(A426="","",IFERROR(VLOOKUP(A426,Partidas!$A$2:$E$201,5,FALSE),""))</f>
        <v/>
      </c>
      <c r="L426" s="9">
        <f>IF(OR(I426="",G426=""),"",G426*I426)</f>
        <v/>
      </c>
      <c r="M426" s="9">
        <f>IF(OR(J426="",K426=""),"",J426*K426)</f>
        <v/>
      </c>
      <c r="N426" s="11">
        <f>IF(OR(I426="",K426="",K426=0),"",(I426-K426)/K426)</f>
        <v/>
      </c>
      <c r="O426" s="9">
        <f>IF(OR(G426="",J426=""),"",G426-J426)</f>
        <v/>
      </c>
    </row>
    <row r="427">
      <c r="H427" s="10" t="n"/>
      <c r="I427" s="9">
        <f>IF(H427="","",IF(E427="USD",H427*Parametros!$B$2,H427))</f>
        <v/>
      </c>
      <c r="J427" s="9">
        <f>IF(A427="","",IFERROR(VLOOKUP(A427,Partidas!$A$2:$E$201,4,FALSE),""))</f>
        <v/>
      </c>
      <c r="K427" s="9">
        <f>IF(A427="","",IFERROR(VLOOKUP(A427,Partidas!$A$2:$E$201,5,FALSE),""))</f>
        <v/>
      </c>
      <c r="L427" s="9">
        <f>IF(OR(I427="",G427=""),"",G427*I427)</f>
        <v/>
      </c>
      <c r="M427" s="9">
        <f>IF(OR(J427="",K427=""),"",J427*K427)</f>
        <v/>
      </c>
      <c r="N427" s="11">
        <f>IF(OR(I427="",K427="",K427=0),"",(I427-K427)/K427)</f>
        <v/>
      </c>
      <c r="O427" s="9">
        <f>IF(OR(G427="",J427=""),"",G427-J427)</f>
        <v/>
      </c>
    </row>
    <row r="428">
      <c r="H428" s="10" t="n"/>
      <c r="I428" s="9">
        <f>IF(H428="","",IF(E428="USD",H428*Parametros!$B$2,H428))</f>
        <v/>
      </c>
      <c r="J428" s="9">
        <f>IF(A428="","",IFERROR(VLOOKUP(A428,Partidas!$A$2:$E$201,4,FALSE),""))</f>
        <v/>
      </c>
      <c r="K428" s="9">
        <f>IF(A428="","",IFERROR(VLOOKUP(A428,Partidas!$A$2:$E$201,5,FALSE),""))</f>
        <v/>
      </c>
      <c r="L428" s="9">
        <f>IF(OR(I428="",G428=""),"",G428*I428)</f>
        <v/>
      </c>
      <c r="M428" s="9">
        <f>IF(OR(J428="",K428=""),"",J428*K428)</f>
        <v/>
      </c>
      <c r="N428" s="11">
        <f>IF(OR(I428="",K428="",K428=0),"",(I428-K428)/K428)</f>
        <v/>
      </c>
      <c r="O428" s="9">
        <f>IF(OR(G428="",J428=""),"",G428-J428)</f>
        <v/>
      </c>
    </row>
    <row r="429">
      <c r="H429" s="10" t="n"/>
      <c r="I429" s="9">
        <f>IF(H429="","",IF(E429="USD",H429*Parametros!$B$2,H429))</f>
        <v/>
      </c>
      <c r="J429" s="9">
        <f>IF(A429="","",IFERROR(VLOOKUP(A429,Partidas!$A$2:$E$201,4,FALSE),""))</f>
        <v/>
      </c>
      <c r="K429" s="9">
        <f>IF(A429="","",IFERROR(VLOOKUP(A429,Partidas!$A$2:$E$201,5,FALSE),""))</f>
        <v/>
      </c>
      <c r="L429" s="9">
        <f>IF(OR(I429="",G429=""),"",G429*I429)</f>
        <v/>
      </c>
      <c r="M429" s="9">
        <f>IF(OR(J429="",K429=""),"",J429*K429)</f>
        <v/>
      </c>
      <c r="N429" s="11">
        <f>IF(OR(I429="",K429="",K429=0),"",(I429-K429)/K429)</f>
        <v/>
      </c>
      <c r="O429" s="9">
        <f>IF(OR(G429="",J429=""),"",G429-J429)</f>
        <v/>
      </c>
    </row>
    <row r="430">
      <c r="H430" s="10" t="n"/>
      <c r="I430" s="9">
        <f>IF(H430="","",IF(E430="USD",H430*Parametros!$B$2,H430))</f>
        <v/>
      </c>
      <c r="J430" s="9">
        <f>IF(A430="","",IFERROR(VLOOKUP(A430,Partidas!$A$2:$E$201,4,FALSE),""))</f>
        <v/>
      </c>
      <c r="K430" s="9">
        <f>IF(A430="","",IFERROR(VLOOKUP(A430,Partidas!$A$2:$E$201,5,FALSE),""))</f>
        <v/>
      </c>
      <c r="L430" s="9">
        <f>IF(OR(I430="",G430=""),"",G430*I430)</f>
        <v/>
      </c>
      <c r="M430" s="9">
        <f>IF(OR(J430="",K430=""),"",J430*K430)</f>
        <v/>
      </c>
      <c r="N430" s="11">
        <f>IF(OR(I430="",K430="",K430=0),"",(I430-K430)/K430)</f>
        <v/>
      </c>
      <c r="O430" s="9">
        <f>IF(OR(G430="",J430=""),"",G430-J430)</f>
        <v/>
      </c>
    </row>
    <row r="431">
      <c r="H431" s="10" t="n"/>
      <c r="I431" s="9">
        <f>IF(H431="","",IF(E431="USD",H431*Parametros!$B$2,H431))</f>
        <v/>
      </c>
      <c r="J431" s="9">
        <f>IF(A431="","",IFERROR(VLOOKUP(A431,Partidas!$A$2:$E$201,4,FALSE),""))</f>
        <v/>
      </c>
      <c r="K431" s="9">
        <f>IF(A431="","",IFERROR(VLOOKUP(A431,Partidas!$A$2:$E$201,5,FALSE),""))</f>
        <v/>
      </c>
      <c r="L431" s="9">
        <f>IF(OR(I431="",G431=""),"",G431*I431)</f>
        <v/>
      </c>
      <c r="M431" s="9">
        <f>IF(OR(J431="",K431=""),"",J431*K431)</f>
        <v/>
      </c>
      <c r="N431" s="11">
        <f>IF(OR(I431="",K431="",K431=0),"",(I431-K431)/K431)</f>
        <v/>
      </c>
      <c r="O431" s="9">
        <f>IF(OR(G431="",J431=""),"",G431-J431)</f>
        <v/>
      </c>
    </row>
    <row r="432">
      <c r="H432" s="10" t="n"/>
      <c r="I432" s="9">
        <f>IF(H432="","",IF(E432="USD",H432*Parametros!$B$2,H432))</f>
        <v/>
      </c>
      <c r="J432" s="9">
        <f>IF(A432="","",IFERROR(VLOOKUP(A432,Partidas!$A$2:$E$201,4,FALSE),""))</f>
        <v/>
      </c>
      <c r="K432" s="9">
        <f>IF(A432="","",IFERROR(VLOOKUP(A432,Partidas!$A$2:$E$201,5,FALSE),""))</f>
        <v/>
      </c>
      <c r="L432" s="9">
        <f>IF(OR(I432="",G432=""),"",G432*I432)</f>
        <v/>
      </c>
      <c r="M432" s="9">
        <f>IF(OR(J432="",K432=""),"",J432*K432)</f>
        <v/>
      </c>
      <c r="N432" s="11">
        <f>IF(OR(I432="",K432="",K432=0),"",(I432-K432)/K432)</f>
        <v/>
      </c>
      <c r="O432" s="9">
        <f>IF(OR(G432="",J432=""),"",G432-J432)</f>
        <v/>
      </c>
    </row>
    <row r="433">
      <c r="H433" s="10" t="n"/>
      <c r="I433" s="9">
        <f>IF(H433="","",IF(E433="USD",H433*Parametros!$B$2,H433))</f>
        <v/>
      </c>
      <c r="J433" s="9">
        <f>IF(A433="","",IFERROR(VLOOKUP(A433,Partidas!$A$2:$E$201,4,FALSE),""))</f>
        <v/>
      </c>
      <c r="K433" s="9">
        <f>IF(A433="","",IFERROR(VLOOKUP(A433,Partidas!$A$2:$E$201,5,FALSE),""))</f>
        <v/>
      </c>
      <c r="L433" s="9">
        <f>IF(OR(I433="",G433=""),"",G433*I433)</f>
        <v/>
      </c>
      <c r="M433" s="9">
        <f>IF(OR(J433="",K433=""),"",J433*K433)</f>
        <v/>
      </c>
      <c r="N433" s="11">
        <f>IF(OR(I433="",K433="",K433=0),"",(I433-K433)/K433)</f>
        <v/>
      </c>
      <c r="O433" s="9">
        <f>IF(OR(G433="",J433=""),"",G433-J433)</f>
        <v/>
      </c>
    </row>
    <row r="434">
      <c r="H434" s="10" t="n"/>
      <c r="I434" s="9">
        <f>IF(H434="","",IF(E434="USD",H434*Parametros!$B$2,H434))</f>
        <v/>
      </c>
      <c r="J434" s="9">
        <f>IF(A434="","",IFERROR(VLOOKUP(A434,Partidas!$A$2:$E$201,4,FALSE),""))</f>
        <v/>
      </c>
      <c r="K434" s="9">
        <f>IF(A434="","",IFERROR(VLOOKUP(A434,Partidas!$A$2:$E$201,5,FALSE),""))</f>
        <v/>
      </c>
      <c r="L434" s="9">
        <f>IF(OR(I434="",G434=""),"",G434*I434)</f>
        <v/>
      </c>
      <c r="M434" s="9">
        <f>IF(OR(J434="",K434=""),"",J434*K434)</f>
        <v/>
      </c>
      <c r="N434" s="11">
        <f>IF(OR(I434="",K434="",K434=0),"",(I434-K434)/K434)</f>
        <v/>
      </c>
      <c r="O434" s="9">
        <f>IF(OR(G434="",J434=""),"",G434-J434)</f>
        <v/>
      </c>
    </row>
    <row r="435">
      <c r="H435" s="10" t="n"/>
      <c r="I435" s="9">
        <f>IF(H435="","",IF(E435="USD",H435*Parametros!$B$2,H435))</f>
        <v/>
      </c>
      <c r="J435" s="9">
        <f>IF(A435="","",IFERROR(VLOOKUP(A435,Partidas!$A$2:$E$201,4,FALSE),""))</f>
        <v/>
      </c>
      <c r="K435" s="9">
        <f>IF(A435="","",IFERROR(VLOOKUP(A435,Partidas!$A$2:$E$201,5,FALSE),""))</f>
        <v/>
      </c>
      <c r="L435" s="9">
        <f>IF(OR(I435="",G435=""),"",G435*I435)</f>
        <v/>
      </c>
      <c r="M435" s="9">
        <f>IF(OR(J435="",K435=""),"",J435*K435)</f>
        <v/>
      </c>
      <c r="N435" s="11">
        <f>IF(OR(I435="",K435="",K435=0),"",(I435-K435)/K435)</f>
        <v/>
      </c>
      <c r="O435" s="9">
        <f>IF(OR(G435="",J435=""),"",G435-J435)</f>
        <v/>
      </c>
    </row>
    <row r="436">
      <c r="H436" s="10" t="n"/>
      <c r="I436" s="9">
        <f>IF(H436="","",IF(E436="USD",H436*Parametros!$B$2,H436))</f>
        <v/>
      </c>
      <c r="J436" s="9">
        <f>IF(A436="","",IFERROR(VLOOKUP(A436,Partidas!$A$2:$E$201,4,FALSE),""))</f>
        <v/>
      </c>
      <c r="K436" s="9">
        <f>IF(A436="","",IFERROR(VLOOKUP(A436,Partidas!$A$2:$E$201,5,FALSE),""))</f>
        <v/>
      </c>
      <c r="L436" s="9">
        <f>IF(OR(I436="",G436=""),"",G436*I436)</f>
        <v/>
      </c>
      <c r="M436" s="9">
        <f>IF(OR(J436="",K436=""),"",J436*K436)</f>
        <v/>
      </c>
      <c r="N436" s="11">
        <f>IF(OR(I436="",K436="",K436=0),"",(I436-K436)/K436)</f>
        <v/>
      </c>
      <c r="O436" s="9">
        <f>IF(OR(G436="",J436=""),"",G436-J436)</f>
        <v/>
      </c>
    </row>
    <row r="437">
      <c r="H437" s="10" t="n"/>
      <c r="I437" s="9">
        <f>IF(H437="","",IF(E437="USD",H437*Parametros!$B$2,H437))</f>
        <v/>
      </c>
      <c r="J437" s="9">
        <f>IF(A437="","",IFERROR(VLOOKUP(A437,Partidas!$A$2:$E$201,4,FALSE),""))</f>
        <v/>
      </c>
      <c r="K437" s="9">
        <f>IF(A437="","",IFERROR(VLOOKUP(A437,Partidas!$A$2:$E$201,5,FALSE),""))</f>
        <v/>
      </c>
      <c r="L437" s="9">
        <f>IF(OR(I437="",G437=""),"",G437*I437)</f>
        <v/>
      </c>
      <c r="M437" s="9">
        <f>IF(OR(J437="",K437=""),"",J437*K437)</f>
        <v/>
      </c>
      <c r="N437" s="11">
        <f>IF(OR(I437="",K437="",K437=0),"",(I437-K437)/K437)</f>
        <v/>
      </c>
      <c r="O437" s="9">
        <f>IF(OR(G437="",J437=""),"",G437-J437)</f>
        <v/>
      </c>
    </row>
    <row r="438">
      <c r="H438" s="10" t="n"/>
      <c r="I438" s="9">
        <f>IF(H438="","",IF(E438="USD",H438*Parametros!$B$2,H438))</f>
        <v/>
      </c>
      <c r="J438" s="9">
        <f>IF(A438="","",IFERROR(VLOOKUP(A438,Partidas!$A$2:$E$201,4,FALSE),""))</f>
        <v/>
      </c>
      <c r="K438" s="9">
        <f>IF(A438="","",IFERROR(VLOOKUP(A438,Partidas!$A$2:$E$201,5,FALSE),""))</f>
        <v/>
      </c>
      <c r="L438" s="9">
        <f>IF(OR(I438="",G438=""),"",G438*I438)</f>
        <v/>
      </c>
      <c r="M438" s="9">
        <f>IF(OR(J438="",K438=""),"",J438*K438)</f>
        <v/>
      </c>
      <c r="N438" s="11">
        <f>IF(OR(I438="",K438="",K438=0),"",(I438-K438)/K438)</f>
        <v/>
      </c>
      <c r="O438" s="9">
        <f>IF(OR(G438="",J438=""),"",G438-J438)</f>
        <v/>
      </c>
    </row>
    <row r="439">
      <c r="H439" s="10" t="n"/>
      <c r="I439" s="9">
        <f>IF(H439="","",IF(E439="USD",H439*Parametros!$B$2,H439))</f>
        <v/>
      </c>
      <c r="J439" s="9">
        <f>IF(A439="","",IFERROR(VLOOKUP(A439,Partidas!$A$2:$E$201,4,FALSE),""))</f>
        <v/>
      </c>
      <c r="K439" s="9">
        <f>IF(A439="","",IFERROR(VLOOKUP(A439,Partidas!$A$2:$E$201,5,FALSE),""))</f>
        <v/>
      </c>
      <c r="L439" s="9">
        <f>IF(OR(I439="",G439=""),"",G439*I439)</f>
        <v/>
      </c>
      <c r="M439" s="9">
        <f>IF(OR(J439="",K439=""),"",J439*K439)</f>
        <v/>
      </c>
      <c r="N439" s="11">
        <f>IF(OR(I439="",K439="",K439=0),"",(I439-K439)/K439)</f>
        <v/>
      </c>
      <c r="O439" s="9">
        <f>IF(OR(G439="",J439=""),"",G439-J439)</f>
        <v/>
      </c>
    </row>
    <row r="440">
      <c r="H440" s="10" t="n"/>
      <c r="I440" s="9">
        <f>IF(H440="","",IF(E440="USD",H440*Parametros!$B$2,H440))</f>
        <v/>
      </c>
      <c r="J440" s="9">
        <f>IF(A440="","",IFERROR(VLOOKUP(A440,Partidas!$A$2:$E$201,4,FALSE),""))</f>
        <v/>
      </c>
      <c r="K440" s="9">
        <f>IF(A440="","",IFERROR(VLOOKUP(A440,Partidas!$A$2:$E$201,5,FALSE),""))</f>
        <v/>
      </c>
      <c r="L440" s="9">
        <f>IF(OR(I440="",G440=""),"",G440*I440)</f>
        <v/>
      </c>
      <c r="M440" s="9">
        <f>IF(OR(J440="",K440=""),"",J440*K440)</f>
        <v/>
      </c>
      <c r="N440" s="11">
        <f>IF(OR(I440="",K440="",K440=0),"",(I440-K440)/K440)</f>
        <v/>
      </c>
      <c r="O440" s="9">
        <f>IF(OR(G440="",J440=""),"",G440-J440)</f>
        <v/>
      </c>
    </row>
    <row r="441">
      <c r="H441" s="10" t="n"/>
      <c r="I441" s="9">
        <f>IF(H441="","",IF(E441="USD",H441*Parametros!$B$2,H441))</f>
        <v/>
      </c>
      <c r="J441" s="9">
        <f>IF(A441="","",IFERROR(VLOOKUP(A441,Partidas!$A$2:$E$201,4,FALSE),""))</f>
        <v/>
      </c>
      <c r="K441" s="9">
        <f>IF(A441="","",IFERROR(VLOOKUP(A441,Partidas!$A$2:$E$201,5,FALSE),""))</f>
        <v/>
      </c>
      <c r="L441" s="9">
        <f>IF(OR(I441="",G441=""),"",G441*I441)</f>
        <v/>
      </c>
      <c r="M441" s="9">
        <f>IF(OR(J441="",K441=""),"",J441*K441)</f>
        <v/>
      </c>
      <c r="N441" s="11">
        <f>IF(OR(I441="",K441="",K441=0),"",(I441-K441)/K441)</f>
        <v/>
      </c>
      <c r="O441" s="9">
        <f>IF(OR(G441="",J441=""),"",G441-J441)</f>
        <v/>
      </c>
    </row>
    <row r="442">
      <c r="H442" s="10" t="n"/>
      <c r="I442" s="9">
        <f>IF(H442="","",IF(E442="USD",H442*Parametros!$B$2,H442))</f>
        <v/>
      </c>
      <c r="J442" s="9">
        <f>IF(A442="","",IFERROR(VLOOKUP(A442,Partidas!$A$2:$E$201,4,FALSE),""))</f>
        <v/>
      </c>
      <c r="K442" s="9">
        <f>IF(A442="","",IFERROR(VLOOKUP(A442,Partidas!$A$2:$E$201,5,FALSE),""))</f>
        <v/>
      </c>
      <c r="L442" s="9">
        <f>IF(OR(I442="",G442=""),"",G442*I442)</f>
        <v/>
      </c>
      <c r="M442" s="9">
        <f>IF(OR(J442="",K442=""),"",J442*K442)</f>
        <v/>
      </c>
      <c r="N442" s="11">
        <f>IF(OR(I442="",K442="",K442=0),"",(I442-K442)/K442)</f>
        <v/>
      </c>
      <c r="O442" s="9">
        <f>IF(OR(G442="",J442=""),"",G442-J442)</f>
        <v/>
      </c>
    </row>
    <row r="443">
      <c r="H443" s="10" t="n"/>
      <c r="I443" s="9">
        <f>IF(H443="","",IF(E443="USD",H443*Parametros!$B$2,H443))</f>
        <v/>
      </c>
      <c r="J443" s="9">
        <f>IF(A443="","",IFERROR(VLOOKUP(A443,Partidas!$A$2:$E$201,4,FALSE),""))</f>
        <v/>
      </c>
      <c r="K443" s="9">
        <f>IF(A443="","",IFERROR(VLOOKUP(A443,Partidas!$A$2:$E$201,5,FALSE),""))</f>
        <v/>
      </c>
      <c r="L443" s="9">
        <f>IF(OR(I443="",G443=""),"",G443*I443)</f>
        <v/>
      </c>
      <c r="M443" s="9">
        <f>IF(OR(J443="",K443=""),"",J443*K443)</f>
        <v/>
      </c>
      <c r="N443" s="11">
        <f>IF(OR(I443="",K443="",K443=0),"",(I443-K443)/K443)</f>
        <v/>
      </c>
      <c r="O443" s="9">
        <f>IF(OR(G443="",J443=""),"",G443-J443)</f>
        <v/>
      </c>
    </row>
    <row r="444">
      <c r="H444" s="10" t="n"/>
      <c r="I444" s="9">
        <f>IF(H444="","",IF(E444="USD",H444*Parametros!$B$2,H444))</f>
        <v/>
      </c>
      <c r="J444" s="9">
        <f>IF(A444="","",IFERROR(VLOOKUP(A444,Partidas!$A$2:$E$201,4,FALSE),""))</f>
        <v/>
      </c>
      <c r="K444" s="9">
        <f>IF(A444="","",IFERROR(VLOOKUP(A444,Partidas!$A$2:$E$201,5,FALSE),""))</f>
        <v/>
      </c>
      <c r="L444" s="9">
        <f>IF(OR(I444="",G444=""),"",G444*I444)</f>
        <v/>
      </c>
      <c r="M444" s="9">
        <f>IF(OR(J444="",K444=""),"",J444*K444)</f>
        <v/>
      </c>
      <c r="N444" s="11">
        <f>IF(OR(I444="",K444="",K444=0),"",(I444-K444)/K444)</f>
        <v/>
      </c>
      <c r="O444" s="9">
        <f>IF(OR(G444="",J444=""),"",G444-J444)</f>
        <v/>
      </c>
    </row>
    <row r="445">
      <c r="H445" s="10" t="n"/>
      <c r="I445" s="9">
        <f>IF(H445="","",IF(E445="USD",H445*Parametros!$B$2,H445))</f>
        <v/>
      </c>
      <c r="J445" s="9">
        <f>IF(A445="","",IFERROR(VLOOKUP(A445,Partidas!$A$2:$E$201,4,FALSE),""))</f>
        <v/>
      </c>
      <c r="K445" s="9">
        <f>IF(A445="","",IFERROR(VLOOKUP(A445,Partidas!$A$2:$E$201,5,FALSE),""))</f>
        <v/>
      </c>
      <c r="L445" s="9">
        <f>IF(OR(I445="",G445=""),"",G445*I445)</f>
        <v/>
      </c>
      <c r="M445" s="9">
        <f>IF(OR(J445="",K445=""),"",J445*K445)</f>
        <v/>
      </c>
      <c r="N445" s="11">
        <f>IF(OR(I445="",K445="",K445=0),"",(I445-K445)/K445)</f>
        <v/>
      </c>
      <c r="O445" s="9">
        <f>IF(OR(G445="",J445=""),"",G445-J445)</f>
        <v/>
      </c>
    </row>
    <row r="446">
      <c r="H446" s="10" t="n"/>
      <c r="I446" s="9">
        <f>IF(H446="","",IF(E446="USD",H446*Parametros!$B$2,H446))</f>
        <v/>
      </c>
      <c r="J446" s="9">
        <f>IF(A446="","",IFERROR(VLOOKUP(A446,Partidas!$A$2:$E$201,4,FALSE),""))</f>
        <v/>
      </c>
      <c r="K446" s="9">
        <f>IF(A446="","",IFERROR(VLOOKUP(A446,Partidas!$A$2:$E$201,5,FALSE),""))</f>
        <v/>
      </c>
      <c r="L446" s="9">
        <f>IF(OR(I446="",G446=""),"",G446*I446)</f>
        <v/>
      </c>
      <c r="M446" s="9">
        <f>IF(OR(J446="",K446=""),"",J446*K446)</f>
        <v/>
      </c>
      <c r="N446" s="11">
        <f>IF(OR(I446="",K446="",K446=0),"",(I446-K446)/K446)</f>
        <v/>
      </c>
      <c r="O446" s="9">
        <f>IF(OR(G446="",J446=""),"",G446-J446)</f>
        <v/>
      </c>
    </row>
    <row r="447">
      <c r="H447" s="10" t="n"/>
      <c r="I447" s="9">
        <f>IF(H447="","",IF(E447="USD",H447*Parametros!$B$2,H447))</f>
        <v/>
      </c>
      <c r="J447" s="9">
        <f>IF(A447="","",IFERROR(VLOOKUP(A447,Partidas!$A$2:$E$201,4,FALSE),""))</f>
        <v/>
      </c>
      <c r="K447" s="9">
        <f>IF(A447="","",IFERROR(VLOOKUP(A447,Partidas!$A$2:$E$201,5,FALSE),""))</f>
        <v/>
      </c>
      <c r="L447" s="9">
        <f>IF(OR(I447="",G447=""),"",G447*I447)</f>
        <v/>
      </c>
      <c r="M447" s="9">
        <f>IF(OR(J447="",K447=""),"",J447*K447)</f>
        <v/>
      </c>
      <c r="N447" s="11">
        <f>IF(OR(I447="",K447="",K447=0),"",(I447-K447)/K447)</f>
        <v/>
      </c>
      <c r="O447" s="9">
        <f>IF(OR(G447="",J447=""),"",G447-J447)</f>
        <v/>
      </c>
    </row>
    <row r="448">
      <c r="H448" s="10" t="n"/>
      <c r="I448" s="9">
        <f>IF(H448="","",IF(E448="USD",H448*Parametros!$B$2,H448))</f>
        <v/>
      </c>
      <c r="J448" s="9">
        <f>IF(A448="","",IFERROR(VLOOKUP(A448,Partidas!$A$2:$E$201,4,FALSE),""))</f>
        <v/>
      </c>
      <c r="K448" s="9">
        <f>IF(A448="","",IFERROR(VLOOKUP(A448,Partidas!$A$2:$E$201,5,FALSE),""))</f>
        <v/>
      </c>
      <c r="L448" s="9">
        <f>IF(OR(I448="",G448=""),"",G448*I448)</f>
        <v/>
      </c>
      <c r="M448" s="9">
        <f>IF(OR(J448="",K448=""),"",J448*K448)</f>
        <v/>
      </c>
      <c r="N448" s="11">
        <f>IF(OR(I448="",K448="",K448=0),"",(I448-K448)/K448)</f>
        <v/>
      </c>
      <c r="O448" s="9">
        <f>IF(OR(G448="",J448=""),"",G448-J448)</f>
        <v/>
      </c>
    </row>
    <row r="449">
      <c r="H449" s="10" t="n"/>
      <c r="I449" s="9">
        <f>IF(H449="","",IF(E449="USD",H449*Parametros!$B$2,H449))</f>
        <v/>
      </c>
      <c r="J449" s="9">
        <f>IF(A449="","",IFERROR(VLOOKUP(A449,Partidas!$A$2:$E$201,4,FALSE),""))</f>
        <v/>
      </c>
      <c r="K449" s="9">
        <f>IF(A449="","",IFERROR(VLOOKUP(A449,Partidas!$A$2:$E$201,5,FALSE),""))</f>
        <v/>
      </c>
      <c r="L449" s="9">
        <f>IF(OR(I449="",G449=""),"",G449*I449)</f>
        <v/>
      </c>
      <c r="M449" s="9">
        <f>IF(OR(J449="",K449=""),"",J449*K449)</f>
        <v/>
      </c>
      <c r="N449" s="11">
        <f>IF(OR(I449="",K449="",K449=0),"",(I449-K449)/K449)</f>
        <v/>
      </c>
      <c r="O449" s="9">
        <f>IF(OR(G449="",J449=""),"",G449-J449)</f>
        <v/>
      </c>
    </row>
    <row r="450">
      <c r="H450" s="10" t="n"/>
      <c r="I450" s="9">
        <f>IF(H450="","",IF(E450="USD",H450*Parametros!$B$2,H450))</f>
        <v/>
      </c>
      <c r="J450" s="9">
        <f>IF(A450="","",IFERROR(VLOOKUP(A450,Partidas!$A$2:$E$201,4,FALSE),""))</f>
        <v/>
      </c>
      <c r="K450" s="9">
        <f>IF(A450="","",IFERROR(VLOOKUP(A450,Partidas!$A$2:$E$201,5,FALSE),""))</f>
        <v/>
      </c>
      <c r="L450" s="9">
        <f>IF(OR(I450="",G450=""),"",G450*I450)</f>
        <v/>
      </c>
      <c r="M450" s="9">
        <f>IF(OR(J450="",K450=""),"",J450*K450)</f>
        <v/>
      </c>
      <c r="N450" s="11">
        <f>IF(OR(I450="",K450="",K450=0),"",(I450-K450)/K450)</f>
        <v/>
      </c>
      <c r="O450" s="9">
        <f>IF(OR(G450="",J450=""),"",G450-J450)</f>
        <v/>
      </c>
    </row>
    <row r="451">
      <c r="H451" s="10" t="n"/>
      <c r="I451" s="9">
        <f>IF(H451="","",IF(E451="USD",H451*Parametros!$B$2,H451))</f>
        <v/>
      </c>
      <c r="J451" s="9">
        <f>IF(A451="","",IFERROR(VLOOKUP(A451,Partidas!$A$2:$E$201,4,FALSE),""))</f>
        <v/>
      </c>
      <c r="K451" s="9">
        <f>IF(A451="","",IFERROR(VLOOKUP(A451,Partidas!$A$2:$E$201,5,FALSE),""))</f>
        <v/>
      </c>
      <c r="L451" s="9">
        <f>IF(OR(I451="",G451=""),"",G451*I451)</f>
        <v/>
      </c>
      <c r="M451" s="9">
        <f>IF(OR(J451="",K451=""),"",J451*K451)</f>
        <v/>
      </c>
      <c r="N451" s="11">
        <f>IF(OR(I451="",K451="",K451=0),"",(I451-K451)/K451)</f>
        <v/>
      </c>
      <c r="O451" s="9">
        <f>IF(OR(G451="",J451=""),"",G451-J451)</f>
        <v/>
      </c>
    </row>
    <row r="452">
      <c r="H452" s="10" t="n"/>
      <c r="I452" s="9">
        <f>IF(H452="","",IF(E452="USD",H452*Parametros!$B$2,H452))</f>
        <v/>
      </c>
      <c r="J452" s="9">
        <f>IF(A452="","",IFERROR(VLOOKUP(A452,Partidas!$A$2:$E$201,4,FALSE),""))</f>
        <v/>
      </c>
      <c r="K452" s="9">
        <f>IF(A452="","",IFERROR(VLOOKUP(A452,Partidas!$A$2:$E$201,5,FALSE),""))</f>
        <v/>
      </c>
      <c r="L452" s="9">
        <f>IF(OR(I452="",G452=""),"",G452*I452)</f>
        <v/>
      </c>
      <c r="M452" s="9">
        <f>IF(OR(J452="",K452=""),"",J452*K452)</f>
        <v/>
      </c>
      <c r="N452" s="11">
        <f>IF(OR(I452="",K452="",K452=0),"",(I452-K452)/K452)</f>
        <v/>
      </c>
      <c r="O452" s="9">
        <f>IF(OR(G452="",J452=""),"",G452-J452)</f>
        <v/>
      </c>
    </row>
    <row r="453">
      <c r="H453" s="10" t="n"/>
      <c r="I453" s="9">
        <f>IF(H453="","",IF(E453="USD",H453*Parametros!$B$2,H453))</f>
        <v/>
      </c>
      <c r="J453" s="9">
        <f>IF(A453="","",IFERROR(VLOOKUP(A453,Partidas!$A$2:$E$201,4,FALSE),""))</f>
        <v/>
      </c>
      <c r="K453" s="9">
        <f>IF(A453="","",IFERROR(VLOOKUP(A453,Partidas!$A$2:$E$201,5,FALSE),""))</f>
        <v/>
      </c>
      <c r="L453" s="9">
        <f>IF(OR(I453="",G453=""),"",G453*I453)</f>
        <v/>
      </c>
      <c r="M453" s="9">
        <f>IF(OR(J453="",K453=""),"",J453*K453)</f>
        <v/>
      </c>
      <c r="N453" s="11">
        <f>IF(OR(I453="",K453="",K453=0),"",(I453-K453)/K453)</f>
        <v/>
      </c>
      <c r="O453" s="9">
        <f>IF(OR(G453="",J453=""),"",G453-J453)</f>
        <v/>
      </c>
    </row>
    <row r="454">
      <c r="H454" s="10" t="n"/>
      <c r="I454" s="9">
        <f>IF(H454="","",IF(E454="USD",H454*Parametros!$B$2,H454))</f>
        <v/>
      </c>
      <c r="J454" s="9">
        <f>IF(A454="","",IFERROR(VLOOKUP(A454,Partidas!$A$2:$E$201,4,FALSE),""))</f>
        <v/>
      </c>
      <c r="K454" s="9">
        <f>IF(A454="","",IFERROR(VLOOKUP(A454,Partidas!$A$2:$E$201,5,FALSE),""))</f>
        <v/>
      </c>
      <c r="L454" s="9">
        <f>IF(OR(I454="",G454=""),"",G454*I454)</f>
        <v/>
      </c>
      <c r="M454" s="9">
        <f>IF(OR(J454="",K454=""),"",J454*K454)</f>
        <v/>
      </c>
      <c r="N454" s="11">
        <f>IF(OR(I454="",K454="",K454=0),"",(I454-K454)/K454)</f>
        <v/>
      </c>
      <c r="O454" s="9">
        <f>IF(OR(G454="",J454=""),"",G454-J454)</f>
        <v/>
      </c>
    </row>
    <row r="455">
      <c r="H455" s="10" t="n"/>
      <c r="I455" s="9">
        <f>IF(H455="","",IF(E455="USD",H455*Parametros!$B$2,H455))</f>
        <v/>
      </c>
      <c r="J455" s="9">
        <f>IF(A455="","",IFERROR(VLOOKUP(A455,Partidas!$A$2:$E$201,4,FALSE),""))</f>
        <v/>
      </c>
      <c r="K455" s="9">
        <f>IF(A455="","",IFERROR(VLOOKUP(A455,Partidas!$A$2:$E$201,5,FALSE),""))</f>
        <v/>
      </c>
      <c r="L455" s="9">
        <f>IF(OR(I455="",G455=""),"",G455*I455)</f>
        <v/>
      </c>
      <c r="M455" s="9">
        <f>IF(OR(J455="",K455=""),"",J455*K455)</f>
        <v/>
      </c>
      <c r="N455" s="11">
        <f>IF(OR(I455="",K455="",K455=0),"",(I455-K455)/K455)</f>
        <v/>
      </c>
      <c r="O455" s="9">
        <f>IF(OR(G455="",J455=""),"",G455-J455)</f>
        <v/>
      </c>
    </row>
    <row r="456">
      <c r="H456" s="10" t="n"/>
      <c r="I456" s="9">
        <f>IF(H456="","",IF(E456="USD",H456*Parametros!$B$2,H456))</f>
        <v/>
      </c>
      <c r="J456" s="9">
        <f>IF(A456="","",IFERROR(VLOOKUP(A456,Partidas!$A$2:$E$201,4,FALSE),""))</f>
        <v/>
      </c>
      <c r="K456" s="9">
        <f>IF(A456="","",IFERROR(VLOOKUP(A456,Partidas!$A$2:$E$201,5,FALSE),""))</f>
        <v/>
      </c>
      <c r="L456" s="9">
        <f>IF(OR(I456="",G456=""),"",G456*I456)</f>
        <v/>
      </c>
      <c r="M456" s="9">
        <f>IF(OR(J456="",K456=""),"",J456*K456)</f>
        <v/>
      </c>
      <c r="N456" s="11">
        <f>IF(OR(I456="",K456="",K456=0),"",(I456-K456)/K456)</f>
        <v/>
      </c>
      <c r="O456" s="9">
        <f>IF(OR(G456="",J456=""),"",G456-J456)</f>
        <v/>
      </c>
    </row>
    <row r="457">
      <c r="H457" s="10" t="n"/>
      <c r="I457" s="9">
        <f>IF(H457="","",IF(E457="USD",H457*Parametros!$B$2,H457))</f>
        <v/>
      </c>
      <c r="J457" s="9">
        <f>IF(A457="","",IFERROR(VLOOKUP(A457,Partidas!$A$2:$E$201,4,FALSE),""))</f>
        <v/>
      </c>
      <c r="K457" s="9">
        <f>IF(A457="","",IFERROR(VLOOKUP(A457,Partidas!$A$2:$E$201,5,FALSE),""))</f>
        <v/>
      </c>
      <c r="L457" s="9">
        <f>IF(OR(I457="",G457=""),"",G457*I457)</f>
        <v/>
      </c>
      <c r="M457" s="9">
        <f>IF(OR(J457="",K457=""),"",J457*K457)</f>
        <v/>
      </c>
      <c r="N457" s="11">
        <f>IF(OR(I457="",K457="",K457=0),"",(I457-K457)/K457)</f>
        <v/>
      </c>
      <c r="O457" s="9">
        <f>IF(OR(G457="",J457=""),"",G457-J457)</f>
        <v/>
      </c>
    </row>
    <row r="458">
      <c r="H458" s="10" t="n"/>
      <c r="I458" s="9">
        <f>IF(H458="","",IF(E458="USD",H458*Parametros!$B$2,H458))</f>
        <v/>
      </c>
      <c r="J458" s="9">
        <f>IF(A458="","",IFERROR(VLOOKUP(A458,Partidas!$A$2:$E$201,4,FALSE),""))</f>
        <v/>
      </c>
      <c r="K458" s="9">
        <f>IF(A458="","",IFERROR(VLOOKUP(A458,Partidas!$A$2:$E$201,5,FALSE),""))</f>
        <v/>
      </c>
      <c r="L458" s="9">
        <f>IF(OR(I458="",G458=""),"",G458*I458)</f>
        <v/>
      </c>
      <c r="M458" s="9">
        <f>IF(OR(J458="",K458=""),"",J458*K458)</f>
        <v/>
      </c>
      <c r="N458" s="11">
        <f>IF(OR(I458="",K458="",K458=0),"",(I458-K458)/K458)</f>
        <v/>
      </c>
      <c r="O458" s="9">
        <f>IF(OR(G458="",J458=""),"",G458-J458)</f>
        <v/>
      </c>
    </row>
    <row r="459">
      <c r="H459" s="10" t="n"/>
      <c r="I459" s="9">
        <f>IF(H459="","",IF(E459="USD",H459*Parametros!$B$2,H459))</f>
        <v/>
      </c>
      <c r="J459" s="9">
        <f>IF(A459="","",IFERROR(VLOOKUP(A459,Partidas!$A$2:$E$201,4,FALSE),""))</f>
        <v/>
      </c>
      <c r="K459" s="9">
        <f>IF(A459="","",IFERROR(VLOOKUP(A459,Partidas!$A$2:$E$201,5,FALSE),""))</f>
        <v/>
      </c>
      <c r="L459" s="9">
        <f>IF(OR(I459="",G459=""),"",G459*I459)</f>
        <v/>
      </c>
      <c r="M459" s="9">
        <f>IF(OR(J459="",K459=""),"",J459*K459)</f>
        <v/>
      </c>
      <c r="N459" s="11">
        <f>IF(OR(I459="",K459="",K459=0),"",(I459-K459)/K459)</f>
        <v/>
      </c>
      <c r="O459" s="9">
        <f>IF(OR(G459="",J459=""),"",G459-J459)</f>
        <v/>
      </c>
    </row>
    <row r="460">
      <c r="H460" s="10" t="n"/>
      <c r="I460" s="9">
        <f>IF(H460="","",IF(E460="USD",H460*Parametros!$B$2,H460))</f>
        <v/>
      </c>
      <c r="J460" s="9">
        <f>IF(A460="","",IFERROR(VLOOKUP(A460,Partidas!$A$2:$E$201,4,FALSE),""))</f>
        <v/>
      </c>
      <c r="K460" s="9">
        <f>IF(A460="","",IFERROR(VLOOKUP(A460,Partidas!$A$2:$E$201,5,FALSE),""))</f>
        <v/>
      </c>
      <c r="L460" s="9">
        <f>IF(OR(I460="",G460=""),"",G460*I460)</f>
        <v/>
      </c>
      <c r="M460" s="9">
        <f>IF(OR(J460="",K460=""),"",J460*K460)</f>
        <v/>
      </c>
      <c r="N460" s="11">
        <f>IF(OR(I460="",K460="",K460=0),"",(I460-K460)/K460)</f>
        <v/>
      </c>
      <c r="O460" s="9">
        <f>IF(OR(G460="",J460=""),"",G460-J460)</f>
        <v/>
      </c>
    </row>
    <row r="461">
      <c r="H461" s="10" t="n"/>
      <c r="I461" s="9">
        <f>IF(H461="","",IF(E461="USD",H461*Parametros!$B$2,H461))</f>
        <v/>
      </c>
      <c r="J461" s="9">
        <f>IF(A461="","",IFERROR(VLOOKUP(A461,Partidas!$A$2:$E$201,4,FALSE),""))</f>
        <v/>
      </c>
      <c r="K461" s="9">
        <f>IF(A461="","",IFERROR(VLOOKUP(A461,Partidas!$A$2:$E$201,5,FALSE),""))</f>
        <v/>
      </c>
      <c r="L461" s="9">
        <f>IF(OR(I461="",G461=""),"",G461*I461)</f>
        <v/>
      </c>
      <c r="M461" s="9">
        <f>IF(OR(J461="",K461=""),"",J461*K461)</f>
        <v/>
      </c>
      <c r="N461" s="11">
        <f>IF(OR(I461="",K461="",K461=0),"",(I461-K461)/K461)</f>
        <v/>
      </c>
      <c r="O461" s="9">
        <f>IF(OR(G461="",J461=""),"",G461-J461)</f>
        <v/>
      </c>
    </row>
    <row r="462">
      <c r="H462" s="10" t="n"/>
      <c r="I462" s="9">
        <f>IF(H462="","",IF(E462="USD",H462*Parametros!$B$2,H462))</f>
        <v/>
      </c>
      <c r="J462" s="9">
        <f>IF(A462="","",IFERROR(VLOOKUP(A462,Partidas!$A$2:$E$201,4,FALSE),""))</f>
        <v/>
      </c>
      <c r="K462" s="9">
        <f>IF(A462="","",IFERROR(VLOOKUP(A462,Partidas!$A$2:$E$201,5,FALSE),""))</f>
        <v/>
      </c>
      <c r="L462" s="9">
        <f>IF(OR(I462="",G462=""),"",G462*I462)</f>
        <v/>
      </c>
      <c r="M462" s="9">
        <f>IF(OR(J462="",K462=""),"",J462*K462)</f>
        <v/>
      </c>
      <c r="N462" s="11">
        <f>IF(OR(I462="",K462="",K462=0),"",(I462-K462)/K462)</f>
        <v/>
      </c>
      <c r="O462" s="9">
        <f>IF(OR(G462="",J462=""),"",G462-J462)</f>
        <v/>
      </c>
    </row>
    <row r="463">
      <c r="H463" s="10" t="n"/>
      <c r="I463" s="9">
        <f>IF(H463="","",IF(E463="USD",H463*Parametros!$B$2,H463))</f>
        <v/>
      </c>
      <c r="J463" s="9">
        <f>IF(A463="","",IFERROR(VLOOKUP(A463,Partidas!$A$2:$E$201,4,FALSE),""))</f>
        <v/>
      </c>
      <c r="K463" s="9">
        <f>IF(A463="","",IFERROR(VLOOKUP(A463,Partidas!$A$2:$E$201,5,FALSE),""))</f>
        <v/>
      </c>
      <c r="L463" s="9">
        <f>IF(OR(I463="",G463=""),"",G463*I463)</f>
        <v/>
      </c>
      <c r="M463" s="9">
        <f>IF(OR(J463="",K463=""),"",J463*K463)</f>
        <v/>
      </c>
      <c r="N463" s="11">
        <f>IF(OR(I463="",K463="",K463=0),"",(I463-K463)/K463)</f>
        <v/>
      </c>
      <c r="O463" s="9">
        <f>IF(OR(G463="",J463=""),"",G463-J463)</f>
        <v/>
      </c>
    </row>
    <row r="464">
      <c r="H464" s="10" t="n"/>
      <c r="I464" s="9">
        <f>IF(H464="","",IF(E464="USD",H464*Parametros!$B$2,H464))</f>
        <v/>
      </c>
      <c r="J464" s="9">
        <f>IF(A464="","",IFERROR(VLOOKUP(A464,Partidas!$A$2:$E$201,4,FALSE),""))</f>
        <v/>
      </c>
      <c r="K464" s="9">
        <f>IF(A464="","",IFERROR(VLOOKUP(A464,Partidas!$A$2:$E$201,5,FALSE),""))</f>
        <v/>
      </c>
      <c r="L464" s="9">
        <f>IF(OR(I464="",G464=""),"",G464*I464)</f>
        <v/>
      </c>
      <c r="M464" s="9">
        <f>IF(OR(J464="",K464=""),"",J464*K464)</f>
        <v/>
      </c>
      <c r="N464" s="11">
        <f>IF(OR(I464="",K464="",K464=0),"",(I464-K464)/K464)</f>
        <v/>
      </c>
      <c r="O464" s="9">
        <f>IF(OR(G464="",J464=""),"",G464-J464)</f>
        <v/>
      </c>
    </row>
    <row r="465">
      <c r="H465" s="10" t="n"/>
      <c r="I465" s="9">
        <f>IF(H465="","",IF(E465="USD",H465*Parametros!$B$2,H465))</f>
        <v/>
      </c>
      <c r="J465" s="9">
        <f>IF(A465="","",IFERROR(VLOOKUP(A465,Partidas!$A$2:$E$201,4,FALSE),""))</f>
        <v/>
      </c>
      <c r="K465" s="9">
        <f>IF(A465="","",IFERROR(VLOOKUP(A465,Partidas!$A$2:$E$201,5,FALSE),""))</f>
        <v/>
      </c>
      <c r="L465" s="9">
        <f>IF(OR(I465="",G465=""),"",G465*I465)</f>
        <v/>
      </c>
      <c r="M465" s="9">
        <f>IF(OR(J465="",K465=""),"",J465*K465)</f>
        <v/>
      </c>
      <c r="N465" s="11">
        <f>IF(OR(I465="",K465="",K465=0),"",(I465-K465)/K465)</f>
        <v/>
      </c>
      <c r="O465" s="9">
        <f>IF(OR(G465="",J465=""),"",G465-J465)</f>
        <v/>
      </c>
    </row>
    <row r="466">
      <c r="H466" s="10" t="n"/>
      <c r="I466" s="9">
        <f>IF(H466="","",IF(E466="USD",H466*Parametros!$B$2,H466))</f>
        <v/>
      </c>
      <c r="J466" s="9">
        <f>IF(A466="","",IFERROR(VLOOKUP(A466,Partidas!$A$2:$E$201,4,FALSE),""))</f>
        <v/>
      </c>
      <c r="K466" s="9">
        <f>IF(A466="","",IFERROR(VLOOKUP(A466,Partidas!$A$2:$E$201,5,FALSE),""))</f>
        <v/>
      </c>
      <c r="L466" s="9">
        <f>IF(OR(I466="",G466=""),"",G466*I466)</f>
        <v/>
      </c>
      <c r="M466" s="9">
        <f>IF(OR(J466="",K466=""),"",J466*K466)</f>
        <v/>
      </c>
      <c r="N466" s="11">
        <f>IF(OR(I466="",K466="",K466=0),"",(I466-K466)/K466)</f>
        <v/>
      </c>
      <c r="O466" s="9">
        <f>IF(OR(G466="",J466=""),"",G466-J466)</f>
        <v/>
      </c>
    </row>
    <row r="467">
      <c r="H467" s="10" t="n"/>
      <c r="I467" s="9">
        <f>IF(H467="","",IF(E467="USD",H467*Parametros!$B$2,H467))</f>
        <v/>
      </c>
      <c r="J467" s="9">
        <f>IF(A467="","",IFERROR(VLOOKUP(A467,Partidas!$A$2:$E$201,4,FALSE),""))</f>
        <v/>
      </c>
      <c r="K467" s="9">
        <f>IF(A467="","",IFERROR(VLOOKUP(A467,Partidas!$A$2:$E$201,5,FALSE),""))</f>
        <v/>
      </c>
      <c r="L467" s="9">
        <f>IF(OR(I467="",G467=""),"",G467*I467)</f>
        <v/>
      </c>
      <c r="M467" s="9">
        <f>IF(OR(J467="",K467=""),"",J467*K467)</f>
        <v/>
      </c>
      <c r="N467" s="11">
        <f>IF(OR(I467="",K467="",K467=0),"",(I467-K467)/K467)</f>
        <v/>
      </c>
      <c r="O467" s="9">
        <f>IF(OR(G467="",J467=""),"",G467-J467)</f>
        <v/>
      </c>
    </row>
    <row r="468">
      <c r="H468" s="10" t="n"/>
      <c r="I468" s="9">
        <f>IF(H468="","",IF(E468="USD",H468*Parametros!$B$2,H468))</f>
        <v/>
      </c>
      <c r="J468" s="9">
        <f>IF(A468="","",IFERROR(VLOOKUP(A468,Partidas!$A$2:$E$201,4,FALSE),""))</f>
        <v/>
      </c>
      <c r="K468" s="9">
        <f>IF(A468="","",IFERROR(VLOOKUP(A468,Partidas!$A$2:$E$201,5,FALSE),""))</f>
        <v/>
      </c>
      <c r="L468" s="9">
        <f>IF(OR(I468="",G468=""),"",G468*I468)</f>
        <v/>
      </c>
      <c r="M468" s="9">
        <f>IF(OR(J468="",K468=""),"",J468*K468)</f>
        <v/>
      </c>
      <c r="N468" s="11">
        <f>IF(OR(I468="",K468="",K468=0),"",(I468-K468)/K468)</f>
        <v/>
      </c>
      <c r="O468" s="9">
        <f>IF(OR(G468="",J468=""),"",G468-J468)</f>
        <v/>
      </c>
    </row>
    <row r="469">
      <c r="H469" s="10" t="n"/>
      <c r="I469" s="9">
        <f>IF(H469="","",IF(E469="USD",H469*Parametros!$B$2,H469))</f>
        <v/>
      </c>
      <c r="J469" s="9">
        <f>IF(A469="","",IFERROR(VLOOKUP(A469,Partidas!$A$2:$E$201,4,FALSE),""))</f>
        <v/>
      </c>
      <c r="K469" s="9">
        <f>IF(A469="","",IFERROR(VLOOKUP(A469,Partidas!$A$2:$E$201,5,FALSE),""))</f>
        <v/>
      </c>
      <c r="L469" s="9">
        <f>IF(OR(I469="",G469=""),"",G469*I469)</f>
        <v/>
      </c>
      <c r="M469" s="9">
        <f>IF(OR(J469="",K469=""),"",J469*K469)</f>
        <v/>
      </c>
      <c r="N469" s="11">
        <f>IF(OR(I469="",K469="",K469=0),"",(I469-K469)/K469)</f>
        <v/>
      </c>
      <c r="O469" s="9">
        <f>IF(OR(G469="",J469=""),"",G469-J469)</f>
        <v/>
      </c>
    </row>
    <row r="470">
      <c r="H470" s="10" t="n"/>
      <c r="I470" s="9">
        <f>IF(H470="","",IF(E470="USD",H470*Parametros!$B$2,H470))</f>
        <v/>
      </c>
      <c r="J470" s="9">
        <f>IF(A470="","",IFERROR(VLOOKUP(A470,Partidas!$A$2:$E$201,4,FALSE),""))</f>
        <v/>
      </c>
      <c r="K470" s="9">
        <f>IF(A470="","",IFERROR(VLOOKUP(A470,Partidas!$A$2:$E$201,5,FALSE),""))</f>
        <v/>
      </c>
      <c r="L470" s="9">
        <f>IF(OR(I470="",G470=""),"",G470*I470)</f>
        <v/>
      </c>
      <c r="M470" s="9">
        <f>IF(OR(J470="",K470=""),"",J470*K470)</f>
        <v/>
      </c>
      <c r="N470" s="11">
        <f>IF(OR(I470="",K470="",K470=0),"",(I470-K470)/K470)</f>
        <v/>
      </c>
      <c r="O470" s="9">
        <f>IF(OR(G470="",J470=""),"",G470-J470)</f>
        <v/>
      </c>
    </row>
    <row r="471">
      <c r="H471" s="10" t="n"/>
      <c r="I471" s="9">
        <f>IF(H471="","",IF(E471="USD",H471*Parametros!$B$2,H471))</f>
        <v/>
      </c>
      <c r="J471" s="9">
        <f>IF(A471="","",IFERROR(VLOOKUP(A471,Partidas!$A$2:$E$201,4,FALSE),""))</f>
        <v/>
      </c>
      <c r="K471" s="9">
        <f>IF(A471="","",IFERROR(VLOOKUP(A471,Partidas!$A$2:$E$201,5,FALSE),""))</f>
        <v/>
      </c>
      <c r="L471" s="9">
        <f>IF(OR(I471="",G471=""),"",G471*I471)</f>
        <v/>
      </c>
      <c r="M471" s="9">
        <f>IF(OR(J471="",K471=""),"",J471*K471)</f>
        <v/>
      </c>
      <c r="N471" s="11">
        <f>IF(OR(I471="",K471="",K471=0),"",(I471-K471)/K471)</f>
        <v/>
      </c>
      <c r="O471" s="9">
        <f>IF(OR(G471="",J471=""),"",G471-J471)</f>
        <v/>
      </c>
    </row>
    <row r="472">
      <c r="H472" s="10" t="n"/>
      <c r="I472" s="9">
        <f>IF(H472="","",IF(E472="USD",H472*Parametros!$B$2,H472))</f>
        <v/>
      </c>
      <c r="J472" s="9">
        <f>IF(A472="","",IFERROR(VLOOKUP(A472,Partidas!$A$2:$E$201,4,FALSE),""))</f>
        <v/>
      </c>
      <c r="K472" s="9">
        <f>IF(A472="","",IFERROR(VLOOKUP(A472,Partidas!$A$2:$E$201,5,FALSE),""))</f>
        <v/>
      </c>
      <c r="L472" s="9">
        <f>IF(OR(I472="",G472=""),"",G472*I472)</f>
        <v/>
      </c>
      <c r="M472" s="9">
        <f>IF(OR(J472="",K472=""),"",J472*K472)</f>
        <v/>
      </c>
      <c r="N472" s="11">
        <f>IF(OR(I472="",K472="",K472=0),"",(I472-K472)/K472)</f>
        <v/>
      </c>
      <c r="O472" s="9">
        <f>IF(OR(G472="",J472=""),"",G472-J472)</f>
        <v/>
      </c>
    </row>
    <row r="473">
      <c r="H473" s="10" t="n"/>
      <c r="I473" s="9">
        <f>IF(H473="","",IF(E473="USD",H473*Parametros!$B$2,H473))</f>
        <v/>
      </c>
      <c r="J473" s="9">
        <f>IF(A473="","",IFERROR(VLOOKUP(A473,Partidas!$A$2:$E$201,4,FALSE),""))</f>
        <v/>
      </c>
      <c r="K473" s="9">
        <f>IF(A473="","",IFERROR(VLOOKUP(A473,Partidas!$A$2:$E$201,5,FALSE),""))</f>
        <v/>
      </c>
      <c r="L473" s="9">
        <f>IF(OR(I473="",G473=""),"",G473*I473)</f>
        <v/>
      </c>
      <c r="M473" s="9">
        <f>IF(OR(J473="",K473=""),"",J473*K473)</f>
        <v/>
      </c>
      <c r="N473" s="11">
        <f>IF(OR(I473="",K473="",K473=0),"",(I473-K473)/K473)</f>
        <v/>
      </c>
      <c r="O473" s="9">
        <f>IF(OR(G473="",J473=""),"",G473-J473)</f>
        <v/>
      </c>
    </row>
    <row r="474">
      <c r="H474" s="10" t="n"/>
      <c r="I474" s="9">
        <f>IF(H474="","",IF(E474="USD",H474*Parametros!$B$2,H474))</f>
        <v/>
      </c>
      <c r="J474" s="9">
        <f>IF(A474="","",IFERROR(VLOOKUP(A474,Partidas!$A$2:$E$201,4,FALSE),""))</f>
        <v/>
      </c>
      <c r="K474" s="9">
        <f>IF(A474="","",IFERROR(VLOOKUP(A474,Partidas!$A$2:$E$201,5,FALSE),""))</f>
        <v/>
      </c>
      <c r="L474" s="9">
        <f>IF(OR(I474="",G474=""),"",G474*I474)</f>
        <v/>
      </c>
      <c r="M474" s="9">
        <f>IF(OR(J474="",K474=""),"",J474*K474)</f>
        <v/>
      </c>
      <c r="N474" s="11">
        <f>IF(OR(I474="",K474="",K474=0),"",(I474-K474)/K474)</f>
        <v/>
      </c>
      <c r="O474" s="9">
        <f>IF(OR(G474="",J474=""),"",G474-J474)</f>
        <v/>
      </c>
    </row>
    <row r="475">
      <c r="H475" s="10" t="n"/>
      <c r="I475" s="9">
        <f>IF(H475="","",IF(E475="USD",H475*Parametros!$B$2,H475))</f>
        <v/>
      </c>
      <c r="J475" s="9">
        <f>IF(A475="","",IFERROR(VLOOKUP(A475,Partidas!$A$2:$E$201,4,FALSE),""))</f>
        <v/>
      </c>
      <c r="K475" s="9">
        <f>IF(A475="","",IFERROR(VLOOKUP(A475,Partidas!$A$2:$E$201,5,FALSE),""))</f>
        <v/>
      </c>
      <c r="L475" s="9">
        <f>IF(OR(I475="",G475=""),"",G475*I475)</f>
        <v/>
      </c>
      <c r="M475" s="9">
        <f>IF(OR(J475="",K475=""),"",J475*K475)</f>
        <v/>
      </c>
      <c r="N475" s="11">
        <f>IF(OR(I475="",K475="",K475=0),"",(I475-K475)/K475)</f>
        <v/>
      </c>
      <c r="O475" s="9">
        <f>IF(OR(G475="",J475=""),"",G475-J475)</f>
        <v/>
      </c>
    </row>
    <row r="476">
      <c r="H476" s="10" t="n"/>
      <c r="I476" s="9">
        <f>IF(H476="","",IF(E476="USD",H476*Parametros!$B$2,H476))</f>
        <v/>
      </c>
      <c r="J476" s="9">
        <f>IF(A476="","",IFERROR(VLOOKUP(A476,Partidas!$A$2:$E$201,4,FALSE),""))</f>
        <v/>
      </c>
      <c r="K476" s="9">
        <f>IF(A476="","",IFERROR(VLOOKUP(A476,Partidas!$A$2:$E$201,5,FALSE),""))</f>
        <v/>
      </c>
      <c r="L476" s="9">
        <f>IF(OR(I476="",G476=""),"",G476*I476)</f>
        <v/>
      </c>
      <c r="M476" s="9">
        <f>IF(OR(J476="",K476=""),"",J476*K476)</f>
        <v/>
      </c>
      <c r="N476" s="11">
        <f>IF(OR(I476="",K476="",K476=0),"",(I476-K476)/K476)</f>
        <v/>
      </c>
      <c r="O476" s="9">
        <f>IF(OR(G476="",J476=""),"",G476-J476)</f>
        <v/>
      </c>
    </row>
    <row r="477">
      <c r="H477" s="10" t="n"/>
      <c r="I477" s="9">
        <f>IF(H477="","",IF(E477="USD",H477*Parametros!$B$2,H477))</f>
        <v/>
      </c>
      <c r="J477" s="9">
        <f>IF(A477="","",IFERROR(VLOOKUP(A477,Partidas!$A$2:$E$201,4,FALSE),""))</f>
        <v/>
      </c>
      <c r="K477" s="9">
        <f>IF(A477="","",IFERROR(VLOOKUP(A477,Partidas!$A$2:$E$201,5,FALSE),""))</f>
        <v/>
      </c>
      <c r="L477" s="9">
        <f>IF(OR(I477="",G477=""),"",G477*I477)</f>
        <v/>
      </c>
      <c r="M477" s="9">
        <f>IF(OR(J477="",K477=""),"",J477*K477)</f>
        <v/>
      </c>
      <c r="N477" s="11">
        <f>IF(OR(I477="",K477="",K477=0),"",(I477-K477)/K477)</f>
        <v/>
      </c>
      <c r="O477" s="9">
        <f>IF(OR(G477="",J477=""),"",G477-J477)</f>
        <v/>
      </c>
    </row>
    <row r="478">
      <c r="H478" s="10" t="n"/>
      <c r="I478" s="9">
        <f>IF(H478="","",IF(E478="USD",H478*Parametros!$B$2,H478))</f>
        <v/>
      </c>
      <c r="J478" s="9">
        <f>IF(A478="","",IFERROR(VLOOKUP(A478,Partidas!$A$2:$E$201,4,FALSE),""))</f>
        <v/>
      </c>
      <c r="K478" s="9">
        <f>IF(A478="","",IFERROR(VLOOKUP(A478,Partidas!$A$2:$E$201,5,FALSE),""))</f>
        <v/>
      </c>
      <c r="L478" s="9">
        <f>IF(OR(I478="",G478=""),"",G478*I478)</f>
        <v/>
      </c>
      <c r="M478" s="9">
        <f>IF(OR(J478="",K478=""),"",J478*K478)</f>
        <v/>
      </c>
      <c r="N478" s="11">
        <f>IF(OR(I478="",K478="",K478=0),"",(I478-K478)/K478)</f>
        <v/>
      </c>
      <c r="O478" s="9">
        <f>IF(OR(G478="",J478=""),"",G478-J478)</f>
        <v/>
      </c>
    </row>
    <row r="479">
      <c r="H479" s="10" t="n"/>
      <c r="I479" s="9">
        <f>IF(H479="","",IF(E479="USD",H479*Parametros!$B$2,H479))</f>
        <v/>
      </c>
      <c r="J479" s="9">
        <f>IF(A479="","",IFERROR(VLOOKUP(A479,Partidas!$A$2:$E$201,4,FALSE),""))</f>
        <v/>
      </c>
      <c r="K479" s="9">
        <f>IF(A479="","",IFERROR(VLOOKUP(A479,Partidas!$A$2:$E$201,5,FALSE),""))</f>
        <v/>
      </c>
      <c r="L479" s="9">
        <f>IF(OR(I479="",G479=""),"",G479*I479)</f>
        <v/>
      </c>
      <c r="M479" s="9">
        <f>IF(OR(J479="",K479=""),"",J479*K479)</f>
        <v/>
      </c>
      <c r="N479" s="11">
        <f>IF(OR(I479="",K479="",K479=0),"",(I479-K479)/K479)</f>
        <v/>
      </c>
      <c r="O479" s="9">
        <f>IF(OR(G479="",J479=""),"",G479-J479)</f>
        <v/>
      </c>
    </row>
    <row r="480">
      <c r="H480" s="10" t="n"/>
      <c r="I480" s="9">
        <f>IF(H480="","",IF(E480="USD",H480*Parametros!$B$2,H480))</f>
        <v/>
      </c>
      <c r="J480" s="9">
        <f>IF(A480="","",IFERROR(VLOOKUP(A480,Partidas!$A$2:$E$201,4,FALSE),""))</f>
        <v/>
      </c>
      <c r="K480" s="9">
        <f>IF(A480="","",IFERROR(VLOOKUP(A480,Partidas!$A$2:$E$201,5,FALSE),""))</f>
        <v/>
      </c>
      <c r="L480" s="9">
        <f>IF(OR(I480="",G480=""),"",G480*I480)</f>
        <v/>
      </c>
      <c r="M480" s="9">
        <f>IF(OR(J480="",K480=""),"",J480*K480)</f>
        <v/>
      </c>
      <c r="N480" s="11">
        <f>IF(OR(I480="",K480="",K480=0),"",(I480-K480)/K480)</f>
        <v/>
      </c>
      <c r="O480" s="9">
        <f>IF(OR(G480="",J480=""),"",G480-J480)</f>
        <v/>
      </c>
    </row>
    <row r="481">
      <c r="H481" s="10" t="n"/>
      <c r="I481" s="9">
        <f>IF(H481="","",IF(E481="USD",H481*Parametros!$B$2,H481))</f>
        <v/>
      </c>
      <c r="J481" s="9">
        <f>IF(A481="","",IFERROR(VLOOKUP(A481,Partidas!$A$2:$E$201,4,FALSE),""))</f>
        <v/>
      </c>
      <c r="K481" s="9">
        <f>IF(A481="","",IFERROR(VLOOKUP(A481,Partidas!$A$2:$E$201,5,FALSE),""))</f>
        <v/>
      </c>
      <c r="L481" s="9">
        <f>IF(OR(I481="",G481=""),"",G481*I481)</f>
        <v/>
      </c>
      <c r="M481" s="9">
        <f>IF(OR(J481="",K481=""),"",J481*K481)</f>
        <v/>
      </c>
      <c r="N481" s="11">
        <f>IF(OR(I481="",K481="",K481=0),"",(I481-K481)/K481)</f>
        <v/>
      </c>
      <c r="O481" s="9">
        <f>IF(OR(G481="",J481=""),"",G481-J481)</f>
        <v/>
      </c>
    </row>
    <row r="482">
      <c r="H482" s="10" t="n"/>
      <c r="I482" s="9">
        <f>IF(H482="","",IF(E482="USD",H482*Parametros!$B$2,H482))</f>
        <v/>
      </c>
      <c r="J482" s="9">
        <f>IF(A482="","",IFERROR(VLOOKUP(A482,Partidas!$A$2:$E$201,4,FALSE),""))</f>
        <v/>
      </c>
      <c r="K482" s="9">
        <f>IF(A482="","",IFERROR(VLOOKUP(A482,Partidas!$A$2:$E$201,5,FALSE),""))</f>
        <v/>
      </c>
      <c r="L482" s="9">
        <f>IF(OR(I482="",G482=""),"",G482*I482)</f>
        <v/>
      </c>
      <c r="M482" s="9">
        <f>IF(OR(J482="",K482=""),"",J482*K482)</f>
        <v/>
      </c>
      <c r="N482" s="11">
        <f>IF(OR(I482="",K482="",K482=0),"",(I482-K482)/K482)</f>
        <v/>
      </c>
      <c r="O482" s="9">
        <f>IF(OR(G482="",J482=""),"",G482-J482)</f>
        <v/>
      </c>
    </row>
    <row r="483">
      <c r="H483" s="10" t="n"/>
      <c r="I483" s="9">
        <f>IF(H483="","",IF(E483="USD",H483*Parametros!$B$2,H483))</f>
        <v/>
      </c>
      <c r="J483" s="9">
        <f>IF(A483="","",IFERROR(VLOOKUP(A483,Partidas!$A$2:$E$201,4,FALSE),""))</f>
        <v/>
      </c>
      <c r="K483" s="9">
        <f>IF(A483="","",IFERROR(VLOOKUP(A483,Partidas!$A$2:$E$201,5,FALSE),""))</f>
        <v/>
      </c>
      <c r="L483" s="9">
        <f>IF(OR(I483="",G483=""),"",G483*I483)</f>
        <v/>
      </c>
      <c r="M483" s="9">
        <f>IF(OR(J483="",K483=""),"",J483*K483)</f>
        <v/>
      </c>
      <c r="N483" s="11">
        <f>IF(OR(I483="",K483="",K483=0),"",(I483-K483)/K483)</f>
        <v/>
      </c>
      <c r="O483" s="9">
        <f>IF(OR(G483="",J483=""),"",G483-J483)</f>
        <v/>
      </c>
    </row>
    <row r="484">
      <c r="H484" s="10" t="n"/>
      <c r="I484" s="9">
        <f>IF(H484="","",IF(E484="USD",H484*Parametros!$B$2,H484))</f>
        <v/>
      </c>
      <c r="J484" s="9">
        <f>IF(A484="","",IFERROR(VLOOKUP(A484,Partidas!$A$2:$E$201,4,FALSE),""))</f>
        <v/>
      </c>
      <c r="K484" s="9">
        <f>IF(A484="","",IFERROR(VLOOKUP(A484,Partidas!$A$2:$E$201,5,FALSE),""))</f>
        <v/>
      </c>
      <c r="L484" s="9">
        <f>IF(OR(I484="",G484=""),"",G484*I484)</f>
        <v/>
      </c>
      <c r="M484" s="9">
        <f>IF(OR(J484="",K484=""),"",J484*K484)</f>
        <v/>
      </c>
      <c r="N484" s="11">
        <f>IF(OR(I484="",K484="",K484=0),"",(I484-K484)/K484)</f>
        <v/>
      </c>
      <c r="O484" s="9">
        <f>IF(OR(G484="",J484=""),"",G484-J484)</f>
        <v/>
      </c>
    </row>
    <row r="485">
      <c r="H485" s="10" t="n"/>
      <c r="I485" s="9">
        <f>IF(H485="","",IF(E485="USD",H485*Parametros!$B$2,H485))</f>
        <v/>
      </c>
      <c r="J485" s="9">
        <f>IF(A485="","",IFERROR(VLOOKUP(A485,Partidas!$A$2:$E$201,4,FALSE),""))</f>
        <v/>
      </c>
      <c r="K485" s="9">
        <f>IF(A485="","",IFERROR(VLOOKUP(A485,Partidas!$A$2:$E$201,5,FALSE),""))</f>
        <v/>
      </c>
      <c r="L485" s="9">
        <f>IF(OR(I485="",G485=""),"",G485*I485)</f>
        <v/>
      </c>
      <c r="M485" s="9">
        <f>IF(OR(J485="",K485=""),"",J485*K485)</f>
        <v/>
      </c>
      <c r="N485" s="11">
        <f>IF(OR(I485="",K485="",K485=0),"",(I485-K485)/K485)</f>
        <v/>
      </c>
      <c r="O485" s="9">
        <f>IF(OR(G485="",J485=""),"",G485-J485)</f>
        <v/>
      </c>
    </row>
    <row r="486">
      <c r="H486" s="10" t="n"/>
      <c r="I486" s="9">
        <f>IF(H486="","",IF(E486="USD",H486*Parametros!$B$2,H486))</f>
        <v/>
      </c>
      <c r="J486" s="9">
        <f>IF(A486="","",IFERROR(VLOOKUP(A486,Partidas!$A$2:$E$201,4,FALSE),""))</f>
        <v/>
      </c>
      <c r="K486" s="9">
        <f>IF(A486="","",IFERROR(VLOOKUP(A486,Partidas!$A$2:$E$201,5,FALSE),""))</f>
        <v/>
      </c>
      <c r="L486" s="9">
        <f>IF(OR(I486="",G486=""),"",G486*I486)</f>
        <v/>
      </c>
      <c r="M486" s="9">
        <f>IF(OR(J486="",K486=""),"",J486*K486)</f>
        <v/>
      </c>
      <c r="N486" s="11">
        <f>IF(OR(I486="",K486="",K486=0),"",(I486-K486)/K486)</f>
        <v/>
      </c>
      <c r="O486" s="9">
        <f>IF(OR(G486="",J486=""),"",G486-J486)</f>
        <v/>
      </c>
    </row>
    <row r="487">
      <c r="H487" s="10" t="n"/>
      <c r="I487" s="9">
        <f>IF(H487="","",IF(E487="USD",H487*Parametros!$B$2,H487))</f>
        <v/>
      </c>
      <c r="J487" s="9">
        <f>IF(A487="","",IFERROR(VLOOKUP(A487,Partidas!$A$2:$E$201,4,FALSE),""))</f>
        <v/>
      </c>
      <c r="K487" s="9">
        <f>IF(A487="","",IFERROR(VLOOKUP(A487,Partidas!$A$2:$E$201,5,FALSE),""))</f>
        <v/>
      </c>
      <c r="L487" s="9">
        <f>IF(OR(I487="",G487=""),"",G487*I487)</f>
        <v/>
      </c>
      <c r="M487" s="9">
        <f>IF(OR(J487="",K487=""),"",J487*K487)</f>
        <v/>
      </c>
      <c r="N487" s="11">
        <f>IF(OR(I487="",K487="",K487=0),"",(I487-K487)/K487)</f>
        <v/>
      </c>
      <c r="O487" s="9">
        <f>IF(OR(G487="",J487=""),"",G487-J487)</f>
        <v/>
      </c>
    </row>
    <row r="488">
      <c r="H488" s="10" t="n"/>
      <c r="I488" s="9">
        <f>IF(H488="","",IF(E488="USD",H488*Parametros!$B$2,H488))</f>
        <v/>
      </c>
      <c r="J488" s="9">
        <f>IF(A488="","",IFERROR(VLOOKUP(A488,Partidas!$A$2:$E$201,4,FALSE),""))</f>
        <v/>
      </c>
      <c r="K488" s="9">
        <f>IF(A488="","",IFERROR(VLOOKUP(A488,Partidas!$A$2:$E$201,5,FALSE),""))</f>
        <v/>
      </c>
      <c r="L488" s="9">
        <f>IF(OR(I488="",G488=""),"",G488*I488)</f>
        <v/>
      </c>
      <c r="M488" s="9">
        <f>IF(OR(J488="",K488=""),"",J488*K488)</f>
        <v/>
      </c>
      <c r="N488" s="11">
        <f>IF(OR(I488="",K488="",K488=0),"",(I488-K488)/K488)</f>
        <v/>
      </c>
      <c r="O488" s="9">
        <f>IF(OR(G488="",J488=""),"",G488-J488)</f>
        <v/>
      </c>
    </row>
    <row r="489">
      <c r="H489" s="10" t="n"/>
      <c r="I489" s="9">
        <f>IF(H489="","",IF(E489="USD",H489*Parametros!$B$2,H489))</f>
        <v/>
      </c>
      <c r="J489" s="9">
        <f>IF(A489="","",IFERROR(VLOOKUP(A489,Partidas!$A$2:$E$201,4,FALSE),""))</f>
        <v/>
      </c>
      <c r="K489" s="9">
        <f>IF(A489="","",IFERROR(VLOOKUP(A489,Partidas!$A$2:$E$201,5,FALSE),""))</f>
        <v/>
      </c>
      <c r="L489" s="9">
        <f>IF(OR(I489="",G489=""),"",G489*I489)</f>
        <v/>
      </c>
      <c r="M489" s="9">
        <f>IF(OR(J489="",K489=""),"",J489*K489)</f>
        <v/>
      </c>
      <c r="N489" s="11">
        <f>IF(OR(I489="",K489="",K489=0),"",(I489-K489)/K489)</f>
        <v/>
      </c>
      <c r="O489" s="9">
        <f>IF(OR(G489="",J489=""),"",G489-J489)</f>
        <v/>
      </c>
    </row>
    <row r="490">
      <c r="H490" s="10" t="n"/>
      <c r="I490" s="9">
        <f>IF(H490="","",IF(E490="USD",H490*Parametros!$B$2,H490))</f>
        <v/>
      </c>
      <c r="J490" s="9">
        <f>IF(A490="","",IFERROR(VLOOKUP(A490,Partidas!$A$2:$E$201,4,FALSE),""))</f>
        <v/>
      </c>
      <c r="K490" s="9">
        <f>IF(A490="","",IFERROR(VLOOKUP(A490,Partidas!$A$2:$E$201,5,FALSE),""))</f>
        <v/>
      </c>
      <c r="L490" s="9">
        <f>IF(OR(I490="",G490=""),"",G490*I490)</f>
        <v/>
      </c>
      <c r="M490" s="9">
        <f>IF(OR(J490="",K490=""),"",J490*K490)</f>
        <v/>
      </c>
      <c r="N490" s="11">
        <f>IF(OR(I490="",K490="",K490=0),"",(I490-K490)/K490)</f>
        <v/>
      </c>
      <c r="O490" s="9">
        <f>IF(OR(G490="",J490=""),"",G490-J490)</f>
        <v/>
      </c>
    </row>
    <row r="491">
      <c r="H491" s="10" t="n"/>
      <c r="I491" s="9">
        <f>IF(H491="","",IF(E491="USD",H491*Parametros!$B$2,H491))</f>
        <v/>
      </c>
      <c r="J491" s="9">
        <f>IF(A491="","",IFERROR(VLOOKUP(A491,Partidas!$A$2:$E$201,4,FALSE),""))</f>
        <v/>
      </c>
      <c r="K491" s="9">
        <f>IF(A491="","",IFERROR(VLOOKUP(A491,Partidas!$A$2:$E$201,5,FALSE),""))</f>
        <v/>
      </c>
      <c r="L491" s="9">
        <f>IF(OR(I491="",G491=""),"",G491*I491)</f>
        <v/>
      </c>
      <c r="M491" s="9">
        <f>IF(OR(J491="",K491=""),"",J491*K491)</f>
        <v/>
      </c>
      <c r="N491" s="11">
        <f>IF(OR(I491="",K491="",K491=0),"",(I491-K491)/K491)</f>
        <v/>
      </c>
      <c r="O491" s="9">
        <f>IF(OR(G491="",J491=""),"",G491-J491)</f>
        <v/>
      </c>
    </row>
    <row r="492">
      <c r="H492" s="10" t="n"/>
      <c r="I492" s="9">
        <f>IF(H492="","",IF(E492="USD",H492*Parametros!$B$2,H492))</f>
        <v/>
      </c>
      <c r="J492" s="9">
        <f>IF(A492="","",IFERROR(VLOOKUP(A492,Partidas!$A$2:$E$201,4,FALSE),""))</f>
        <v/>
      </c>
      <c r="K492" s="9">
        <f>IF(A492="","",IFERROR(VLOOKUP(A492,Partidas!$A$2:$E$201,5,FALSE),""))</f>
        <v/>
      </c>
      <c r="L492" s="9">
        <f>IF(OR(I492="",G492=""),"",G492*I492)</f>
        <v/>
      </c>
      <c r="M492" s="9">
        <f>IF(OR(J492="",K492=""),"",J492*K492)</f>
        <v/>
      </c>
      <c r="N492" s="11">
        <f>IF(OR(I492="",K492="",K492=0),"",(I492-K492)/K492)</f>
        <v/>
      </c>
      <c r="O492" s="9">
        <f>IF(OR(G492="",J492=""),"",G492-J492)</f>
        <v/>
      </c>
    </row>
    <row r="493">
      <c r="H493" s="10" t="n"/>
      <c r="I493" s="9">
        <f>IF(H493="","",IF(E493="USD",H493*Parametros!$B$2,H493))</f>
        <v/>
      </c>
      <c r="J493" s="9">
        <f>IF(A493="","",IFERROR(VLOOKUP(A493,Partidas!$A$2:$E$201,4,FALSE),""))</f>
        <v/>
      </c>
      <c r="K493" s="9">
        <f>IF(A493="","",IFERROR(VLOOKUP(A493,Partidas!$A$2:$E$201,5,FALSE),""))</f>
        <v/>
      </c>
      <c r="L493" s="9">
        <f>IF(OR(I493="",G493=""),"",G493*I493)</f>
        <v/>
      </c>
      <c r="M493" s="9">
        <f>IF(OR(J493="",K493=""),"",J493*K493)</f>
        <v/>
      </c>
      <c r="N493" s="11">
        <f>IF(OR(I493="",K493="",K493=0),"",(I493-K493)/K493)</f>
        <v/>
      </c>
      <c r="O493" s="9">
        <f>IF(OR(G493="",J493=""),"",G493-J493)</f>
        <v/>
      </c>
    </row>
    <row r="494">
      <c r="H494" s="10" t="n"/>
      <c r="I494" s="9">
        <f>IF(H494="","",IF(E494="USD",H494*Parametros!$B$2,H494))</f>
        <v/>
      </c>
      <c r="J494" s="9">
        <f>IF(A494="","",IFERROR(VLOOKUP(A494,Partidas!$A$2:$E$201,4,FALSE),""))</f>
        <v/>
      </c>
      <c r="K494" s="9">
        <f>IF(A494="","",IFERROR(VLOOKUP(A494,Partidas!$A$2:$E$201,5,FALSE),""))</f>
        <v/>
      </c>
      <c r="L494" s="9">
        <f>IF(OR(I494="",G494=""),"",G494*I494)</f>
        <v/>
      </c>
      <c r="M494" s="9">
        <f>IF(OR(J494="",K494=""),"",J494*K494)</f>
        <v/>
      </c>
      <c r="N494" s="11">
        <f>IF(OR(I494="",K494="",K494=0),"",(I494-K494)/K494)</f>
        <v/>
      </c>
      <c r="O494" s="9">
        <f>IF(OR(G494="",J494=""),"",G494-J494)</f>
        <v/>
      </c>
    </row>
    <row r="495">
      <c r="H495" s="10" t="n"/>
      <c r="I495" s="9">
        <f>IF(H495="","",IF(E495="USD",H495*Parametros!$B$2,H495))</f>
        <v/>
      </c>
      <c r="J495" s="9">
        <f>IF(A495="","",IFERROR(VLOOKUP(A495,Partidas!$A$2:$E$201,4,FALSE),""))</f>
        <v/>
      </c>
      <c r="K495" s="9">
        <f>IF(A495="","",IFERROR(VLOOKUP(A495,Partidas!$A$2:$E$201,5,FALSE),""))</f>
        <v/>
      </c>
      <c r="L495" s="9">
        <f>IF(OR(I495="",G495=""),"",G495*I495)</f>
        <v/>
      </c>
      <c r="M495" s="9">
        <f>IF(OR(J495="",K495=""),"",J495*K495)</f>
        <v/>
      </c>
      <c r="N495" s="11">
        <f>IF(OR(I495="",K495="",K495=0),"",(I495-K495)/K495)</f>
        <v/>
      </c>
      <c r="O495" s="9">
        <f>IF(OR(G495="",J495=""),"",G495-J495)</f>
        <v/>
      </c>
    </row>
    <row r="496">
      <c r="H496" s="10" t="n"/>
      <c r="I496" s="9">
        <f>IF(H496="","",IF(E496="USD",H496*Parametros!$B$2,H496))</f>
        <v/>
      </c>
      <c r="J496" s="9">
        <f>IF(A496="","",IFERROR(VLOOKUP(A496,Partidas!$A$2:$E$201,4,FALSE),""))</f>
        <v/>
      </c>
      <c r="K496" s="9">
        <f>IF(A496="","",IFERROR(VLOOKUP(A496,Partidas!$A$2:$E$201,5,FALSE),""))</f>
        <v/>
      </c>
      <c r="L496" s="9">
        <f>IF(OR(I496="",G496=""),"",G496*I496)</f>
        <v/>
      </c>
      <c r="M496" s="9">
        <f>IF(OR(J496="",K496=""),"",J496*K496)</f>
        <v/>
      </c>
      <c r="N496" s="11">
        <f>IF(OR(I496="",K496="",K496=0),"",(I496-K496)/K496)</f>
        <v/>
      </c>
      <c r="O496" s="9">
        <f>IF(OR(G496="",J496=""),"",G496-J496)</f>
        <v/>
      </c>
    </row>
    <row r="497">
      <c r="H497" s="10" t="n"/>
      <c r="I497" s="9">
        <f>IF(H497="","",IF(E497="USD",H497*Parametros!$B$2,H497))</f>
        <v/>
      </c>
      <c r="J497" s="9">
        <f>IF(A497="","",IFERROR(VLOOKUP(A497,Partidas!$A$2:$E$201,4,FALSE),""))</f>
        <v/>
      </c>
      <c r="K497" s="9">
        <f>IF(A497="","",IFERROR(VLOOKUP(A497,Partidas!$A$2:$E$201,5,FALSE),""))</f>
        <v/>
      </c>
      <c r="L497" s="9">
        <f>IF(OR(I497="",G497=""),"",G497*I497)</f>
        <v/>
      </c>
      <c r="M497" s="9">
        <f>IF(OR(J497="",K497=""),"",J497*K497)</f>
        <v/>
      </c>
      <c r="N497" s="11">
        <f>IF(OR(I497="",K497="",K497=0),"",(I497-K497)/K497)</f>
        <v/>
      </c>
      <c r="O497" s="9">
        <f>IF(OR(G497="",J497=""),"",G497-J497)</f>
        <v/>
      </c>
    </row>
    <row r="498">
      <c r="H498" s="10" t="n"/>
      <c r="I498" s="9">
        <f>IF(H498="","",IF(E498="USD",H498*Parametros!$B$2,H498))</f>
        <v/>
      </c>
      <c r="J498" s="9">
        <f>IF(A498="","",IFERROR(VLOOKUP(A498,Partidas!$A$2:$E$201,4,FALSE),""))</f>
        <v/>
      </c>
      <c r="K498" s="9">
        <f>IF(A498="","",IFERROR(VLOOKUP(A498,Partidas!$A$2:$E$201,5,FALSE),""))</f>
        <v/>
      </c>
      <c r="L498" s="9">
        <f>IF(OR(I498="",G498=""),"",G498*I498)</f>
        <v/>
      </c>
      <c r="M498" s="9">
        <f>IF(OR(J498="",K498=""),"",J498*K498)</f>
        <v/>
      </c>
      <c r="N498" s="11">
        <f>IF(OR(I498="",K498="",K498=0),"",(I498-K498)/K498)</f>
        <v/>
      </c>
      <c r="O498" s="9">
        <f>IF(OR(G498="",J498=""),"",G498-J498)</f>
        <v/>
      </c>
    </row>
    <row r="499">
      <c r="H499" s="10" t="n"/>
      <c r="I499" s="9">
        <f>IF(H499="","",IF(E499="USD",H499*Parametros!$B$2,H499))</f>
        <v/>
      </c>
      <c r="J499" s="9">
        <f>IF(A499="","",IFERROR(VLOOKUP(A499,Partidas!$A$2:$E$201,4,FALSE),""))</f>
        <v/>
      </c>
      <c r="K499" s="9">
        <f>IF(A499="","",IFERROR(VLOOKUP(A499,Partidas!$A$2:$E$201,5,FALSE),""))</f>
        <v/>
      </c>
      <c r="L499" s="9">
        <f>IF(OR(I499="",G499=""),"",G499*I499)</f>
        <v/>
      </c>
      <c r="M499" s="9">
        <f>IF(OR(J499="",K499=""),"",J499*K499)</f>
        <v/>
      </c>
      <c r="N499" s="11">
        <f>IF(OR(I499="",K499="",K499=0),"",(I499-K499)/K499)</f>
        <v/>
      </c>
      <c r="O499" s="9">
        <f>IF(OR(G499="",J499=""),"",G499-J499)</f>
        <v/>
      </c>
    </row>
    <row r="500">
      <c r="H500" s="10" t="n"/>
      <c r="I500" s="9">
        <f>IF(H500="","",IF(E500="USD",H500*Parametros!$B$2,H500))</f>
        <v/>
      </c>
      <c r="J500" s="9">
        <f>IF(A500="","",IFERROR(VLOOKUP(A500,Partidas!$A$2:$E$201,4,FALSE),""))</f>
        <v/>
      </c>
      <c r="K500" s="9">
        <f>IF(A500="","",IFERROR(VLOOKUP(A500,Partidas!$A$2:$E$201,5,FALSE),""))</f>
        <v/>
      </c>
      <c r="L500" s="9">
        <f>IF(OR(I500="",G500=""),"",G500*I500)</f>
        <v/>
      </c>
      <c r="M500" s="9">
        <f>IF(OR(J500="",K500=""),"",J500*K500)</f>
        <v/>
      </c>
      <c r="N500" s="11">
        <f>IF(OR(I500="",K500="",K500=0),"",(I500-K500)/K500)</f>
        <v/>
      </c>
      <c r="O500" s="9">
        <f>IF(OR(G500="",J500=""),"",G500-J500)</f>
        <v/>
      </c>
    </row>
    <row r="501">
      <c r="H501" s="10" t="n"/>
      <c r="I501" s="9">
        <f>IF(H501="","",IF(E501="USD",H501*Parametros!$B$2,H501))</f>
        <v/>
      </c>
      <c r="J501" s="9">
        <f>IF(A501="","",IFERROR(VLOOKUP(A501,Partidas!$A$2:$E$201,4,FALSE),""))</f>
        <v/>
      </c>
      <c r="K501" s="9">
        <f>IF(A501="","",IFERROR(VLOOKUP(A501,Partidas!$A$2:$E$201,5,FALSE),""))</f>
        <v/>
      </c>
      <c r="L501" s="9">
        <f>IF(OR(I501="",G501=""),"",G501*I501)</f>
        <v/>
      </c>
      <c r="M501" s="9">
        <f>IF(OR(J501="",K501=""),"",J501*K501)</f>
        <v/>
      </c>
      <c r="N501" s="11">
        <f>IF(OR(I501="",K501="",K501=0),"",(I501-K501)/K501)</f>
        <v/>
      </c>
      <c r="O501" s="9">
        <f>IF(OR(G501="",J501=""),"",G501-J501)</f>
        <v/>
      </c>
    </row>
  </sheetData>
  <autoFilter ref="A1:V501"/>
  <dataValidations count="3">
    <dataValidation sqref="E2:E501" showDropDown="0" showInputMessage="0" showErrorMessage="0" allowBlank="1" type="list">
      <formula1>=Listas!$A$1:$A$2</formula1>
    </dataValidation>
    <dataValidation sqref="D2:D501 P2:Q501" showDropDown="0" showInputMessage="0" showErrorMessage="0" allowBlank="1" type="list">
      <formula1>=Listas!$B$1:$B$3</formula1>
    </dataValidation>
    <dataValidation sqref="U2:U501" showDropDown="0" showInputMessage="0" showErrorMessage="0" allowBlank="1" type="list">
      <formula1>=Listas!$C$1:$C$3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inlineStr">
        <is>
          <t>Sí</t>
        </is>
      </c>
      <c r="C1" t="inlineStr">
        <is>
          <t>Pendiente</t>
        </is>
      </c>
    </row>
    <row r="2">
      <c r="A2" t="inlineStr">
        <is>
          <t>USD</t>
        </is>
      </c>
      <c r="B2" t="inlineStr">
        <is>
          <t>No</t>
        </is>
      </c>
      <c r="C2" t="inlineStr">
        <is>
          <t>Aprobado</t>
        </is>
      </c>
    </row>
    <row r="3">
      <c r="B3" t="inlineStr">
        <is>
          <t>Pendiente</t>
        </is>
      </c>
      <c r="C3" t="inlineStr">
        <is>
          <t>Rechazado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2" customWidth="1" min="3" max="3"/>
    <col width="22" customWidth="1" min="4" max="4"/>
    <col width="22" customWidth="1" min="5" max="5"/>
    <col width="24" customWidth="1" min="6" max="6"/>
    <col width="24" customWidth="1" min="7" max="7"/>
  </cols>
  <sheetData>
    <row r="1" ht="48" customHeight="1">
      <c r="A1" s="3" t="inlineStr">
        <is>
          <t>Proveedor</t>
        </is>
      </c>
      <c r="B1" s="3" t="inlineStr">
        <is>
          <t>Partidas cotizadas</t>
        </is>
      </c>
      <c r="C1" s="3" t="inlineStr">
        <is>
          <t>Total ofertado S/ (sin IGV)</t>
        </is>
      </c>
      <c r="D1" s="3" t="inlineStr">
        <is>
          <t>Presupuesto referencial S/</t>
        </is>
      </c>
      <c r="E1" s="3" t="inlineStr">
        <is>
          <t>Diferencia vs referencia S/</t>
        </is>
      </c>
      <c r="F1" s="3" t="inlineStr">
        <is>
          <t>Partidas pendientes de revisión</t>
        </is>
      </c>
      <c r="G1" s="3" t="inlineStr">
        <is>
          <t>Partidas con alcance dudoso</t>
        </is>
      </c>
    </row>
    <row r="2">
      <c r="A2" s="7" t="n"/>
      <c r="B2">
        <f>IF(A2="","",COUNTIFS(Homologacion!$C$2:$C$501,A2))</f>
        <v/>
      </c>
      <c r="C2" s="10">
        <f>IF(A2="","",SUMIFS(Homologacion!$L$2:$L$501,Homologacion!$C$2:$C$501,A2))</f>
        <v/>
      </c>
      <c r="D2" s="10">
        <f>IF(A2="","",SUMIFS(Homologacion!$M$2:$M$501,Homologacion!$C$2:$C$501,A2))</f>
        <v/>
      </c>
      <c r="E2" s="10">
        <f>IF(A2="","",C2-D2)</f>
        <v/>
      </c>
      <c r="F2">
        <f>IF(A2="","",COUNTIFS(Homologacion!$C$2:$C$501,A2,Homologacion!$U$2:$U$501,"Pendiente"))</f>
        <v/>
      </c>
      <c r="G2">
        <f>IF(A2="","",COUNTIFS(Homologacion!$C$2:$C$501,A2,Homologacion!$Q$2:$Q$501,"Pendiente"))</f>
        <v/>
      </c>
    </row>
    <row r="3">
      <c r="A3" s="7" t="n"/>
      <c r="B3">
        <f>IF(A3="","",COUNTIFS(Homologacion!$C$2:$C$501,A3))</f>
        <v/>
      </c>
      <c r="C3" s="10">
        <f>IF(A3="","",SUMIFS(Homologacion!$L$2:$L$501,Homologacion!$C$2:$C$501,A3))</f>
        <v/>
      </c>
      <c r="D3" s="10">
        <f>IF(A3="","",SUMIFS(Homologacion!$M$2:$M$501,Homologacion!$C$2:$C$501,A3))</f>
        <v/>
      </c>
      <c r="E3" s="10">
        <f>IF(A3="","",C3-D3)</f>
        <v/>
      </c>
      <c r="F3">
        <f>IF(A3="","",COUNTIFS(Homologacion!$C$2:$C$501,A3,Homologacion!$U$2:$U$501,"Pendiente"))</f>
        <v/>
      </c>
      <c r="G3">
        <f>IF(A3="","",COUNTIFS(Homologacion!$C$2:$C$501,A3,Homologacion!$Q$2:$Q$501,"Pendiente"))</f>
        <v/>
      </c>
    </row>
    <row r="4">
      <c r="A4" s="7" t="n"/>
      <c r="B4">
        <f>IF(A4="","",COUNTIFS(Homologacion!$C$2:$C$501,A4))</f>
        <v/>
      </c>
      <c r="C4" s="10">
        <f>IF(A4="","",SUMIFS(Homologacion!$L$2:$L$501,Homologacion!$C$2:$C$501,A4))</f>
        <v/>
      </c>
      <c r="D4" s="10">
        <f>IF(A4="","",SUMIFS(Homologacion!$M$2:$M$501,Homologacion!$C$2:$C$501,A4))</f>
        <v/>
      </c>
      <c r="E4" s="10">
        <f>IF(A4="","",C4-D4)</f>
        <v/>
      </c>
      <c r="F4">
        <f>IF(A4="","",COUNTIFS(Homologacion!$C$2:$C$501,A4,Homologacion!$U$2:$U$501,"Pendiente"))</f>
        <v/>
      </c>
      <c r="G4">
        <f>IF(A4="","",COUNTIFS(Homologacion!$C$2:$C$501,A4,Homologacion!$Q$2:$Q$501,"Pendiente"))</f>
        <v/>
      </c>
    </row>
    <row r="5">
      <c r="A5" s="7" t="n"/>
      <c r="B5">
        <f>IF(A5="","",COUNTIFS(Homologacion!$C$2:$C$501,A5))</f>
        <v/>
      </c>
      <c r="C5" s="10">
        <f>IF(A5="","",SUMIFS(Homologacion!$L$2:$L$501,Homologacion!$C$2:$C$501,A5))</f>
        <v/>
      </c>
      <c r="D5" s="10">
        <f>IF(A5="","",SUMIFS(Homologacion!$M$2:$M$501,Homologacion!$C$2:$C$501,A5))</f>
        <v/>
      </c>
      <c r="E5" s="10">
        <f>IF(A5="","",C5-D5)</f>
        <v/>
      </c>
      <c r="F5">
        <f>IF(A5="","",COUNTIFS(Homologacion!$C$2:$C$501,A5,Homologacion!$U$2:$U$501,"Pendiente"))</f>
        <v/>
      </c>
      <c r="G5">
        <f>IF(A5="","",COUNTIFS(Homologacion!$C$2:$C$501,A5,Homologacion!$Q$2:$Q$501,"Pendiente"))</f>
        <v/>
      </c>
    </row>
    <row r="6">
      <c r="A6" s="7" t="n"/>
      <c r="B6">
        <f>IF(A6="","",COUNTIFS(Homologacion!$C$2:$C$501,A6))</f>
        <v/>
      </c>
      <c r="C6" s="10">
        <f>IF(A6="","",SUMIFS(Homologacion!$L$2:$L$501,Homologacion!$C$2:$C$501,A6))</f>
        <v/>
      </c>
      <c r="D6" s="10">
        <f>IF(A6="","",SUMIFS(Homologacion!$M$2:$M$501,Homologacion!$C$2:$C$501,A6))</f>
        <v/>
      </c>
      <c r="E6" s="10">
        <f>IF(A6="","",C6-D6)</f>
        <v/>
      </c>
      <c r="F6">
        <f>IF(A6="","",COUNTIFS(Homologacion!$C$2:$C$501,A6,Homologacion!$U$2:$U$501,"Pendiente"))</f>
        <v/>
      </c>
      <c r="G6">
        <f>IF(A6="","",COUNTIFS(Homologacion!$C$2:$C$501,A6,Homologacion!$Q$2:$Q$501,"Pendiente"))</f>
        <v/>
      </c>
    </row>
    <row r="7">
      <c r="A7" s="7" t="n"/>
      <c r="B7">
        <f>IF(A7="","",COUNTIFS(Homologacion!$C$2:$C$501,A7))</f>
        <v/>
      </c>
      <c r="C7" s="10">
        <f>IF(A7="","",SUMIFS(Homologacion!$L$2:$L$501,Homologacion!$C$2:$C$501,A7))</f>
        <v/>
      </c>
      <c r="D7" s="10">
        <f>IF(A7="","",SUMIFS(Homologacion!$M$2:$M$501,Homologacion!$C$2:$C$501,A7))</f>
        <v/>
      </c>
      <c r="E7" s="10">
        <f>IF(A7="","",C7-D7)</f>
        <v/>
      </c>
      <c r="F7">
        <f>IF(A7="","",COUNTIFS(Homologacion!$C$2:$C$501,A7,Homologacion!$U$2:$U$501,"Pendiente"))</f>
        <v/>
      </c>
      <c r="G7">
        <f>IF(A7="","",COUNTIFS(Homologacion!$C$2:$C$501,A7,Homologacion!$Q$2:$Q$501,"Pendiente"))</f>
        <v/>
      </c>
    </row>
    <row r="8">
      <c r="A8" s="7" t="n"/>
      <c r="B8">
        <f>IF(A8="","",COUNTIFS(Homologacion!$C$2:$C$501,A8))</f>
        <v/>
      </c>
      <c r="C8" s="10">
        <f>IF(A8="","",SUMIFS(Homologacion!$L$2:$L$501,Homologacion!$C$2:$C$501,A8))</f>
        <v/>
      </c>
      <c r="D8" s="10">
        <f>IF(A8="","",SUMIFS(Homologacion!$M$2:$M$501,Homologacion!$C$2:$C$501,A8))</f>
        <v/>
      </c>
      <c r="E8" s="10">
        <f>IF(A8="","",C8-D8)</f>
        <v/>
      </c>
      <c r="F8">
        <f>IF(A8="","",COUNTIFS(Homologacion!$C$2:$C$501,A8,Homologacion!$U$2:$U$501,"Pendiente"))</f>
        <v/>
      </c>
      <c r="G8">
        <f>IF(A8="","",COUNTIFS(Homologacion!$C$2:$C$501,A8,Homologacion!$Q$2:$Q$501,"Pendiente"))</f>
        <v/>
      </c>
    </row>
    <row r="9">
      <c r="A9" s="7" t="n"/>
      <c r="B9">
        <f>IF(A9="","",COUNTIFS(Homologacion!$C$2:$C$501,A9))</f>
        <v/>
      </c>
      <c r="C9" s="10">
        <f>IF(A9="","",SUMIFS(Homologacion!$L$2:$L$501,Homologacion!$C$2:$C$501,A9))</f>
        <v/>
      </c>
      <c r="D9" s="10">
        <f>IF(A9="","",SUMIFS(Homologacion!$M$2:$M$501,Homologacion!$C$2:$C$501,A9))</f>
        <v/>
      </c>
      <c r="E9" s="10">
        <f>IF(A9="","",C9-D9)</f>
        <v/>
      </c>
      <c r="F9">
        <f>IF(A9="","",COUNTIFS(Homologacion!$C$2:$C$501,A9,Homologacion!$U$2:$U$501,"Pendiente"))</f>
        <v/>
      </c>
      <c r="G9">
        <f>IF(A9="","",COUNTIFS(Homologacion!$C$2:$C$501,A9,Homologacion!$Q$2:$Q$501,"Pendiente"))</f>
        <v/>
      </c>
    </row>
    <row r="10">
      <c r="A10" s="7" t="n"/>
      <c r="B10">
        <f>IF(A10="","",COUNTIFS(Homologacion!$C$2:$C$501,A10))</f>
        <v/>
      </c>
      <c r="C10" s="10">
        <f>IF(A10="","",SUMIFS(Homologacion!$L$2:$L$501,Homologacion!$C$2:$C$501,A10))</f>
        <v/>
      </c>
      <c r="D10" s="10">
        <f>IF(A10="","",SUMIFS(Homologacion!$M$2:$M$501,Homologacion!$C$2:$C$501,A10))</f>
        <v/>
      </c>
      <c r="E10" s="10">
        <f>IF(A10="","",C10-D10)</f>
        <v/>
      </c>
      <c r="F10">
        <f>IF(A10="","",COUNTIFS(Homologacion!$C$2:$C$501,A10,Homologacion!$U$2:$U$501,"Pendiente"))</f>
        <v/>
      </c>
      <c r="G10">
        <f>IF(A10="","",COUNTIFS(Homologacion!$C$2:$C$501,A10,Homologacion!$Q$2:$Q$501,"Pendiente"))</f>
        <v/>
      </c>
    </row>
    <row r="11">
      <c r="A11" s="7" t="n"/>
      <c r="B11">
        <f>IF(A11="","",COUNTIFS(Homologacion!$C$2:$C$501,A11))</f>
        <v/>
      </c>
      <c r="C11" s="10">
        <f>IF(A11="","",SUMIFS(Homologacion!$L$2:$L$501,Homologacion!$C$2:$C$501,A11))</f>
        <v/>
      </c>
      <c r="D11" s="10">
        <f>IF(A11="","",SUMIFS(Homologacion!$M$2:$M$501,Homologacion!$C$2:$C$501,A11))</f>
        <v/>
      </c>
      <c r="E11" s="10">
        <f>IF(A11="","",C11-D11)</f>
        <v/>
      </c>
      <c r="F11">
        <f>IF(A11="","",COUNTIFS(Homologacion!$C$2:$C$501,A11,Homologacion!$U$2:$U$501,"Pendiente"))</f>
        <v/>
      </c>
      <c r="G11">
        <f>IF(A11="","",COUNTIFS(Homologacion!$C$2:$C$501,A11,Homologacion!$Q$2:$Q$501,"Pendiente"))</f>
        <v/>
      </c>
    </row>
    <row r="12">
      <c r="A12" s="7" t="n"/>
      <c r="B12">
        <f>IF(A12="","",COUNTIFS(Homologacion!$C$2:$C$501,A12))</f>
        <v/>
      </c>
      <c r="C12" s="10">
        <f>IF(A12="","",SUMIFS(Homologacion!$L$2:$L$501,Homologacion!$C$2:$C$501,A12))</f>
        <v/>
      </c>
      <c r="D12" s="10">
        <f>IF(A12="","",SUMIFS(Homologacion!$M$2:$M$501,Homologacion!$C$2:$C$501,A12))</f>
        <v/>
      </c>
      <c r="E12" s="10">
        <f>IF(A12="","",C12-D12)</f>
        <v/>
      </c>
      <c r="F12">
        <f>IF(A12="","",COUNTIFS(Homologacion!$C$2:$C$501,A12,Homologacion!$U$2:$U$501,"Pendiente"))</f>
        <v/>
      </c>
      <c r="G12">
        <f>IF(A12="","",COUNTIFS(Homologacion!$C$2:$C$501,A12,Homologacion!$Q$2:$Q$501,"Pendiente"))</f>
        <v/>
      </c>
    </row>
    <row r="13">
      <c r="A13" s="7" t="n"/>
      <c r="B13">
        <f>IF(A13="","",COUNTIFS(Homologacion!$C$2:$C$501,A13))</f>
        <v/>
      </c>
      <c r="C13" s="10">
        <f>IF(A13="","",SUMIFS(Homologacion!$L$2:$L$501,Homologacion!$C$2:$C$501,A13))</f>
        <v/>
      </c>
      <c r="D13" s="10">
        <f>IF(A13="","",SUMIFS(Homologacion!$M$2:$M$501,Homologacion!$C$2:$C$501,A13))</f>
        <v/>
      </c>
      <c r="E13" s="10">
        <f>IF(A13="","",C13-D13)</f>
        <v/>
      </c>
      <c r="F13">
        <f>IF(A13="","",COUNTIFS(Homologacion!$C$2:$C$501,A13,Homologacion!$U$2:$U$501,"Pendiente"))</f>
        <v/>
      </c>
      <c r="G13">
        <f>IF(A13="","",COUNTIFS(Homologacion!$C$2:$C$501,A13,Homologacion!$Q$2:$Q$501,"Pendiente"))</f>
        <v/>
      </c>
    </row>
    <row r="14">
      <c r="A14" s="7" t="n"/>
      <c r="B14">
        <f>IF(A14="","",COUNTIFS(Homologacion!$C$2:$C$501,A14))</f>
        <v/>
      </c>
      <c r="C14" s="10">
        <f>IF(A14="","",SUMIFS(Homologacion!$L$2:$L$501,Homologacion!$C$2:$C$501,A14))</f>
        <v/>
      </c>
      <c r="D14" s="10">
        <f>IF(A14="","",SUMIFS(Homologacion!$M$2:$M$501,Homologacion!$C$2:$C$501,A14))</f>
        <v/>
      </c>
      <c r="E14" s="10">
        <f>IF(A14="","",C14-D14)</f>
        <v/>
      </c>
      <c r="F14">
        <f>IF(A14="","",COUNTIFS(Homologacion!$C$2:$C$501,A14,Homologacion!$U$2:$U$501,"Pendiente"))</f>
        <v/>
      </c>
      <c r="G14">
        <f>IF(A14="","",COUNTIFS(Homologacion!$C$2:$C$501,A14,Homologacion!$Q$2:$Q$501,"Pendiente"))</f>
        <v/>
      </c>
    </row>
    <row r="15">
      <c r="A15" s="7" t="n"/>
      <c r="B15">
        <f>IF(A15="","",COUNTIFS(Homologacion!$C$2:$C$501,A15))</f>
        <v/>
      </c>
      <c r="C15" s="10">
        <f>IF(A15="","",SUMIFS(Homologacion!$L$2:$L$501,Homologacion!$C$2:$C$501,A15))</f>
        <v/>
      </c>
      <c r="D15" s="10">
        <f>IF(A15="","",SUMIFS(Homologacion!$M$2:$M$501,Homologacion!$C$2:$C$501,A15))</f>
        <v/>
      </c>
      <c r="E15" s="10">
        <f>IF(A15="","",C15-D15)</f>
        <v/>
      </c>
      <c r="F15">
        <f>IF(A15="","",COUNTIFS(Homologacion!$C$2:$C$501,A15,Homologacion!$U$2:$U$501,"Pendiente"))</f>
        <v/>
      </c>
      <c r="G15">
        <f>IF(A15="","",COUNTIFS(Homologacion!$C$2:$C$501,A15,Homologacion!$Q$2:$Q$501,"Pendiente"))</f>
        <v/>
      </c>
    </row>
    <row r="16">
      <c r="A16" s="7" t="n"/>
      <c r="B16">
        <f>IF(A16="","",COUNTIFS(Homologacion!$C$2:$C$501,A16))</f>
        <v/>
      </c>
      <c r="C16" s="10">
        <f>IF(A16="","",SUMIFS(Homologacion!$L$2:$L$501,Homologacion!$C$2:$C$501,A16))</f>
        <v/>
      </c>
      <c r="D16" s="10">
        <f>IF(A16="","",SUMIFS(Homologacion!$M$2:$M$501,Homologacion!$C$2:$C$501,A16))</f>
        <v/>
      </c>
      <c r="E16" s="10">
        <f>IF(A16="","",C16-D16)</f>
        <v/>
      </c>
      <c r="F16">
        <f>IF(A16="","",COUNTIFS(Homologacion!$C$2:$C$501,A16,Homologacion!$U$2:$U$501,"Pendiente"))</f>
        <v/>
      </c>
      <c r="G16">
        <f>IF(A16="","",COUNTIFS(Homologacion!$C$2:$C$501,A16,Homologacion!$Q$2:$Q$501,"Pendiente"))</f>
        <v/>
      </c>
    </row>
    <row r="17">
      <c r="A17" s="7" t="n"/>
      <c r="B17">
        <f>IF(A17="","",COUNTIFS(Homologacion!$C$2:$C$501,A17))</f>
        <v/>
      </c>
      <c r="C17" s="10">
        <f>IF(A17="","",SUMIFS(Homologacion!$L$2:$L$501,Homologacion!$C$2:$C$501,A17))</f>
        <v/>
      </c>
      <c r="D17" s="10">
        <f>IF(A17="","",SUMIFS(Homologacion!$M$2:$M$501,Homologacion!$C$2:$C$501,A17))</f>
        <v/>
      </c>
      <c r="E17" s="10">
        <f>IF(A17="","",C17-D17)</f>
        <v/>
      </c>
      <c r="F17">
        <f>IF(A17="","",COUNTIFS(Homologacion!$C$2:$C$501,A17,Homologacion!$U$2:$U$501,"Pendiente"))</f>
        <v/>
      </c>
      <c r="G17">
        <f>IF(A17="","",COUNTIFS(Homologacion!$C$2:$C$501,A17,Homologacion!$Q$2:$Q$501,"Pendiente"))</f>
        <v/>
      </c>
    </row>
    <row r="18">
      <c r="A18" s="7" t="n"/>
      <c r="B18">
        <f>IF(A18="","",COUNTIFS(Homologacion!$C$2:$C$501,A18))</f>
        <v/>
      </c>
      <c r="C18" s="10">
        <f>IF(A18="","",SUMIFS(Homologacion!$L$2:$L$501,Homologacion!$C$2:$C$501,A18))</f>
        <v/>
      </c>
      <c r="D18" s="10">
        <f>IF(A18="","",SUMIFS(Homologacion!$M$2:$M$501,Homologacion!$C$2:$C$501,A18))</f>
        <v/>
      </c>
      <c r="E18" s="10">
        <f>IF(A18="","",C18-D18)</f>
        <v/>
      </c>
      <c r="F18">
        <f>IF(A18="","",COUNTIFS(Homologacion!$C$2:$C$501,A18,Homologacion!$U$2:$U$501,"Pendiente"))</f>
        <v/>
      </c>
      <c r="G18">
        <f>IF(A18="","",COUNTIFS(Homologacion!$C$2:$C$501,A18,Homologacion!$Q$2:$Q$501,"Pendiente"))</f>
        <v/>
      </c>
    </row>
    <row r="19">
      <c r="A19" s="7" t="n"/>
      <c r="B19">
        <f>IF(A19="","",COUNTIFS(Homologacion!$C$2:$C$501,A19))</f>
        <v/>
      </c>
      <c r="C19" s="10">
        <f>IF(A19="","",SUMIFS(Homologacion!$L$2:$L$501,Homologacion!$C$2:$C$501,A19))</f>
        <v/>
      </c>
      <c r="D19" s="10">
        <f>IF(A19="","",SUMIFS(Homologacion!$M$2:$M$501,Homologacion!$C$2:$C$501,A19))</f>
        <v/>
      </c>
      <c r="E19" s="10">
        <f>IF(A19="","",C19-D19)</f>
        <v/>
      </c>
      <c r="F19">
        <f>IF(A19="","",COUNTIFS(Homologacion!$C$2:$C$501,A19,Homologacion!$U$2:$U$501,"Pendiente"))</f>
        <v/>
      </c>
      <c r="G19">
        <f>IF(A19="","",COUNTIFS(Homologacion!$C$2:$C$501,A19,Homologacion!$Q$2:$Q$501,"Pendiente"))</f>
        <v/>
      </c>
    </row>
    <row r="20">
      <c r="A20" s="7" t="n"/>
      <c r="B20">
        <f>IF(A20="","",COUNTIFS(Homologacion!$C$2:$C$501,A20))</f>
        <v/>
      </c>
      <c r="C20" s="10">
        <f>IF(A20="","",SUMIFS(Homologacion!$L$2:$L$501,Homologacion!$C$2:$C$501,A20))</f>
        <v/>
      </c>
      <c r="D20" s="10">
        <f>IF(A20="","",SUMIFS(Homologacion!$M$2:$M$501,Homologacion!$C$2:$C$501,A20))</f>
        <v/>
      </c>
      <c r="E20" s="10">
        <f>IF(A20="","",C20-D20)</f>
        <v/>
      </c>
      <c r="F20">
        <f>IF(A20="","",COUNTIFS(Homologacion!$C$2:$C$501,A20,Homologacion!$U$2:$U$501,"Pendiente"))</f>
        <v/>
      </c>
      <c r="G20">
        <f>IF(A20="","",COUNTIFS(Homologacion!$C$2:$C$501,A20,Homologacion!$Q$2:$Q$501,"Pendiente"))</f>
        <v/>
      </c>
    </row>
    <row r="21">
      <c r="A21" s="7" t="n"/>
      <c r="B21">
        <f>IF(A21="","",COUNTIFS(Homologacion!$C$2:$C$501,A21))</f>
        <v/>
      </c>
      <c r="C21" s="10">
        <f>IF(A21="","",SUMIFS(Homologacion!$L$2:$L$501,Homologacion!$C$2:$C$501,A21))</f>
        <v/>
      </c>
      <c r="D21" s="10">
        <f>IF(A21="","",SUMIFS(Homologacion!$M$2:$M$501,Homologacion!$C$2:$C$501,A21))</f>
        <v/>
      </c>
      <c r="E21" s="10">
        <f>IF(A21="","",C21-D21)</f>
        <v/>
      </c>
      <c r="F21">
        <f>IF(A21="","",COUNTIFS(Homologacion!$C$2:$C$501,A21,Homologacion!$U$2:$U$501,"Pendiente"))</f>
        <v/>
      </c>
      <c r="G21">
        <f>IF(A21="","",COUNTIFS(Homologacion!$C$2:$C$501,A21,Homologacion!$Q$2:$Q$501,"Pendiente"))</f>
        <v/>
      </c>
    </row>
    <row r="22">
      <c r="A22" s="7" t="n"/>
      <c r="B22">
        <f>IF(A22="","",COUNTIFS(Homologacion!$C$2:$C$501,A22))</f>
        <v/>
      </c>
      <c r="C22" s="10">
        <f>IF(A22="","",SUMIFS(Homologacion!$L$2:$L$501,Homologacion!$C$2:$C$501,A22))</f>
        <v/>
      </c>
      <c r="D22" s="10">
        <f>IF(A22="","",SUMIFS(Homologacion!$M$2:$M$501,Homologacion!$C$2:$C$501,A22))</f>
        <v/>
      </c>
      <c r="E22" s="10">
        <f>IF(A22="","",C22-D22)</f>
        <v/>
      </c>
      <c r="F22">
        <f>IF(A22="","",COUNTIFS(Homologacion!$C$2:$C$501,A22,Homologacion!$U$2:$U$501,"Pendiente"))</f>
        <v/>
      </c>
      <c r="G22">
        <f>IF(A22="","",COUNTIFS(Homologacion!$C$2:$C$501,A22,Homologacion!$Q$2:$Q$501,"Pendiente"))</f>
        <v/>
      </c>
    </row>
    <row r="23">
      <c r="A23" s="7" t="n"/>
      <c r="B23">
        <f>IF(A23="","",COUNTIFS(Homologacion!$C$2:$C$501,A23))</f>
        <v/>
      </c>
      <c r="C23" s="10">
        <f>IF(A23="","",SUMIFS(Homologacion!$L$2:$L$501,Homologacion!$C$2:$C$501,A23))</f>
        <v/>
      </c>
      <c r="D23" s="10">
        <f>IF(A23="","",SUMIFS(Homologacion!$M$2:$M$501,Homologacion!$C$2:$C$501,A23))</f>
        <v/>
      </c>
      <c r="E23" s="10">
        <f>IF(A23="","",C23-D23)</f>
        <v/>
      </c>
      <c r="F23">
        <f>IF(A23="","",COUNTIFS(Homologacion!$C$2:$C$501,A23,Homologacion!$U$2:$U$501,"Pendiente"))</f>
        <v/>
      </c>
      <c r="G23">
        <f>IF(A23="","",COUNTIFS(Homologacion!$C$2:$C$501,A23,Homologacion!$Q$2:$Q$501,"Pendiente"))</f>
        <v/>
      </c>
    </row>
    <row r="24">
      <c r="A24" s="7" t="n"/>
      <c r="B24">
        <f>IF(A24="","",COUNTIFS(Homologacion!$C$2:$C$501,A24))</f>
        <v/>
      </c>
      <c r="C24" s="10">
        <f>IF(A24="","",SUMIFS(Homologacion!$L$2:$L$501,Homologacion!$C$2:$C$501,A24))</f>
        <v/>
      </c>
      <c r="D24" s="10">
        <f>IF(A24="","",SUMIFS(Homologacion!$M$2:$M$501,Homologacion!$C$2:$C$501,A24))</f>
        <v/>
      </c>
      <c r="E24" s="10">
        <f>IF(A24="","",C24-D24)</f>
        <v/>
      </c>
      <c r="F24">
        <f>IF(A24="","",COUNTIFS(Homologacion!$C$2:$C$501,A24,Homologacion!$U$2:$U$501,"Pendiente"))</f>
        <v/>
      </c>
      <c r="G24">
        <f>IF(A24="","",COUNTIFS(Homologacion!$C$2:$C$501,A24,Homologacion!$Q$2:$Q$501,"Pendiente"))</f>
        <v/>
      </c>
    </row>
    <row r="25">
      <c r="A25" s="7" t="n"/>
      <c r="B25">
        <f>IF(A25="","",COUNTIFS(Homologacion!$C$2:$C$501,A25))</f>
        <v/>
      </c>
      <c r="C25" s="10">
        <f>IF(A25="","",SUMIFS(Homologacion!$L$2:$L$501,Homologacion!$C$2:$C$501,A25))</f>
        <v/>
      </c>
      <c r="D25" s="10">
        <f>IF(A25="","",SUMIFS(Homologacion!$M$2:$M$501,Homologacion!$C$2:$C$501,A25))</f>
        <v/>
      </c>
      <c r="E25" s="10">
        <f>IF(A25="","",C25-D25)</f>
        <v/>
      </c>
      <c r="F25">
        <f>IF(A25="","",COUNTIFS(Homologacion!$C$2:$C$501,A25,Homologacion!$U$2:$U$501,"Pendiente"))</f>
        <v/>
      </c>
      <c r="G25">
        <f>IF(A25="","",COUNTIFS(Homologacion!$C$2:$C$501,A25,Homologacion!$Q$2:$Q$501,"Pendiente"))</f>
        <v/>
      </c>
    </row>
    <row r="26">
      <c r="A26" s="7" t="n"/>
      <c r="B26">
        <f>IF(A26="","",COUNTIFS(Homologacion!$C$2:$C$501,A26))</f>
        <v/>
      </c>
      <c r="C26" s="10">
        <f>IF(A26="","",SUMIFS(Homologacion!$L$2:$L$501,Homologacion!$C$2:$C$501,A26))</f>
        <v/>
      </c>
      <c r="D26" s="10">
        <f>IF(A26="","",SUMIFS(Homologacion!$M$2:$M$501,Homologacion!$C$2:$C$501,A26))</f>
        <v/>
      </c>
      <c r="E26" s="10">
        <f>IF(A26="","",C26-D26)</f>
        <v/>
      </c>
      <c r="F26">
        <f>IF(A26="","",COUNTIFS(Homologacion!$C$2:$C$501,A26,Homologacion!$U$2:$U$501,"Pendiente"))</f>
        <v/>
      </c>
      <c r="G26">
        <f>IF(A26="","",COUNTIFS(Homologacion!$C$2:$C$501,A26,Homologacion!$Q$2:$Q$501,"Pendiente"))</f>
        <v/>
      </c>
    </row>
    <row r="27">
      <c r="A27" s="7" t="n"/>
      <c r="B27">
        <f>IF(A27="","",COUNTIFS(Homologacion!$C$2:$C$501,A27))</f>
        <v/>
      </c>
      <c r="C27" s="10">
        <f>IF(A27="","",SUMIFS(Homologacion!$L$2:$L$501,Homologacion!$C$2:$C$501,A27))</f>
        <v/>
      </c>
      <c r="D27" s="10">
        <f>IF(A27="","",SUMIFS(Homologacion!$M$2:$M$501,Homologacion!$C$2:$C$501,A27))</f>
        <v/>
      </c>
      <c r="E27" s="10">
        <f>IF(A27="","",C27-D27)</f>
        <v/>
      </c>
      <c r="F27">
        <f>IF(A27="","",COUNTIFS(Homologacion!$C$2:$C$501,A27,Homologacion!$U$2:$U$501,"Pendiente"))</f>
        <v/>
      </c>
      <c r="G27">
        <f>IF(A27="","",COUNTIFS(Homologacion!$C$2:$C$501,A27,Homologacion!$Q$2:$Q$501,"Pendiente"))</f>
        <v/>
      </c>
    </row>
    <row r="28">
      <c r="A28" s="7" t="n"/>
      <c r="B28">
        <f>IF(A28="","",COUNTIFS(Homologacion!$C$2:$C$501,A28))</f>
        <v/>
      </c>
      <c r="C28" s="10">
        <f>IF(A28="","",SUMIFS(Homologacion!$L$2:$L$501,Homologacion!$C$2:$C$501,A28))</f>
        <v/>
      </c>
      <c r="D28" s="10">
        <f>IF(A28="","",SUMIFS(Homologacion!$M$2:$M$501,Homologacion!$C$2:$C$501,A28))</f>
        <v/>
      </c>
      <c r="E28" s="10">
        <f>IF(A28="","",C28-D28)</f>
        <v/>
      </c>
      <c r="F28">
        <f>IF(A28="","",COUNTIFS(Homologacion!$C$2:$C$501,A28,Homologacion!$U$2:$U$501,"Pendiente"))</f>
        <v/>
      </c>
      <c r="G28">
        <f>IF(A28="","",COUNTIFS(Homologacion!$C$2:$C$501,A28,Homologacion!$Q$2:$Q$501,"Pendiente"))</f>
        <v/>
      </c>
    </row>
    <row r="29">
      <c r="A29" s="7" t="n"/>
      <c r="B29">
        <f>IF(A29="","",COUNTIFS(Homologacion!$C$2:$C$501,A29))</f>
        <v/>
      </c>
      <c r="C29" s="10">
        <f>IF(A29="","",SUMIFS(Homologacion!$L$2:$L$501,Homologacion!$C$2:$C$501,A29))</f>
        <v/>
      </c>
      <c r="D29" s="10">
        <f>IF(A29="","",SUMIFS(Homologacion!$M$2:$M$501,Homologacion!$C$2:$C$501,A29))</f>
        <v/>
      </c>
      <c r="E29" s="10">
        <f>IF(A29="","",C29-D29)</f>
        <v/>
      </c>
      <c r="F29">
        <f>IF(A29="","",COUNTIFS(Homologacion!$C$2:$C$501,A29,Homologacion!$U$2:$U$501,"Pendiente"))</f>
        <v/>
      </c>
      <c r="G29">
        <f>IF(A29="","",COUNTIFS(Homologacion!$C$2:$C$501,A29,Homologacion!$Q$2:$Q$501,"Pendiente"))</f>
        <v/>
      </c>
    </row>
    <row r="30">
      <c r="A30" s="7" t="n"/>
      <c r="B30">
        <f>IF(A30="","",COUNTIFS(Homologacion!$C$2:$C$501,A30))</f>
        <v/>
      </c>
      <c r="C30" s="10">
        <f>IF(A30="","",SUMIFS(Homologacion!$L$2:$L$501,Homologacion!$C$2:$C$501,A30))</f>
        <v/>
      </c>
      <c r="D30" s="10">
        <f>IF(A30="","",SUMIFS(Homologacion!$M$2:$M$501,Homologacion!$C$2:$C$501,A30))</f>
        <v/>
      </c>
      <c r="E30" s="10">
        <f>IF(A30="","",C30-D30)</f>
        <v/>
      </c>
      <c r="F30">
        <f>IF(A30="","",COUNTIFS(Homologacion!$C$2:$C$501,A30,Homologacion!$U$2:$U$501,"Pendiente"))</f>
        <v/>
      </c>
      <c r="G30">
        <f>IF(A30="","",COUNTIFS(Homologacion!$C$2:$C$501,A30,Homologacion!$Q$2:$Q$501,"Pendiente"))</f>
        <v/>
      </c>
    </row>
    <row r="31">
      <c r="A31" s="7" t="n"/>
      <c r="B31">
        <f>IF(A31="","",COUNTIFS(Homologacion!$C$2:$C$501,A31))</f>
        <v/>
      </c>
      <c r="C31" s="10">
        <f>IF(A31="","",SUMIFS(Homologacion!$L$2:$L$501,Homologacion!$C$2:$C$501,A31))</f>
        <v/>
      </c>
      <c r="D31" s="10">
        <f>IF(A31="","",SUMIFS(Homologacion!$M$2:$M$501,Homologacion!$C$2:$C$501,A31))</f>
        <v/>
      </c>
      <c r="E31" s="10">
        <f>IF(A31="","",C31-D31)</f>
        <v/>
      </c>
      <c r="F31">
        <f>IF(A31="","",COUNTIFS(Homologacion!$C$2:$C$501,A31,Homologacion!$U$2:$U$501,"Pendiente"))</f>
        <v/>
      </c>
      <c r="G31">
        <f>IF(A31="","",COUNTIFS(Homologacion!$C$2:$C$501,A31,Homologacion!$Q$2:$Q$501,"Pendiente"))</f>
        <v/>
      </c>
    </row>
    <row r="32">
      <c r="A32" s="7" t="n"/>
      <c r="B32">
        <f>IF(A32="","",COUNTIFS(Homologacion!$C$2:$C$501,A32))</f>
        <v/>
      </c>
      <c r="C32" s="10">
        <f>IF(A32="","",SUMIFS(Homologacion!$L$2:$L$501,Homologacion!$C$2:$C$501,A32))</f>
        <v/>
      </c>
      <c r="D32" s="10">
        <f>IF(A32="","",SUMIFS(Homologacion!$M$2:$M$501,Homologacion!$C$2:$C$501,A32))</f>
        <v/>
      </c>
      <c r="E32" s="10">
        <f>IF(A32="","",C32-D32)</f>
        <v/>
      </c>
      <c r="F32">
        <f>IF(A32="","",COUNTIFS(Homologacion!$C$2:$C$501,A32,Homologacion!$U$2:$U$501,"Pendiente"))</f>
        <v/>
      </c>
      <c r="G32">
        <f>IF(A32="","",COUNTIFS(Homologacion!$C$2:$C$501,A32,Homologacion!$Q$2:$Q$501,"Pendiente"))</f>
        <v/>
      </c>
    </row>
    <row r="33">
      <c r="A33" s="7" t="n"/>
      <c r="B33">
        <f>IF(A33="","",COUNTIFS(Homologacion!$C$2:$C$501,A33))</f>
        <v/>
      </c>
      <c r="C33" s="10">
        <f>IF(A33="","",SUMIFS(Homologacion!$L$2:$L$501,Homologacion!$C$2:$C$501,A33))</f>
        <v/>
      </c>
      <c r="D33" s="10">
        <f>IF(A33="","",SUMIFS(Homologacion!$M$2:$M$501,Homologacion!$C$2:$C$501,A33))</f>
        <v/>
      </c>
      <c r="E33" s="10">
        <f>IF(A33="","",C33-D33)</f>
        <v/>
      </c>
      <c r="F33">
        <f>IF(A33="","",COUNTIFS(Homologacion!$C$2:$C$501,A33,Homologacion!$U$2:$U$501,"Pendiente"))</f>
        <v/>
      </c>
      <c r="G33">
        <f>IF(A33="","",COUNTIFS(Homologacion!$C$2:$C$501,A33,Homologacion!$Q$2:$Q$501,"Pendiente"))</f>
        <v/>
      </c>
    </row>
    <row r="34">
      <c r="A34" s="7" t="n"/>
      <c r="B34">
        <f>IF(A34="","",COUNTIFS(Homologacion!$C$2:$C$501,A34))</f>
        <v/>
      </c>
      <c r="C34" s="10">
        <f>IF(A34="","",SUMIFS(Homologacion!$L$2:$L$501,Homologacion!$C$2:$C$501,A34))</f>
        <v/>
      </c>
      <c r="D34" s="10">
        <f>IF(A34="","",SUMIFS(Homologacion!$M$2:$M$501,Homologacion!$C$2:$C$501,A34))</f>
        <v/>
      </c>
      <c r="E34" s="10">
        <f>IF(A34="","",C34-D34)</f>
        <v/>
      </c>
      <c r="F34">
        <f>IF(A34="","",COUNTIFS(Homologacion!$C$2:$C$501,A34,Homologacion!$U$2:$U$501,"Pendiente"))</f>
        <v/>
      </c>
      <c r="G34">
        <f>IF(A34="","",COUNTIFS(Homologacion!$C$2:$C$501,A34,Homologacion!$Q$2:$Q$501,"Pendiente"))</f>
        <v/>
      </c>
    </row>
    <row r="35">
      <c r="A35" s="7" t="n"/>
      <c r="B35">
        <f>IF(A35="","",COUNTIFS(Homologacion!$C$2:$C$501,A35))</f>
        <v/>
      </c>
      <c r="C35" s="10">
        <f>IF(A35="","",SUMIFS(Homologacion!$L$2:$L$501,Homologacion!$C$2:$C$501,A35))</f>
        <v/>
      </c>
      <c r="D35" s="10">
        <f>IF(A35="","",SUMIFS(Homologacion!$M$2:$M$501,Homologacion!$C$2:$C$501,A35))</f>
        <v/>
      </c>
      <c r="E35" s="10">
        <f>IF(A35="","",C35-D35)</f>
        <v/>
      </c>
      <c r="F35">
        <f>IF(A35="","",COUNTIFS(Homologacion!$C$2:$C$501,A35,Homologacion!$U$2:$U$501,"Pendiente"))</f>
        <v/>
      </c>
      <c r="G35">
        <f>IF(A35="","",COUNTIFS(Homologacion!$C$2:$C$501,A35,Homologacion!$Q$2:$Q$501,"Pendiente"))</f>
        <v/>
      </c>
    </row>
    <row r="36">
      <c r="A36" s="7" t="n"/>
      <c r="B36">
        <f>IF(A36="","",COUNTIFS(Homologacion!$C$2:$C$501,A36))</f>
        <v/>
      </c>
      <c r="C36" s="10">
        <f>IF(A36="","",SUMIFS(Homologacion!$L$2:$L$501,Homologacion!$C$2:$C$501,A36))</f>
        <v/>
      </c>
      <c r="D36" s="10">
        <f>IF(A36="","",SUMIFS(Homologacion!$M$2:$M$501,Homologacion!$C$2:$C$501,A36))</f>
        <v/>
      </c>
      <c r="E36" s="10">
        <f>IF(A36="","",C36-D36)</f>
        <v/>
      </c>
      <c r="F36">
        <f>IF(A36="","",COUNTIFS(Homologacion!$C$2:$C$501,A36,Homologacion!$U$2:$U$501,"Pendiente"))</f>
        <v/>
      </c>
      <c r="G36">
        <f>IF(A36="","",COUNTIFS(Homologacion!$C$2:$C$501,A36,Homologacion!$Q$2:$Q$501,"Pendiente"))</f>
        <v/>
      </c>
    </row>
    <row r="37">
      <c r="A37" s="7" t="n"/>
      <c r="B37">
        <f>IF(A37="","",COUNTIFS(Homologacion!$C$2:$C$501,A37))</f>
        <v/>
      </c>
      <c r="C37" s="10">
        <f>IF(A37="","",SUMIFS(Homologacion!$L$2:$L$501,Homologacion!$C$2:$C$501,A37))</f>
        <v/>
      </c>
      <c r="D37" s="10">
        <f>IF(A37="","",SUMIFS(Homologacion!$M$2:$M$501,Homologacion!$C$2:$C$501,A37))</f>
        <v/>
      </c>
      <c r="E37" s="10">
        <f>IF(A37="","",C37-D37)</f>
        <v/>
      </c>
      <c r="F37">
        <f>IF(A37="","",COUNTIFS(Homologacion!$C$2:$C$501,A37,Homologacion!$U$2:$U$501,"Pendiente"))</f>
        <v/>
      </c>
      <c r="G37">
        <f>IF(A37="","",COUNTIFS(Homologacion!$C$2:$C$501,A37,Homologacion!$Q$2:$Q$501,"Pendiente"))</f>
        <v/>
      </c>
    </row>
    <row r="38">
      <c r="A38" s="7" t="n"/>
      <c r="B38">
        <f>IF(A38="","",COUNTIFS(Homologacion!$C$2:$C$501,A38))</f>
        <v/>
      </c>
      <c r="C38" s="10">
        <f>IF(A38="","",SUMIFS(Homologacion!$L$2:$L$501,Homologacion!$C$2:$C$501,A38))</f>
        <v/>
      </c>
      <c r="D38" s="10">
        <f>IF(A38="","",SUMIFS(Homologacion!$M$2:$M$501,Homologacion!$C$2:$C$501,A38))</f>
        <v/>
      </c>
      <c r="E38" s="10">
        <f>IF(A38="","",C38-D38)</f>
        <v/>
      </c>
      <c r="F38">
        <f>IF(A38="","",COUNTIFS(Homologacion!$C$2:$C$501,A38,Homologacion!$U$2:$U$501,"Pendiente"))</f>
        <v/>
      </c>
      <c r="G38">
        <f>IF(A38="","",COUNTIFS(Homologacion!$C$2:$C$501,A38,Homologacion!$Q$2:$Q$501,"Pendiente"))</f>
        <v/>
      </c>
    </row>
    <row r="39">
      <c r="A39" s="7" t="n"/>
      <c r="B39">
        <f>IF(A39="","",COUNTIFS(Homologacion!$C$2:$C$501,A39))</f>
        <v/>
      </c>
      <c r="C39" s="10">
        <f>IF(A39="","",SUMIFS(Homologacion!$L$2:$L$501,Homologacion!$C$2:$C$501,A39))</f>
        <v/>
      </c>
      <c r="D39" s="10">
        <f>IF(A39="","",SUMIFS(Homologacion!$M$2:$M$501,Homologacion!$C$2:$C$501,A39))</f>
        <v/>
      </c>
      <c r="E39" s="10">
        <f>IF(A39="","",C39-D39)</f>
        <v/>
      </c>
      <c r="F39">
        <f>IF(A39="","",COUNTIFS(Homologacion!$C$2:$C$501,A39,Homologacion!$U$2:$U$501,"Pendiente"))</f>
        <v/>
      </c>
      <c r="G39">
        <f>IF(A39="","",COUNTIFS(Homologacion!$C$2:$C$501,A39,Homologacion!$Q$2:$Q$501,"Pendiente"))</f>
        <v/>
      </c>
    </row>
    <row r="40">
      <c r="A40" s="7" t="n"/>
      <c r="B40">
        <f>IF(A40="","",COUNTIFS(Homologacion!$C$2:$C$501,A40))</f>
        <v/>
      </c>
      <c r="C40" s="10">
        <f>IF(A40="","",SUMIFS(Homologacion!$L$2:$L$501,Homologacion!$C$2:$C$501,A40))</f>
        <v/>
      </c>
      <c r="D40" s="10">
        <f>IF(A40="","",SUMIFS(Homologacion!$M$2:$M$501,Homologacion!$C$2:$C$501,A40))</f>
        <v/>
      </c>
      <c r="E40" s="10">
        <f>IF(A40="","",C40-D40)</f>
        <v/>
      </c>
      <c r="F40">
        <f>IF(A40="","",COUNTIFS(Homologacion!$C$2:$C$501,A40,Homologacion!$U$2:$U$501,"Pendiente"))</f>
        <v/>
      </c>
      <c r="G40">
        <f>IF(A40="","",COUNTIFS(Homologacion!$C$2:$C$501,A40,Homologacion!$Q$2:$Q$501,"Pendiente"))</f>
        <v/>
      </c>
    </row>
    <row r="41">
      <c r="A41" s="7" t="n"/>
      <c r="B41">
        <f>IF(A41="","",COUNTIFS(Homologacion!$C$2:$C$501,A41))</f>
        <v/>
      </c>
      <c r="C41" s="10">
        <f>IF(A41="","",SUMIFS(Homologacion!$L$2:$L$501,Homologacion!$C$2:$C$501,A41))</f>
        <v/>
      </c>
      <c r="D41" s="10">
        <f>IF(A41="","",SUMIFS(Homologacion!$M$2:$M$501,Homologacion!$C$2:$C$501,A41))</f>
        <v/>
      </c>
      <c r="E41" s="10">
        <f>IF(A41="","",C41-D41)</f>
        <v/>
      </c>
      <c r="F41">
        <f>IF(A41="","",COUNTIFS(Homologacion!$C$2:$C$501,A41,Homologacion!$U$2:$U$501,"Pendiente"))</f>
        <v/>
      </c>
      <c r="G41">
        <f>IF(A41="","",COUNTIFS(Homologacion!$C$2:$C$501,A41,Homologacion!$Q$2:$Q$501,"Pendiente"))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2026-10-27T06:03:35Z</dcterms:created>
  <dcterms:modified xsi:type="dcterms:W3CDTF">2026-10-27T06:03:35Z</dcterms:modified>
</cp:coreProperties>
</file>