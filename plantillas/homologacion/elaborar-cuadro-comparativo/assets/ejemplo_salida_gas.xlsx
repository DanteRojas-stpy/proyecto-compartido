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_GAS-PROYX" sheetId="1" state="visible" r:id="rId1"/>
    <sheet xmlns:r="http://schemas.openxmlformats.org/officeDocument/2006/relationships" name="CC_GAS_PROYX" sheetId="2" state="visible" r:id="rId2"/>
    <sheet xmlns:r="http://schemas.openxmlformats.org/officeDocument/2006/relationships" name="LEYENDA Y NOTAS" sheetId="3" state="visible" r:id="rId3"/>
    <sheet xmlns:r="http://schemas.openxmlformats.org/officeDocument/2006/relationships" name="POSTOR A" sheetId="4" state="visible" r:id="rId4"/>
    <sheet xmlns:r="http://schemas.openxmlformats.org/officeDocument/2006/relationships" name="POSTOR B" sheetId="5" state="visible" r:id="rId5"/>
    <sheet xmlns:r="http://schemas.openxmlformats.org/officeDocument/2006/relationships" name="POSTOR 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##,###,###,##0.00"/>
    <numFmt numFmtId="165" formatCode="_-* #,##0.00_-;\-* #,##0.00_-;_-* \-??_-;_-@_-"/>
    <numFmt numFmtId="166" formatCode="_-&quot;S/ &quot;* #,##0.00_-;&quot;-S/ &quot;* #,##0.00_-;_-&quot;S/ &quot;* \-??_-;_-@_-"/>
    <numFmt numFmtId="167" formatCode="&quot;S/ &quot;#,##0.00;&quot;-S/ &quot;#,##0.00"/>
    <numFmt numFmtId="168" formatCode="0.0%"/>
  </numFmts>
  <fonts count="37">
    <font>
      <name val="Calibri"/>
      <family val="2"/>
      <color theme="1"/>
      <sz val="11"/>
      <scheme val="minor"/>
    </font>
    <font>
      <name val="Arial"/>
      <b val="1"/>
      <sz val="24"/>
    </font>
    <font>
      <name val="Arial"/>
      <b val="1"/>
      <sz val="20"/>
    </font>
    <font>
      <name val="Arial"/>
      <b val="1"/>
      <sz val="14"/>
    </font>
    <font>
      <name val="Arial"/>
      <b val="1"/>
      <color rgb="FFFFFFFF"/>
      <sz val="14"/>
    </font>
    <font>
      <name val="Arial"/>
      <b val="1"/>
      <color rgb="FF000000"/>
      <sz val="14"/>
    </font>
    <font>
      <name val="Arial"/>
      <sz val="14"/>
    </font>
    <font>
      <name val="Arial"/>
      <b val="1"/>
      <color rgb="FF0070C0"/>
      <sz val="14"/>
    </font>
    <font>
      <name val="Arial"/>
      <color rgb="FF0070C0"/>
      <sz val="14"/>
    </font>
    <font>
      <name val="Arial"/>
      <b val="1"/>
      <color rgb="FFC00000"/>
      <sz val="14"/>
    </font>
    <font>
      <name val="Arial"/>
      <b val="1"/>
      <color rgb="FFC00000"/>
      <sz val="11"/>
    </font>
    <font>
      <name val="Arial"/>
      <b val="1"/>
      <color rgb="FF000000"/>
      <sz val="11"/>
    </font>
    <font>
      <name val="Arial"/>
      <sz val="12"/>
    </font>
    <font>
      <name val="Arial"/>
      <b val="1"/>
      <color rgb="FF000000"/>
      <sz val="12"/>
    </font>
    <font>
      <name val="Arial"/>
      <b val="1"/>
      <color rgb="FF0070C0"/>
      <sz val="12"/>
    </font>
    <font>
      <name val="Arial"/>
      <b val="1"/>
      <color rgb="FFC00000"/>
      <sz val="12"/>
    </font>
    <font>
      <name val="Arial"/>
      <color rgb="FF000000"/>
      <sz val="12"/>
    </font>
    <font>
      <name val="Arial"/>
      <color rgb="FF000000"/>
      <sz val="11"/>
    </font>
    <font>
      <name val="Arial"/>
      <b val="1"/>
      <sz val="12"/>
    </font>
    <font>
      <name val="Arial"/>
      <b val="1"/>
      <sz val="10"/>
    </font>
    <font>
      <name val="Arial"/>
      <sz val="10"/>
    </font>
    <font>
      <name val="Arial"/>
      <b val="1"/>
      <color rgb="FFFFFFFF"/>
      <sz val="10"/>
    </font>
    <font>
      <name val="Arial"/>
      <b val="1"/>
      <sz val="22"/>
    </font>
    <font>
      <name val="Arial"/>
      <b val="1"/>
      <sz val="18"/>
    </font>
    <font>
      <name val="Arial"/>
      <b val="1"/>
      <color rgb="FFFFFFFF"/>
      <sz val="12"/>
    </font>
    <font>
      <name val="Arial"/>
      <b val="1"/>
      <color rgb="FFFFC000"/>
      <sz val="12"/>
    </font>
    <font>
      <name val="Arial"/>
      <color rgb="FF0070C0"/>
      <sz val="12"/>
    </font>
    <font>
      <name val="Arial"/>
      <color rgb="FFC00000"/>
      <sz val="12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0070C0"/>
      <sz val="10"/>
    </font>
    <font>
      <name val="Arial"/>
      <b val="1"/>
      <color rgb="FFC00000"/>
      <sz val="10"/>
    </font>
    <font>
      <name val="Arial"/>
      <i val="1"/>
      <sz val="10"/>
    </font>
    <font>
      <name val="Arial"/>
      <color rgb="FFFFFFFF"/>
      <sz val="10"/>
    </font>
    <font>
      <name val="Arial"/>
      <b val="1"/>
      <color rgb="FFFFFF00"/>
      <sz val="10"/>
    </font>
    <font>
      <name val="Arial"/>
      <color rgb="FFC00000"/>
      <sz val="10"/>
    </font>
    <font>
      <name val="Arial"/>
      <color rgb="FF0070C0"/>
      <sz val="10"/>
    </font>
  </fonts>
  <fills count="17">
    <fill>
      <patternFill/>
    </fill>
    <fill>
      <patternFill patternType="gray125"/>
    </fill>
    <fill>
      <patternFill patternType="solid">
        <fgColor rgb="FF002060"/>
      </patternFill>
    </fill>
    <fill>
      <patternFill patternType="solid">
        <fgColor rgb="FFCCFF33"/>
      </patternFill>
    </fill>
    <fill>
      <patternFill patternType="solid">
        <fgColor theme="8" tint="0.6"/>
      </patternFill>
    </fill>
    <fill>
      <patternFill patternType="solid">
        <fgColor theme="8" tint="0.8"/>
      </patternFill>
    </fill>
    <fill>
      <patternFill patternType="solid">
        <fgColor rgb="FFFFF2CC"/>
      </patternFill>
    </fill>
    <fill>
      <patternFill patternType="solid">
        <fgColor theme="0" tint="-0.05"/>
      </patternFill>
    </fill>
    <fill>
      <patternFill patternType="solid">
        <fgColor rgb="FF00B050"/>
      </patternFill>
    </fill>
    <fill>
      <patternFill patternType="solid">
        <fgColor rgb="FFFFC000"/>
      </patternFill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9DC3E6"/>
      </patternFill>
    </fill>
    <fill>
      <patternFill patternType="solid">
        <fgColor rgb="FFF2F2F2"/>
      </patternFill>
    </fill>
    <fill>
      <patternFill patternType="solid">
        <fgColor rgb="FFCCFFFF"/>
      </patternFill>
    </fill>
    <fill>
      <patternFill patternType="solid">
        <fgColor rgb="FFFFFFCC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6" fillId="2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6" fillId="3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166" fontId="3" fillId="4" borderId="0" pivotButton="0" quotePrefix="0" xfId="0"/>
    <xf numFmtId="10" fontId="7" fillId="4" borderId="0" pivotButton="0" quotePrefix="0" xfId="0"/>
    <xf numFmtId="0" fontId="3" fillId="5" borderId="0" pivotButton="0" quotePrefix="0" xfId="0"/>
    <xf numFmtId="0" fontId="6" fillId="5" borderId="0" pivotButton="0" quotePrefix="0" xfId="0"/>
    <xf numFmtId="0" fontId="3" fillId="6" borderId="0" pivotButton="0" quotePrefix="0" xfId="0"/>
    <xf numFmtId="165" fontId="3" fillId="5" borderId="0" pivotButton="0" quotePrefix="0" xfId="0"/>
    <xf numFmtId="164" fontId="6" fillId="5" borderId="0" pivotButton="0" quotePrefix="0" xfId="0"/>
    <xf numFmtId="166" fontId="6" fillId="5" borderId="0" pivotButton="0" quotePrefix="0" xfId="0"/>
    <xf numFmtId="166" fontId="3" fillId="5" borderId="0" pivotButton="0" quotePrefix="0" xfId="0"/>
    <xf numFmtId="0" fontId="8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0" fontId="10" fillId="0" borderId="0" applyAlignment="1" pivotButton="0" quotePrefix="0" xfId="0">
      <alignment horizontal="left" vertical="top" wrapText="1"/>
    </xf>
    <xf numFmtId="166" fontId="6" fillId="0" borderId="0" pivotButton="0" quotePrefix="0" xfId="0"/>
    <xf numFmtId="164" fontId="9" fillId="0" borderId="0" pivotButton="0" quotePrefix="0" xfId="0"/>
    <xf numFmtId="166" fontId="9" fillId="0" borderId="0" pivotButton="0" quotePrefix="0" xfId="0"/>
    <xf numFmtId="0" fontId="11" fillId="0" borderId="0" pivotButton="0" quotePrefix="0" xfId="0"/>
    <xf numFmtId="0" fontId="4" fillId="2" borderId="0" applyAlignment="1" pivotButton="0" quotePrefix="0" xfId="0">
      <alignment horizontal="right" vertical="center"/>
    </xf>
    <xf numFmtId="166" fontId="4" fillId="2" borderId="0" applyAlignment="1" pivotButton="0" quotePrefix="0" xfId="0">
      <alignment horizontal="right" vertical="center"/>
    </xf>
    <xf numFmtId="166" fontId="3" fillId="0" borderId="0" pivotButton="0" quotePrefix="0" xfId="0"/>
    <xf numFmtId="166" fontId="7" fillId="0" borderId="0" pivotButton="0" quotePrefix="0" xfId="0"/>
    <xf numFmtId="167" fontId="3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168" fontId="3" fillId="3" borderId="0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top" wrapText="1"/>
    </xf>
    <xf numFmtId="0" fontId="23" fillId="0" borderId="0" pivotButton="0" quotePrefix="0" xfId="0"/>
    <xf numFmtId="0" fontId="18" fillId="0" borderId="0" pivotButton="0" quotePrefix="0" xfId="0"/>
    <xf numFmtId="0" fontId="24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13" fillId="3" borderId="0" applyAlignment="1" pivotButton="0" quotePrefix="0" xfId="0">
      <alignment horizontal="center" vertical="center" wrapText="1"/>
    </xf>
    <xf numFmtId="0" fontId="24" fillId="8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15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166" fontId="25" fillId="10" borderId="0" pivotButton="0" quotePrefix="0" xfId="0"/>
    <xf numFmtId="166" fontId="0" fillId="0" borderId="0" pivotButton="0" quotePrefix="0" xfId="0"/>
    <xf numFmtId="10" fontId="14" fillId="11" borderId="0" pivotButton="0" quotePrefix="0" xfId="0"/>
    <xf numFmtId="0" fontId="18" fillId="12" borderId="0" pivotButton="0" quotePrefix="0" xfId="0"/>
    <xf numFmtId="166" fontId="18" fillId="12" borderId="0" pivotButton="0" quotePrefix="0" xfId="0"/>
    <xf numFmtId="0" fontId="18" fillId="13" borderId="0" pivotButton="0" quotePrefix="0" xfId="0"/>
    <xf numFmtId="166" fontId="18" fillId="13" borderId="0" pivotButton="0" quotePrefix="0" xfId="0"/>
    <xf numFmtId="164" fontId="12" fillId="0" borderId="0" pivotButton="0" quotePrefix="0" xfId="0"/>
    <xf numFmtId="166" fontId="12" fillId="0" borderId="0" pivotButton="0" quotePrefix="0" xfId="0"/>
    <xf numFmtId="0" fontId="20" fillId="0" borderId="0" applyAlignment="1" pivotButton="0" quotePrefix="0" xfId="0">
      <alignment horizontal="left" vertical="top" wrapText="1"/>
    </xf>
    <xf numFmtId="0" fontId="12" fillId="0" borderId="0" pivotButton="0" quotePrefix="0" xfId="0"/>
    <xf numFmtId="164" fontId="26" fillId="0" borderId="0" pivotButton="0" quotePrefix="0" xfId="0"/>
    <xf numFmtId="0" fontId="27" fillId="6" borderId="0" pivotButton="0" quotePrefix="0" xfId="0"/>
    <xf numFmtId="0" fontId="12" fillId="14" borderId="0" pivotButton="0" quotePrefix="0" xfId="0"/>
    <xf numFmtId="0" fontId="12" fillId="15" borderId="0" pivotButton="0" quotePrefix="0" xfId="0"/>
    <xf numFmtId="0" fontId="24" fillId="2" borderId="0" pivotButton="0" quotePrefix="0" xfId="0"/>
    <xf numFmtId="166" fontId="18" fillId="0" borderId="0" pivotButton="0" quotePrefix="0" xfId="0"/>
    <xf numFmtId="10" fontId="14" fillId="0" borderId="0" pivotButton="0" quotePrefix="0" xfId="0"/>
    <xf numFmtId="167" fontId="18" fillId="3" borderId="0" applyAlignment="1" pivotButton="0" quotePrefix="0" xfId="0">
      <alignment horizontal="center" vertical="center" wrapText="1"/>
    </xf>
    <xf numFmtId="168" fontId="18" fillId="3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 wrapText="1"/>
    </xf>
    <xf numFmtId="167" fontId="13" fillId="0" borderId="0" applyAlignment="1" pivotButton="0" quotePrefix="0" xfId="0">
      <alignment horizontal="center" vertical="center" wrapText="1"/>
    </xf>
    <xf numFmtId="167" fontId="0" fillId="0" borderId="0" pivotButton="0" quotePrefix="0" xfId="0"/>
    <xf numFmtId="168" fontId="1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top" wrapText="1"/>
    </xf>
    <xf numFmtId="0" fontId="28" fillId="0" borderId="0" applyAlignment="1" pivotButton="0" quotePrefix="0" xfId="0">
      <alignment horizontal="left" vertical="top" wrapText="1"/>
    </xf>
    <xf numFmtId="0" fontId="29" fillId="0" borderId="0" applyAlignment="1" pivotButton="0" quotePrefix="0" xfId="0">
      <alignment horizontal="left" vertical="top" wrapText="1"/>
    </xf>
    <xf numFmtId="0" fontId="30" fillId="0" borderId="0" applyAlignment="1" pivotButton="0" quotePrefix="0" xfId="0">
      <alignment horizontal="left" vertical="top" wrapText="1"/>
    </xf>
    <xf numFmtId="0" fontId="31" fillId="0" borderId="0" applyAlignment="1" pivotButton="0" quotePrefix="0" xfId="0">
      <alignment horizontal="left" vertical="top" wrapText="1"/>
    </xf>
    <xf numFmtId="0" fontId="32" fillId="0" borderId="0" pivotButton="0" quotePrefix="0" xfId="0"/>
    <xf numFmtId="0" fontId="21" fillId="2" borderId="0" pivotButton="0" quotePrefix="0" xfId="0"/>
    <xf numFmtId="0" fontId="33" fillId="2" borderId="0" pivotButton="0" quotePrefix="0" xfId="0"/>
    <xf numFmtId="0" fontId="20" fillId="0" borderId="0" pivotButton="0" quotePrefix="0" xfId="0"/>
    <xf numFmtId="0" fontId="21" fillId="8" borderId="0" pivotButton="0" quotePrefix="0" xfId="0"/>
    <xf numFmtId="0" fontId="28" fillId="3" borderId="0" pivotButton="0" quotePrefix="0" xfId="0"/>
    <xf numFmtId="0" fontId="28" fillId="16" borderId="0" pivotButton="0" quotePrefix="0" xfId="0"/>
    <xf numFmtId="0" fontId="31" fillId="9" borderId="0" pivotButton="0" quotePrefix="0" xfId="0"/>
    <xf numFmtId="0" fontId="34" fillId="10" borderId="0" pivotButton="0" quotePrefix="0" xfId="0"/>
    <xf numFmtId="0" fontId="28" fillId="13" borderId="0" pivotButton="0" quotePrefix="0" xfId="0"/>
    <xf numFmtId="0" fontId="35" fillId="6" borderId="0" pivotButton="0" quotePrefix="0" xfId="0"/>
    <xf numFmtId="0" fontId="36" fillId="6" borderId="0" pivotButton="0" quotePrefix="0" xfId="0"/>
    <xf numFmtId="0" fontId="29" fillId="14" borderId="0" pivotButton="0" quotePrefix="0" xfId="0"/>
    <xf numFmtId="0" fontId="29" fillId="15" borderId="0" pivotButton="0" quotePrefix="0" xfId="0"/>
    <xf numFmtId="0" fontId="31" fillId="16" borderId="0" pivotButton="0" quotePrefix="0" xfId="0"/>
    <xf numFmtId="0" fontId="36" fillId="0" borderId="0" pivotButton="0" quotePrefix="0" xfId="0"/>
    <xf numFmtId="0" fontId="31" fillId="0" borderId="0" pivotButton="0" quotePrefix="0" xfId="0"/>
    <xf numFmtId="0" fontId="30" fillId="0" borderId="0" pivotButton="0" quotePrefix="0" xfId="0"/>
    <xf numFmtId="0" fontId="28" fillId="0" borderId="0" pivotButton="0" quotePrefix="0" xfId="0"/>
    <xf numFmtId="0" fontId="19" fillId="0" borderId="0" pivotButton="0" quotePrefix="0" xfId="0"/>
    <xf numFmtId="166" fontId="20" fillId="0" borderId="0" pivotButton="0" quotePrefix="0" xfId="0"/>
    <xf numFmtId="168" fontId="20" fillId="0" borderId="0" pivotButton="0" quotePrefix="0" xfId="0"/>
    <xf numFmtId="165" fontId="20" fillId="0" borderId="0" pivotButton="0" quotePrefix="0" xfId="0"/>
    <xf numFmtId="165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Costos</author>
  </authors>
  <commentList>
    <comment ref="E11" authorId="0" shapeId="0">
      <text>
        <t>Presupuesto meta: dato no incluido en las cotizaciones. Ingresar para calcular el DELTA.</t>
      </text>
    </comment>
    <comment ref="I11" authorId="0" shapeId="0">
      <text>
        <t>Postor A: 1 glb x S/ 18,000.00.</t>
      </text>
    </comment>
    <comment ref="O14" authorId="0" shapeId="0">
      <text>
        <t>P.U. 33% sobre el Postor B.</t>
      </text>
    </comment>
    <comment ref="E18" authorId="0" shapeId="0">
      <text>
        <t>Presupuesto meta: dato no incluido en las cotizaciones. Ingresar para calcular el DELTA.</t>
      </text>
    </comment>
    <comment ref="I18" authorId="0" shapeId="0">
      <text>
        <t>Postor A: 120 dptos x S/ 900.00.</t>
      </text>
    </comment>
    <comment ref="E25" authorId="0" shapeId="0">
      <text>
        <t>Presupuesto meta: dato no incluido en las cotizaciones. Ingresar para calcular el DELTA.</t>
      </text>
    </comment>
  </commentList>
</comments>
</file>

<file path=xl/comments/comment2.xml><?xml version="1.0" encoding="utf-8"?>
<comments xmlns="http://schemas.openxmlformats.org/spreadsheetml/2006/main">
  <authors>
    <author>Costos</author>
  </authors>
  <commentList>
    <comment ref="Q9" authorId="0" shapeId="0">
      <text>
        <t>Descuento del postor (editable para simular negociación).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002060"/>
    <outlinePr summaryBelow="1" summaryRight="1"/>
    <pageSetUpPr/>
  </sheetPr>
  <dimension ref="B2:R51"/>
  <sheetViews>
    <sheetView showGridLines="0" zoomScale="60"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3" customWidth="1" min="1" max="1"/>
    <col width="107.6" customWidth="1" min="2" max="2"/>
    <col width="7.6" customWidth="1" min="3" max="3"/>
    <col width="13.2" customWidth="1" min="4" max="4"/>
    <col width="17.1" customWidth="1" min="5" max="5"/>
    <col width="29.3" customWidth="1" min="6" max="6"/>
    <col width="4.1" customWidth="1" min="7" max="7"/>
    <col width="13" customWidth="1" min="8" max="8"/>
    <col width="22" customWidth="1" min="9" max="9"/>
    <col width="34" customWidth="1" min="10" max="10"/>
    <col width="13" customWidth="1" min="11" max="11"/>
    <col width="22" customWidth="1" min="12" max="12"/>
    <col width="34" customWidth="1" min="13" max="13"/>
    <col width="13" customWidth="1" min="14" max="14"/>
    <col width="22" customWidth="1" min="15" max="15"/>
    <col width="34" customWidth="1" min="16" max="16"/>
    <col width="22" customWidth="1" min="17" max="17"/>
    <col width="34" customWidth="1" min="18" max="18"/>
  </cols>
  <sheetData>
    <row r="2">
      <c r="B2" s="1" t="inlineStr">
        <is>
          <t>OBRA: EDIFICIO MULTIFAMILIAR EJEMPLO - TORRE 1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B3" s="3" t="inlineStr">
        <is>
          <t>COMPARATIVO - SISTEMA DE INSTALACIONES DE GAS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B4" s="4" t="inlineStr">
        <is>
          <t>FECHA: 26 DE OCTUBRE DEL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</row>
    <row r="6">
      <c r="B6" s="5" t="inlineStr">
        <is>
          <t>PRESUPUESTO META</t>
        </is>
      </c>
      <c r="C6" s="6" t="n"/>
      <c r="D6" s="6" t="n"/>
      <c r="E6" s="6" t="n"/>
      <c r="F6" s="6" t="n"/>
      <c r="G6" s="2" t="n"/>
      <c r="H6" s="7" t="inlineStr">
        <is>
          <t>POSTOR A S.A.C.</t>
        </is>
      </c>
      <c r="I6" s="8" t="n"/>
      <c r="J6" s="8" t="n"/>
      <c r="K6" s="7" t="inlineStr">
        <is>
          <t>POSTOR B S.A.C.</t>
        </is>
      </c>
      <c r="L6" s="8" t="n"/>
      <c r="M6" s="8" t="n"/>
      <c r="N6" s="7" t="inlineStr">
        <is>
          <t>POSTOR C S.A.C.</t>
        </is>
      </c>
      <c r="O6" s="8" t="n"/>
      <c r="P6" s="8" t="n"/>
      <c r="Q6" s="8" t="n"/>
      <c r="R6" s="8" t="n"/>
    </row>
    <row r="7" ht="35.25" customHeight="1">
      <c r="B7" s="5" t="inlineStr">
        <is>
          <t>Descripción</t>
        </is>
      </c>
      <c r="C7" s="5" t="inlineStr">
        <is>
          <t>Unid</t>
        </is>
      </c>
      <c r="D7" s="5" t="inlineStr">
        <is>
          <t xml:space="preserve">Metrado </t>
        </is>
      </c>
      <c r="E7" s="5" t="inlineStr">
        <is>
          <t>P.Unitario
 (S/)</t>
        </is>
      </c>
      <c r="F7" s="5" t="inlineStr">
        <is>
          <t>P.Parcial
 (S/)</t>
        </is>
      </c>
      <c r="G7" s="2" t="n"/>
      <c r="H7" s="9" t="inlineStr">
        <is>
          <t>Cant.</t>
        </is>
      </c>
      <c r="I7" s="9" t="inlineStr">
        <is>
          <t>P.Unitario (S/)</t>
        </is>
      </c>
      <c r="J7" s="9" t="inlineStr">
        <is>
          <t>P.Parcial (S/)</t>
        </is>
      </c>
      <c r="K7" s="9" t="inlineStr">
        <is>
          <t>Cant.</t>
        </is>
      </c>
      <c r="L7" s="9" t="inlineStr">
        <is>
          <t>P.Unitario (S/)</t>
        </is>
      </c>
      <c r="M7" s="9" t="inlineStr">
        <is>
          <t>P.Parcial (S/)</t>
        </is>
      </c>
      <c r="N7" s="9" t="inlineStr">
        <is>
          <t>Cant.</t>
        </is>
      </c>
      <c r="O7" s="9" t="inlineStr">
        <is>
          <t>P.Unitario (S/)</t>
        </is>
      </c>
      <c r="P7" s="9" t="inlineStr">
        <is>
          <t>P.Parcial (S/)</t>
        </is>
      </c>
      <c r="Q7" s="9" t="inlineStr">
        <is>
          <t>P.Unitario (S/) INC DSCTO 5.00%</t>
        </is>
      </c>
      <c r="R7" s="9" t="inlineStr">
        <is>
          <t>P.Parcial (S/) INC DSCTO 5.00%</t>
        </is>
      </c>
    </row>
    <row r="9">
      <c r="B9" s="10" t="inlineStr">
        <is>
          <t>INSTALACIONES DE GAS</t>
        </is>
      </c>
      <c r="C9" s="10" t="n"/>
      <c r="D9" s="10" t="n"/>
      <c r="E9" s="10" t="n"/>
      <c r="F9" s="11">
        <f>SUM(F11,F18,F25)</f>
        <v/>
      </c>
      <c r="H9" s="10" t="n"/>
      <c r="I9" s="10" t="n"/>
      <c r="J9" s="11">
        <f>SUM(J11,J18,J25)</f>
        <v/>
      </c>
      <c r="K9" s="10" t="n"/>
      <c r="L9" s="10" t="n"/>
      <c r="M9" s="11">
        <f>SUM(M11,M18,M25)</f>
        <v/>
      </c>
      <c r="N9" s="10" t="n"/>
      <c r="O9" s="10" t="n"/>
      <c r="P9" s="11">
        <f>SUM(P11,P18,P25)</f>
        <v/>
      </c>
      <c r="Q9" s="12" t="n">
        <v>0.05</v>
      </c>
      <c r="R9" s="11">
        <f>SUM(R11,R18,R25)</f>
        <v/>
      </c>
    </row>
    <row r="11" ht="17.4" customHeight="1">
      <c r="B11" s="13" t="inlineStr">
        <is>
          <t>INSTALACION EN LA RED MONTANTE</t>
        </is>
      </c>
      <c r="C11" s="14" t="inlineStr">
        <is>
          <t>glb</t>
        </is>
      </c>
      <c r="D11" s="13" t="n"/>
      <c r="E11" s="15" t="n"/>
      <c r="F11" s="16">
        <f>SUM(F13:F17)</f>
        <v/>
      </c>
      <c r="H11" s="17" t="n">
        <v>1</v>
      </c>
      <c r="I11" s="18" t="n">
        <v>18000</v>
      </c>
      <c r="J11" s="19">
        <f>I11*H11</f>
        <v/>
      </c>
      <c r="K11" s="13" t="n"/>
      <c r="L11" s="13" t="n"/>
      <c r="M11" s="19">
        <f>SUM(M13:M17)</f>
        <v/>
      </c>
      <c r="N11" s="13" t="n"/>
      <c r="O11" s="13" t="n"/>
      <c r="P11" s="19">
        <f>SUM(P13:P17)</f>
        <v/>
      </c>
      <c r="Q11" s="13" t="n"/>
      <c r="R11" s="19">
        <f>SUM(R13:R17)</f>
        <v/>
      </c>
    </row>
    <row r="12" ht="6" customHeight="1"/>
    <row r="13" ht="17.4" customHeight="1">
      <c r="B13" s="20" t="inlineStr">
        <is>
          <t>Tubería Cu tipo L 3/4" vertical en ducto técnico</t>
        </is>
      </c>
      <c r="C13" s="2" t="inlineStr">
        <is>
          <t>m</t>
        </is>
      </c>
      <c r="D13" s="21" t="n"/>
      <c r="E13" s="22" t="n"/>
      <c r="F13" s="22">
        <f>E13*D13</f>
        <v/>
      </c>
      <c r="H13" s="23" t="inlineStr">
        <is>
          <t>Precio global de la montante (1 glb x S/ 18,000.00): incluye tubería de cobre, válvulas y prueba de hermeticidad, sin desagregar.</t>
        </is>
      </c>
      <c r="K13" s="21" t="n">
        <v>30</v>
      </c>
      <c r="L13" s="24" t="n">
        <v>90</v>
      </c>
      <c r="M13" s="24">
        <f>L13*K13</f>
        <v/>
      </c>
      <c r="N13" s="21" t="n">
        <v>25</v>
      </c>
      <c r="O13" s="24" t="n">
        <v>110</v>
      </c>
      <c r="P13" s="24">
        <f>O13*N13</f>
        <v/>
      </c>
      <c r="Q13" s="24">
        <f>O13*(1-$Q$9)</f>
        <v/>
      </c>
      <c r="R13" s="24">
        <f>Q13*N13</f>
        <v/>
      </c>
    </row>
    <row r="14" ht="17.4" customHeight="1">
      <c r="B14" s="20" t="inlineStr">
        <is>
          <t>Tubería Cu tipo L 1" vertical en ducto técnico</t>
        </is>
      </c>
      <c r="C14" s="2" t="inlineStr">
        <is>
          <t>m</t>
        </is>
      </c>
      <c r="D14" s="21" t="n"/>
      <c r="E14" s="22" t="n"/>
      <c r="F14" s="22">
        <f>E14*D14</f>
        <v/>
      </c>
      <c r="K14" s="21" t="n">
        <v>40</v>
      </c>
      <c r="L14" s="24" t="n">
        <v>105</v>
      </c>
      <c r="M14" s="24">
        <f>L14*K14</f>
        <v/>
      </c>
      <c r="N14" s="25" t="n">
        <v>40</v>
      </c>
      <c r="O14" s="26" t="n">
        <v>140</v>
      </c>
      <c r="P14" s="26">
        <f>O14*N14</f>
        <v/>
      </c>
      <c r="Q14" s="26">
        <f>O14*(1-$Q$9)</f>
        <v/>
      </c>
      <c r="R14" s="26">
        <f>Q14*N14</f>
        <v/>
      </c>
    </row>
    <row r="15" ht="17.4" customHeight="1">
      <c r="B15" s="2" t="inlineStr">
        <is>
          <t>Válvula de corte general de montante</t>
        </is>
      </c>
      <c r="C15" s="2" t="inlineStr">
        <is>
          <t>und</t>
        </is>
      </c>
      <c r="D15" s="21" t="n"/>
      <c r="E15" s="22" t="n"/>
      <c r="F15" s="22">
        <f>E15*D15</f>
        <v/>
      </c>
      <c r="N15" s="21" t="n">
        <v>1</v>
      </c>
      <c r="O15" s="24" t="n">
        <v>120</v>
      </c>
      <c r="P15" s="24">
        <f>O15*N15</f>
        <v/>
      </c>
      <c r="Q15" s="24">
        <f>O15*(1-$Q$9)</f>
        <v/>
      </c>
      <c r="R15" s="24">
        <f>Q15*N15</f>
        <v/>
      </c>
    </row>
    <row r="16" ht="17.4" customHeight="1">
      <c r="B16" s="2" t="inlineStr">
        <is>
          <t>Pintura para tubería Cu en ducto técnico</t>
        </is>
      </c>
      <c r="C16" s="2" t="inlineStr">
        <is>
          <t>glb</t>
        </is>
      </c>
      <c r="D16" s="21" t="n"/>
      <c r="E16" s="22" t="n"/>
      <c r="F16" s="22">
        <f>E16*D16</f>
        <v/>
      </c>
      <c r="K16" s="21" t="n">
        <v>1</v>
      </c>
      <c r="L16" s="24" t="n">
        <v>600</v>
      </c>
      <c r="M16" s="24">
        <f>L16*K16</f>
        <v/>
      </c>
    </row>
    <row r="17" ht="17.4" customHeight="1">
      <c r="B17" s="20" t="inlineStr">
        <is>
          <t>Prueba de hermeticidad de línea montante</t>
        </is>
      </c>
      <c r="C17" s="2" t="inlineStr">
        <is>
          <t>glb</t>
        </is>
      </c>
      <c r="D17" s="21" t="n"/>
      <c r="E17" s="22" t="n"/>
      <c r="F17" s="22">
        <f>E17*D17</f>
        <v/>
      </c>
      <c r="K17" s="21" t="n">
        <v>1</v>
      </c>
      <c r="L17" s="24" t="n">
        <v>500</v>
      </c>
      <c r="M17" s="24">
        <f>L17*K17</f>
        <v/>
      </c>
      <c r="N17" s="21" t="n">
        <v>1</v>
      </c>
      <c r="O17" s="24" t="n">
        <v>650</v>
      </c>
      <c r="P17" s="24">
        <f>O17*N17</f>
        <v/>
      </c>
      <c r="Q17" s="24">
        <f>O17*(1-$Q$9)</f>
        <v/>
      </c>
      <c r="R17" s="24">
        <f>Q17*N17</f>
        <v/>
      </c>
    </row>
    <row r="18" ht="17.4" customHeight="1">
      <c r="B18" s="13" t="inlineStr">
        <is>
          <t>INSTALACION DE LAS REDES INTERNAS</t>
        </is>
      </c>
      <c r="C18" s="14" t="inlineStr">
        <is>
          <t>dpto</t>
        </is>
      </c>
      <c r="D18" s="13" t="n"/>
      <c r="E18" s="15" t="n"/>
      <c r="F18" s="16">
        <f>SUM(F20:F24)</f>
        <v/>
      </c>
      <c r="H18" s="17" t="n">
        <v>120</v>
      </c>
      <c r="I18" s="18" t="n">
        <v>900</v>
      </c>
      <c r="J18" s="19">
        <f>I18*H18</f>
        <v/>
      </c>
      <c r="K18" s="13" t="n"/>
      <c r="L18" s="13" t="n"/>
      <c r="M18" s="19">
        <f>SUM(M20:M24)</f>
        <v/>
      </c>
      <c r="N18" s="13" t="n"/>
      <c r="O18" s="13" t="n"/>
      <c r="P18" s="19">
        <f>SUM(P20:P24)</f>
        <v/>
      </c>
      <c r="Q18" s="13" t="n"/>
      <c r="R18" s="19">
        <f>SUM(R20:R24)</f>
        <v/>
      </c>
    </row>
    <row r="19" ht="6" customHeight="1"/>
    <row r="20" ht="17.4" customHeight="1">
      <c r="B20" s="20" t="inlineStr">
        <is>
          <t>Tubería PE-AL-PE 2025 empotrada en losa y muro</t>
        </is>
      </c>
      <c r="C20" s="2" t="inlineStr">
        <is>
          <t>m</t>
        </is>
      </c>
      <c r="D20" s="21" t="n"/>
      <c r="E20" s="22" t="n"/>
      <c r="F20" s="22">
        <f>E20*D20</f>
        <v/>
      </c>
      <c r="H20" s="23" t="inlineStr">
        <is>
          <t>Precio global por departamento (120 und x S/ 900.00): incluye tuberías PE-AL-PE, salidas, válvulas y pruebas, sin desagregar.</t>
        </is>
      </c>
      <c r="K20" s="21" t="n">
        <v>2000</v>
      </c>
      <c r="L20" s="24" t="n">
        <v>20</v>
      </c>
      <c r="M20" s="24">
        <f>L20*K20</f>
        <v/>
      </c>
      <c r="N20" s="21" t="n">
        <v>2300</v>
      </c>
      <c r="O20" s="24" t="n">
        <v>24</v>
      </c>
      <c r="P20" s="24">
        <f>O20*N20</f>
        <v/>
      </c>
      <c r="Q20" s="24">
        <f>O20*(1-$Q$9)</f>
        <v/>
      </c>
      <c r="R20" s="24">
        <f>Q20*N20</f>
        <v/>
      </c>
    </row>
    <row r="21" ht="17.4" customHeight="1">
      <c r="B21" s="20" t="inlineStr">
        <is>
          <t>Tubería PE-AL-PE 1216 empotrada en losa y muro</t>
        </is>
      </c>
      <c r="C21" s="2" t="inlineStr">
        <is>
          <t>m</t>
        </is>
      </c>
      <c r="D21" s="21" t="n"/>
      <c r="E21" s="22" t="n"/>
      <c r="F21" s="22">
        <f>E21*D21</f>
        <v/>
      </c>
      <c r="K21" s="21" t="n">
        <v>2600</v>
      </c>
      <c r="L21" s="24" t="n">
        <v>18</v>
      </c>
      <c r="M21" s="24">
        <f>L21*K21</f>
        <v/>
      </c>
      <c r="N21" s="21" t="n">
        <v>2600</v>
      </c>
      <c r="O21" s="24" t="n">
        <v>19</v>
      </c>
      <c r="P21" s="24">
        <f>O21*N21</f>
        <v/>
      </c>
      <c r="Q21" s="24">
        <f>O21*(1-$Q$9)</f>
        <v/>
      </c>
      <c r="R21" s="24">
        <f>Q21*N21</f>
        <v/>
      </c>
    </row>
    <row r="22" ht="17.4" customHeight="1">
      <c r="B22" s="20" t="inlineStr">
        <is>
          <t>Salidas para terma, cocina y horno</t>
        </is>
      </c>
      <c r="C22" s="2" t="inlineStr">
        <is>
          <t>pto</t>
        </is>
      </c>
      <c r="D22" s="21" t="n"/>
      <c r="E22" s="22" t="n"/>
      <c r="F22" s="22">
        <f>E22*D22</f>
        <v/>
      </c>
      <c r="K22" s="21" t="n">
        <v>360</v>
      </c>
      <c r="L22" s="24" t="n">
        <v>32</v>
      </c>
      <c r="M22" s="24">
        <f>L22*K22</f>
        <v/>
      </c>
      <c r="N22" s="21" t="n">
        <v>360</v>
      </c>
      <c r="O22" s="24" t="n">
        <v>30</v>
      </c>
      <c r="P22" s="24">
        <f>O22*N22</f>
        <v/>
      </c>
      <c r="Q22" s="24">
        <f>O22*(1-$Q$9)</f>
        <v/>
      </c>
      <c r="R22" s="24">
        <f>Q22*N22</f>
        <v/>
      </c>
    </row>
    <row r="23" ht="17.4" customHeight="1">
      <c r="B23" s="20" t="inlineStr">
        <is>
          <t>Válvula de corte de artefacto</t>
        </is>
      </c>
      <c r="C23" s="2" t="inlineStr">
        <is>
          <t>und</t>
        </is>
      </c>
      <c r="D23" s="21" t="n"/>
      <c r="E23" s="22" t="n"/>
      <c r="F23" s="22">
        <f>E23*D23</f>
        <v/>
      </c>
      <c r="K23" s="21" t="n">
        <v>240</v>
      </c>
      <c r="L23" s="24" t="n">
        <v>33</v>
      </c>
      <c r="M23" s="24">
        <f>L23*K23</f>
        <v/>
      </c>
      <c r="N23" s="21" t="n">
        <v>240</v>
      </c>
      <c r="O23" s="24" t="n">
        <v>35</v>
      </c>
      <c r="P23" s="24">
        <f>O23*N23</f>
        <v/>
      </c>
      <c r="Q23" s="24">
        <f>O23*(1-$Q$9)</f>
        <v/>
      </c>
      <c r="R23" s="24">
        <f>Q23*N23</f>
        <v/>
      </c>
    </row>
    <row r="24" ht="17.4" customHeight="1">
      <c r="B24" s="20" t="inlineStr">
        <is>
          <t>Prueba de hermeticidad departamentos</t>
        </is>
      </c>
      <c r="C24" s="2" t="inlineStr">
        <is>
          <t>und</t>
        </is>
      </c>
      <c r="D24" s="21" t="n"/>
      <c r="E24" s="22" t="n"/>
      <c r="F24" s="22">
        <f>E24*D24</f>
        <v/>
      </c>
      <c r="K24" s="21" t="n">
        <v>120</v>
      </c>
      <c r="L24" s="24" t="n">
        <v>45</v>
      </c>
      <c r="M24" s="24">
        <f>L24*K24</f>
        <v/>
      </c>
      <c r="N24" s="21" t="n">
        <v>120</v>
      </c>
      <c r="O24" s="24" t="n">
        <v>45</v>
      </c>
      <c r="P24" s="24">
        <f>O24*N24</f>
        <v/>
      </c>
      <c r="Q24" s="24">
        <f>O24*(1-$Q$9)</f>
        <v/>
      </c>
      <c r="R24" s="24">
        <f>Q24*N24</f>
        <v/>
      </c>
    </row>
    <row r="25" ht="17.4" customHeight="1">
      <c r="B25" s="13" t="inlineStr">
        <is>
          <t>CENTRO DE MEDICIÓN Y GABINETES</t>
        </is>
      </c>
      <c r="C25" s="14" t="inlineStr">
        <is>
          <t>glb</t>
        </is>
      </c>
      <c r="D25" s="13" t="n"/>
      <c r="E25" s="15" t="n"/>
      <c r="F25" s="16">
        <f>SUM(F27:F28)</f>
        <v/>
      </c>
      <c r="H25" s="13" t="n"/>
      <c r="I25" s="13" t="n"/>
      <c r="J25" s="19">
        <f>SUM(J27:J28)</f>
        <v/>
      </c>
      <c r="K25" s="13" t="n"/>
      <c r="L25" s="13" t="n"/>
      <c r="M25" s="19">
        <f>SUM(M27:M28)</f>
        <v/>
      </c>
      <c r="N25" s="13" t="n"/>
      <c r="O25" s="13" t="n"/>
      <c r="P25" s="19">
        <f>SUM(P27:P28)</f>
        <v/>
      </c>
      <c r="Q25" s="13" t="n"/>
      <c r="R25" s="19">
        <f>SUM(R27:R28)</f>
        <v/>
      </c>
    </row>
    <row r="26" ht="6" customHeight="1"/>
    <row r="27" ht="17.4" customHeight="1">
      <c r="B27" s="20" t="inlineStr">
        <is>
          <t>Suministro e instalación de gabinetes</t>
        </is>
      </c>
      <c r="C27" s="2" t="inlineStr">
        <is>
          <t>und</t>
        </is>
      </c>
      <c r="D27" s="21" t="n"/>
      <c r="E27" s="22" t="n"/>
      <c r="F27" s="22">
        <f>E27*D27</f>
        <v/>
      </c>
      <c r="H27" s="23" t="inlineStr">
        <is>
          <t>No especifica gabinetes ni meter conector (verificar alcance).</t>
        </is>
      </c>
      <c r="K27" s="21" t="n">
        <v>2</v>
      </c>
      <c r="L27" s="24" t="n">
        <v>160</v>
      </c>
      <c r="M27" s="24">
        <f>L27*K27</f>
        <v/>
      </c>
      <c r="N27" s="21" t="n">
        <v>3</v>
      </c>
      <c r="O27" s="24" t="n">
        <v>180</v>
      </c>
      <c r="P27" s="24">
        <f>O27*N27</f>
        <v/>
      </c>
      <c r="Q27" s="24">
        <f>O27*(1-$Q$9)</f>
        <v/>
      </c>
      <c r="R27" s="24">
        <f>Q27*N27</f>
        <v/>
      </c>
    </row>
    <row r="28" ht="17.4" customHeight="1">
      <c r="B28" s="2" t="inlineStr">
        <is>
          <t>Meter conector para gabinetes</t>
        </is>
      </c>
      <c r="C28" s="2" t="inlineStr">
        <is>
          <t>und</t>
        </is>
      </c>
      <c r="D28" s="21" t="n"/>
      <c r="E28" s="22" t="n"/>
      <c r="F28" s="22">
        <f>E28*D28</f>
        <v/>
      </c>
      <c r="K28" s="21" t="n">
        <v>120</v>
      </c>
      <c r="L28" s="24" t="n">
        <v>17</v>
      </c>
      <c r="M28" s="24">
        <f>L28*K28</f>
        <v/>
      </c>
      <c r="N28" s="27" t="inlineStr">
        <is>
          <t>Incluido en su partida de gabinetes (según su texto).</t>
        </is>
      </c>
    </row>
    <row r="32">
      <c r="D32" s="28" t="inlineStr">
        <is>
          <t>PARCIAL (SIN IGV)</t>
        </is>
      </c>
      <c r="E32" s="28" t="n"/>
      <c r="F32" s="29">
        <f>F9</f>
        <v/>
      </c>
      <c r="J32" s="30">
        <f>J9</f>
        <v/>
      </c>
      <c r="M32" s="30">
        <f>M9</f>
        <v/>
      </c>
      <c r="R32" s="30">
        <f>R9</f>
        <v/>
      </c>
    </row>
    <row r="33">
      <c r="D33" s="28" t="inlineStr">
        <is>
          <t>GASTOS GENERALES</t>
        </is>
      </c>
      <c r="E33" s="28" t="n"/>
      <c r="F33" s="29" t="n">
        <v>0</v>
      </c>
      <c r="J33" s="30" t="n">
        <v>0</v>
      </c>
      <c r="M33" s="30" t="n">
        <v>0</v>
      </c>
      <c r="R33" s="30" t="n">
        <v>0</v>
      </c>
    </row>
    <row r="34">
      <c r="D34" s="28" t="inlineStr">
        <is>
          <t>UTILIDADES</t>
        </is>
      </c>
      <c r="E34" s="28" t="n"/>
      <c r="F34" s="29" t="n">
        <v>0</v>
      </c>
      <c r="J34" s="30" t="n">
        <v>0</v>
      </c>
      <c r="M34" s="30" t="n">
        <v>0</v>
      </c>
      <c r="R34" s="30" t="n">
        <v>0</v>
      </c>
    </row>
    <row r="35">
      <c r="D35" s="28" t="inlineStr">
        <is>
          <t>SUBTOTAL (SIN IGV)</t>
        </is>
      </c>
      <c r="E35" s="28" t="n"/>
      <c r="F35" s="29">
        <f>SUM(F32:F34)</f>
        <v/>
      </c>
      <c r="J35" s="30">
        <f>SUM(J32:J34)</f>
        <v/>
      </c>
      <c r="M35" s="30">
        <f>SUM(M32:M34)</f>
        <v/>
      </c>
      <c r="R35" s="30">
        <f>SUM(R32:R34)</f>
        <v/>
      </c>
    </row>
    <row r="36">
      <c r="D36" s="28" t="inlineStr">
        <is>
          <t>IGV  (18%)</t>
        </is>
      </c>
      <c r="E36" s="28" t="n"/>
      <c r="F36" s="29">
        <f>+F35*0.18</f>
        <v/>
      </c>
      <c r="J36" s="30">
        <f>+J35*0.18</f>
        <v/>
      </c>
      <c r="M36" s="30">
        <f>+M35*0.18</f>
        <v/>
      </c>
      <c r="R36" s="30">
        <f>+R35*0.18</f>
        <v/>
      </c>
    </row>
    <row r="37">
      <c r="D37" s="28" t="inlineStr">
        <is>
          <t>TOTAL INC. IGV</t>
        </is>
      </c>
      <c r="E37" s="28" t="n"/>
      <c r="F37" s="29">
        <f>+F35+F36</f>
        <v/>
      </c>
      <c r="J37" s="30">
        <f>+J35+J36</f>
        <v/>
      </c>
      <c r="M37" s="31">
        <f>+M35+M36</f>
        <v/>
      </c>
      <c r="R37" s="26">
        <f>+R35+R36</f>
        <v/>
      </c>
    </row>
    <row r="39" ht="20.25" customHeight="1">
      <c r="B39" s="28" t="inlineStr">
        <is>
          <t>DELTA</t>
        </is>
      </c>
      <c r="H39" s="32">
        <f>IF($F$37=0,"Ingresar meta",$F$37-J37)</f>
        <v/>
      </c>
      <c r="I39" s="33" t="n"/>
      <c r="J39" s="33" t="n"/>
      <c r="K39" s="32">
        <f>IF($F$37=0,"Ingresar meta",$F$37-M37)</f>
        <v/>
      </c>
      <c r="L39" s="33" t="n"/>
      <c r="M39" s="33" t="n"/>
      <c r="N39" s="32">
        <f>IF($F$37=0,"Ingresar meta",$F$37-R37)</f>
        <v/>
      </c>
      <c r="O39" s="33" t="n"/>
      <c r="P39" s="33" t="n"/>
      <c r="Q39" s="33" t="n"/>
      <c r="R39" s="33" t="n"/>
    </row>
    <row r="40" ht="20.25" customHeight="1">
      <c r="B40" s="28" t="inlineStr">
        <is>
          <t>VARIACIÓN vs. OFERTA MÁS BAJA</t>
        </is>
      </c>
      <c r="H40" s="34">
        <f>J37/MIN($J$37,$M$37,$R$37)-1</f>
        <v/>
      </c>
      <c r="I40" s="33" t="n"/>
      <c r="J40" s="33" t="n"/>
      <c r="K40" s="34">
        <f>M37/MIN($J$37,$M$37,$R$37)-1</f>
        <v/>
      </c>
      <c r="L40" s="33" t="n"/>
      <c r="M40" s="33" t="n"/>
      <c r="N40" s="34">
        <f>R37/MIN($J$37,$M$37,$R$37)-1</f>
        <v/>
      </c>
      <c r="O40" s="33" t="n"/>
      <c r="P40" s="33" t="n"/>
      <c r="Q40" s="33" t="n"/>
      <c r="R40" s="33" t="n"/>
    </row>
    <row r="41" ht="20.25" customHeight="1">
      <c r="B41" s="28" t="inlineStr">
        <is>
          <t>COSTO POR DEPARTAMENTO (S/, SIN IGV)</t>
        </is>
      </c>
      <c r="H41" s="32">
        <f>J35/120</f>
        <v/>
      </c>
      <c r="I41" s="33" t="n"/>
      <c r="J41" s="33" t="n"/>
      <c r="K41" s="32">
        <f>M35/120</f>
        <v/>
      </c>
      <c r="L41" s="33" t="n"/>
      <c r="M41" s="33" t="n"/>
      <c r="N41" s="32">
        <f>R35/120</f>
        <v/>
      </c>
      <c r="O41" s="33" t="n"/>
      <c r="P41" s="33" t="n"/>
      <c r="Q41" s="33" t="n"/>
      <c r="R41" s="33" t="n"/>
    </row>
    <row r="42" ht="20.25" customHeight="1">
      <c r="B42" s="28" t="inlineStr">
        <is>
          <t>COSTO POR PUNTO DE CONSUMO (S/, SIN IGV)</t>
        </is>
      </c>
      <c r="H42" s="32">
        <f>J35/360</f>
        <v/>
      </c>
      <c r="I42" s="33" t="n"/>
      <c r="J42" s="33" t="n"/>
      <c r="K42" s="32">
        <f>M35/360</f>
        <v/>
      </c>
      <c r="L42" s="33" t="n"/>
      <c r="M42" s="33" t="n"/>
      <c r="N42" s="32">
        <f>R35/360</f>
        <v/>
      </c>
      <c r="O42" s="33" t="n"/>
      <c r="P42" s="33" t="n"/>
      <c r="Q42" s="33" t="n"/>
      <c r="R42" s="33" t="n"/>
    </row>
    <row r="43" ht="21.5" customHeight="1">
      <c r="F43" s="35" t="inlineStr">
        <is>
          <t>ADELANTO / TIPO DE GARANTIA</t>
        </is>
      </c>
      <c r="H43" s="36" t="inlineStr">
        <is>
          <t>No indica adelanto</t>
        </is>
      </c>
      <c r="I43" s="37" t="n"/>
      <c r="J43" s="37" t="n"/>
      <c r="K43" s="38" t="inlineStr">
        <is>
          <t>Adelanto 0%</t>
        </is>
      </c>
      <c r="L43" s="37" t="n"/>
      <c r="M43" s="37" t="n"/>
      <c r="N43" s="39" t="inlineStr">
        <is>
          <t>Adelanto 30% contra carta fianza</t>
        </is>
      </c>
      <c r="O43" s="37" t="n"/>
      <c r="P43" s="37" t="n"/>
      <c r="Q43" s="37" t="n"/>
      <c r="R43" s="37" t="n"/>
    </row>
    <row r="44" ht="21.5" customHeight="1">
      <c r="F44" s="35" t="inlineStr">
        <is>
          <t>FRECUENCIA DE VALORIZACIONES</t>
        </is>
      </c>
      <c r="H44" s="40" t="inlineStr">
        <is>
          <t>Valorizaciones quincenales</t>
        </is>
      </c>
      <c r="I44" s="37" t="n"/>
      <c r="J44" s="37" t="n"/>
      <c r="K44" s="40" t="inlineStr">
        <is>
          <t>Quincenal; pago a 15 días</t>
        </is>
      </c>
      <c r="L44" s="37" t="n"/>
      <c r="M44" s="37" t="n"/>
      <c r="N44" s="39" t="inlineStr">
        <is>
          <t>Mensual; pago a 7 días</t>
        </is>
      </c>
      <c r="O44" s="37" t="n"/>
      <c r="P44" s="37" t="n"/>
      <c r="Q44" s="37" t="n"/>
      <c r="R44" s="37" t="n"/>
    </row>
    <row r="45" ht="21.5" customHeight="1">
      <c r="F45" s="35" t="inlineStr">
        <is>
          <t>FONDO DE GARANTIA</t>
        </is>
      </c>
      <c r="H45" s="38" t="inlineStr">
        <is>
          <t>5% devuelto a los 12 meses</t>
        </is>
      </c>
      <c r="I45" s="37" t="n"/>
      <c r="J45" s="37" t="n"/>
      <c r="K45" s="38" t="inlineStr">
        <is>
          <t>5% devuelto a los 18 meses</t>
        </is>
      </c>
      <c r="L45" s="37" t="n"/>
      <c r="M45" s="37" t="n"/>
      <c r="N45" s="39" t="inlineStr">
        <is>
          <t>No acepta fondo de garantía</t>
        </is>
      </c>
      <c r="O45" s="37" t="n"/>
      <c r="P45" s="37" t="n"/>
      <c r="Q45" s="37" t="n"/>
      <c r="R45" s="37" t="n"/>
    </row>
    <row r="46" ht="52.5" customHeight="1">
      <c r="F46" s="35" t="inlineStr">
        <is>
          <t>CONTACTO MANO DE OBRA</t>
        </is>
      </c>
      <c r="H46" s="41" t="inlineStr">
        <is>
          <t>Empresa: POSTOR A S.A.C.
Contacto: (nombre)
Correo: ventas@postor-a.example</t>
        </is>
      </c>
      <c r="I46" s="37" t="n"/>
      <c r="J46" s="37" t="n"/>
      <c r="K46" s="41" t="inlineStr">
        <is>
          <t>Empresa: POSTOR B S.A.C.
Contacto: (nombre)
Correo: costos@postor-b.example</t>
        </is>
      </c>
      <c r="L46" s="37" t="n"/>
      <c r="M46" s="37" t="n"/>
      <c r="N46" s="41" t="inlineStr">
        <is>
          <t>Empresa: POSTOR C S.A.C.
Contacto: (nombre)
Correo: propuestas@postor-c.example</t>
        </is>
      </c>
      <c r="O46" s="37" t="n"/>
      <c r="P46" s="37" t="n"/>
      <c r="Q46" s="37" t="n"/>
      <c r="R46" s="37" t="n"/>
    </row>
    <row r="47" ht="52.5" customHeight="1">
      <c r="F47" s="35" t="inlineStr">
        <is>
          <t>CONSIDERACIONES:</t>
        </is>
      </c>
      <c r="H47" s="41" t="inlineStr">
        <is>
          <t>- Precio global por departamento y por montante, sin desagregar.
- No incluye rejillas de ventilación ni obra civil.</t>
        </is>
      </c>
      <c r="I47" s="37" t="n"/>
      <c r="J47" s="37" t="n"/>
      <c r="K47" s="41" t="inlineStr">
        <is>
          <t>- Presupuesto con metrados y P.U. desagregados.
- Incluye gabinetes y pintura de tubería de cobre.
- No incluye rejillas de ventilación ni arena y cemento.</t>
        </is>
      </c>
      <c r="L47" s="37" t="n"/>
      <c r="M47" s="37" t="n"/>
      <c r="N47" s="41" t="inlineStr">
        <is>
          <t>- Metrado de PE-AL-PE 2025 15% mayor que la base.
- Cotiza válvula de corte general de montante (no está en la base).
- No incluye pintura de tubería de cobre.</t>
        </is>
      </c>
      <c r="O47" s="37" t="n"/>
      <c r="P47" s="37" t="n"/>
      <c r="Q47" s="37" t="n"/>
      <c r="R47" s="37" t="n"/>
    </row>
    <row r="48" ht="21.5" customHeight="1">
      <c r="F48" s="35" t="inlineStr">
        <is>
          <t>N° DE OBRAS ACTUALES EN EJECUCION</t>
        </is>
      </c>
      <c r="H48" s="36" t="inlineStr">
        <is>
          <t>No indica</t>
        </is>
      </c>
      <c r="I48" s="37" t="n"/>
      <c r="J48" s="37" t="n"/>
      <c r="K48" s="36" t="inlineStr">
        <is>
          <t>Por confirmar</t>
        </is>
      </c>
      <c r="L48" s="37" t="n"/>
      <c r="M48" s="37" t="n"/>
      <c r="N48" s="40" t="inlineStr">
        <is>
          <t>4 obras en ejecución (según carta)</t>
        </is>
      </c>
      <c r="O48" s="37" t="n"/>
      <c r="P48" s="37" t="n"/>
      <c r="Q48" s="37" t="n"/>
      <c r="R48" s="37" t="n"/>
    </row>
    <row r="49" ht="21.5" customHeight="1">
      <c r="F49" s="35" t="inlineStr">
        <is>
          <t>VALIDEZ DE LA OFERTA</t>
        </is>
      </c>
      <c r="H49" s="39" t="inlineStr">
        <is>
          <t>10 días: vence pronto, confirmar vigencia</t>
        </is>
      </c>
      <c r="I49" s="37" t="n"/>
      <c r="J49" s="37" t="n"/>
      <c r="K49" s="36" t="inlineStr">
        <is>
          <t>No indica</t>
        </is>
      </c>
      <c r="L49" s="37" t="n"/>
      <c r="M49" s="37" t="n"/>
      <c r="N49" s="38" t="inlineStr">
        <is>
          <t>30 días</t>
        </is>
      </c>
      <c r="O49" s="37" t="n"/>
      <c r="P49" s="37" t="n"/>
      <c r="Q49" s="37" t="n"/>
      <c r="R49" s="37" t="n"/>
    </row>
    <row r="50" ht="21.5" customHeight="1">
      <c r="F50" s="35" t="inlineStr">
        <is>
          <t>PLAZO DE EJECUCION</t>
        </is>
      </c>
      <c r="H50" s="40" t="inlineStr">
        <is>
          <t>Según avance de obra</t>
        </is>
      </c>
      <c r="I50" s="37" t="n"/>
      <c r="J50" s="37" t="n"/>
      <c r="K50" s="40" t="inlineStr">
        <is>
          <t>Según cronograma de obra</t>
        </is>
      </c>
      <c r="L50" s="37" t="n"/>
      <c r="M50" s="37" t="n"/>
      <c r="N50" s="36" t="inlineStr">
        <is>
          <t>No indica</t>
        </is>
      </c>
      <c r="O50" s="37" t="n"/>
      <c r="P50" s="37" t="n"/>
      <c r="Q50" s="37" t="n"/>
      <c r="R50" s="37" t="n"/>
    </row>
    <row r="51" ht="21.5" customHeight="1">
      <c r="F51" s="35" t="inlineStr">
        <is>
          <t>GARANTIA DE LA INSTALACION</t>
        </is>
      </c>
      <c r="H51" s="39" t="inlineStr">
        <is>
          <t>2 años</t>
        </is>
      </c>
      <c r="I51" s="37" t="n"/>
      <c r="J51" s="37" t="n"/>
      <c r="K51" s="38" t="inlineStr">
        <is>
          <t>3 años</t>
        </is>
      </c>
      <c r="L51" s="37" t="n"/>
      <c r="M51" s="37" t="n"/>
      <c r="N51" s="38" t="inlineStr">
        <is>
          <t>3 años</t>
        </is>
      </c>
      <c r="O51" s="37" t="n"/>
      <c r="P51" s="37" t="n"/>
      <c r="Q51" s="37" t="n"/>
      <c r="R51" s="37" t="n"/>
    </row>
  </sheetData>
  <mergeCells count="56">
    <mergeCell ref="H49:J49"/>
    <mergeCell ref="K41:M41"/>
    <mergeCell ref="H46:J46"/>
    <mergeCell ref="K47:M47"/>
    <mergeCell ref="H51:J51"/>
    <mergeCell ref="K50:M50"/>
    <mergeCell ref="K44:M44"/>
    <mergeCell ref="K46:M46"/>
    <mergeCell ref="D34:E34"/>
    <mergeCell ref="K40:M40"/>
    <mergeCell ref="N41:R41"/>
    <mergeCell ref="N47:R47"/>
    <mergeCell ref="N45:R45"/>
    <mergeCell ref="N50:R50"/>
    <mergeCell ref="K43:M43"/>
    <mergeCell ref="D36:E36"/>
    <mergeCell ref="N51:R51"/>
    <mergeCell ref="H45:J45"/>
    <mergeCell ref="B39:F39"/>
    <mergeCell ref="N43:R43"/>
    <mergeCell ref="K42:M42"/>
    <mergeCell ref="B42:F42"/>
    <mergeCell ref="N46:R46"/>
    <mergeCell ref="H47:J47"/>
    <mergeCell ref="K39:M39"/>
    <mergeCell ref="D32:E32"/>
    <mergeCell ref="N42:R42"/>
    <mergeCell ref="K48:M48"/>
    <mergeCell ref="H13:J17"/>
    <mergeCell ref="H48:J48"/>
    <mergeCell ref="N39:R39"/>
    <mergeCell ref="N48:R48"/>
    <mergeCell ref="H42:J42"/>
    <mergeCell ref="N44:R44"/>
    <mergeCell ref="K6:M6"/>
    <mergeCell ref="D37:E37"/>
    <mergeCell ref="K49:M49"/>
    <mergeCell ref="B40:F40"/>
    <mergeCell ref="H43:J43"/>
    <mergeCell ref="N40:R40"/>
    <mergeCell ref="B6:F6"/>
    <mergeCell ref="H50:J50"/>
    <mergeCell ref="D33:E33"/>
    <mergeCell ref="H41:J41"/>
    <mergeCell ref="H44:J44"/>
    <mergeCell ref="N6:R6"/>
    <mergeCell ref="K45:M45"/>
    <mergeCell ref="H27:J28"/>
    <mergeCell ref="N49:R49"/>
    <mergeCell ref="H40:J40"/>
    <mergeCell ref="K51:M51"/>
    <mergeCell ref="H39:J39"/>
    <mergeCell ref="H20:J24"/>
    <mergeCell ref="B41:F41"/>
    <mergeCell ref="D35:E35"/>
    <mergeCell ref="H6:J6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T70"/>
  <sheetViews>
    <sheetView showGridLines="0" zoomScale="80" workbookViewId="0">
      <pane xSplit="6" ySplit="7" topLeftCell="G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6" customWidth="1" min="2" max="2"/>
    <col width="8" customWidth="1" min="3" max="3"/>
    <col width="11" customWidth="1" min="4" max="4"/>
    <col width="12" customWidth="1" min="5" max="5"/>
    <col width="15" customWidth="1" min="6" max="6"/>
    <col width="1.6" customWidth="1" min="7" max="7"/>
    <col width="11" customWidth="1" min="8" max="8"/>
    <col width="15" customWidth="1" min="9" max="9"/>
    <col width="18" customWidth="1" min="10" max="10"/>
    <col width="11" customWidth="1" min="11" max="11"/>
    <col width="15" customWidth="1" min="12" max="12"/>
    <col width="18" customWidth="1" min="13" max="13"/>
    <col width="11" customWidth="1" min="14" max="14"/>
    <col width="15" customWidth="1" min="15" max="15"/>
    <col width="18" customWidth="1" min="16" max="16"/>
    <col width="15" customWidth="1" min="17" max="17"/>
    <col width="18" customWidth="1" min="18" max="18"/>
    <col width="1.6" customWidth="1" min="19" max="19"/>
    <col width="80" customWidth="1" min="20" max="20"/>
  </cols>
  <sheetData>
    <row r="2">
      <c r="B2" s="42" t="inlineStr">
        <is>
          <t>OBRA: EDIFICIO MULTIFAMILIAR EJEMPLO - TORRE 1</t>
        </is>
      </c>
    </row>
    <row r="3">
      <c r="B3" s="4" t="inlineStr">
        <is>
          <t>COMPARATIVO - SISTEMA DE INSTALACIONES DE GAS</t>
        </is>
      </c>
    </row>
    <row r="4">
      <c r="B4" s="43" t="inlineStr">
        <is>
          <t>FECHA: 26 DE OCTUBRE DEL 2026</t>
        </is>
      </c>
    </row>
    <row r="6">
      <c r="B6" s="44" t="inlineStr">
        <is>
          <t>PRESUPUESTO META</t>
        </is>
      </c>
      <c r="C6" s="45" t="n"/>
      <c r="D6" s="45" t="n"/>
      <c r="E6" s="45" t="n"/>
      <c r="F6" s="45" t="n"/>
      <c r="H6" s="46" t="inlineStr">
        <is>
          <t>POSTOR A S.A.C.</t>
        </is>
      </c>
      <c r="I6" s="33" t="n"/>
      <c r="J6" s="33" t="n"/>
      <c r="K6" s="47" t="inlineStr">
        <is>
          <t>POSTOR B S.A.C.</t>
        </is>
      </c>
      <c r="L6" s="48" t="n"/>
      <c r="M6" s="48" t="n"/>
      <c r="N6" s="49" t="inlineStr">
        <is>
          <t>POSTOR C S.A.C.</t>
        </is>
      </c>
      <c r="O6" s="50" t="n"/>
      <c r="P6" s="50" t="n"/>
      <c r="Q6" s="50" t="n"/>
      <c r="R6" s="50" t="n"/>
      <c r="T6" s="44" t="inlineStr">
        <is>
          <t>OBSERVACIONES / MOTIVO DEL RESALTADO</t>
        </is>
      </c>
    </row>
    <row r="7" ht="45" customHeight="1">
      <c r="B7" s="44" t="inlineStr">
        <is>
          <t>Descripción</t>
        </is>
      </c>
      <c r="C7" s="44" t="inlineStr">
        <is>
          <t>Unid</t>
        </is>
      </c>
      <c r="D7" s="44" t="inlineStr">
        <is>
          <t xml:space="preserve">Metrado </t>
        </is>
      </c>
      <c r="E7" s="44" t="inlineStr">
        <is>
          <t>P.Unitario
 (S/)</t>
        </is>
      </c>
      <c r="F7" s="44" t="inlineStr">
        <is>
          <t>P.Parcial
 (S/)</t>
        </is>
      </c>
      <c r="H7" s="46" t="inlineStr">
        <is>
          <t>Cant.</t>
        </is>
      </c>
      <c r="I7" s="46" t="inlineStr">
        <is>
          <t>P.Unitario (S/)</t>
        </is>
      </c>
      <c r="J7" s="46" t="inlineStr">
        <is>
          <t>P.Parcial (S/)</t>
        </is>
      </c>
      <c r="K7" s="47" t="inlineStr">
        <is>
          <t>Cant.</t>
        </is>
      </c>
      <c r="L7" s="47" t="inlineStr">
        <is>
          <t>P.Unitario (S/)</t>
        </is>
      </c>
      <c r="M7" s="47" t="inlineStr">
        <is>
          <t>P.Parcial (S/)</t>
        </is>
      </c>
      <c r="N7" s="49" t="inlineStr">
        <is>
          <t>Cant.</t>
        </is>
      </c>
      <c r="O7" s="49" t="inlineStr">
        <is>
          <t>P.Unitario (S/)</t>
        </is>
      </c>
      <c r="P7" s="49" t="inlineStr">
        <is>
          <t>P.Parcial (S/)</t>
        </is>
      </c>
      <c r="Q7" s="49" t="inlineStr">
        <is>
          <t>P.Unitario (S/) INC DSCTO 5.00%</t>
        </is>
      </c>
      <c r="R7" s="49" t="inlineStr">
        <is>
          <t>P.Parcial (S/) INC DSCTO 5.00%</t>
        </is>
      </c>
    </row>
    <row r="9">
      <c r="B9" s="51" t="inlineStr">
        <is>
          <t>INSTALACIONES DE GAS</t>
        </is>
      </c>
      <c r="C9" s="51" t="n"/>
      <c r="D9" s="51" t="n"/>
      <c r="E9" s="51" t="n"/>
      <c r="F9" s="51">
        <f>SUM(F11,F18,F25)</f>
        <v/>
      </c>
      <c r="G9" s="52" t="n"/>
      <c r="H9" s="51" t="n"/>
      <c r="I9" s="51" t="n"/>
      <c r="J9" s="51">
        <f>SUM(J11,J18,J25)</f>
        <v/>
      </c>
      <c r="K9" s="51" t="n"/>
      <c r="L9" s="51" t="n"/>
      <c r="M9" s="51">
        <f>SUM(M11,M18,M25)</f>
        <v/>
      </c>
      <c r="N9" s="51" t="n"/>
      <c r="O9" s="51" t="n"/>
      <c r="P9" s="51">
        <f>SUM(P11,P18,P25)</f>
        <v/>
      </c>
      <c r="Q9" s="53" t="n">
        <v>0.05</v>
      </c>
      <c r="R9" s="51">
        <f>SUM(R11,R18,R25)</f>
        <v/>
      </c>
    </row>
    <row r="11">
      <c r="B11" s="54" t="inlineStr">
        <is>
          <t>INSTALACION EN LA RED MONTANTE</t>
        </is>
      </c>
      <c r="C11" s="54" t="n"/>
      <c r="D11" s="55" t="n"/>
      <c r="E11" s="55" t="n"/>
      <c r="F11" s="55">
        <f>SUM(F12:F17)</f>
        <v/>
      </c>
      <c r="G11" s="52" t="n"/>
      <c r="H11" s="55" t="n"/>
      <c r="I11" s="55" t="n"/>
      <c r="J11" s="55">
        <f>SUM(J12:J17)</f>
        <v/>
      </c>
      <c r="K11" s="55" t="n"/>
      <c r="L11" s="55" t="n"/>
      <c r="M11" s="55">
        <f>SUM(M12:M17)</f>
        <v/>
      </c>
      <c r="N11" s="55" t="n"/>
      <c r="O11" s="55" t="n"/>
      <c r="P11" s="55">
        <f>SUM(P12:P17)</f>
        <v/>
      </c>
      <c r="Q11" s="55" t="n"/>
      <c r="R11" s="55">
        <f>SUM(R12:R17)</f>
        <v/>
      </c>
    </row>
    <row r="12" ht="43" customHeight="1">
      <c r="B12" s="56" t="inlineStr">
        <is>
          <t>INSTALACION EN LA RED MONTANTE - PRECIO GLOBAL POSTOR A</t>
        </is>
      </c>
      <c r="C12" s="56" t="inlineStr">
        <is>
          <t>glb</t>
        </is>
      </c>
      <c r="D12" s="56" t="n"/>
      <c r="E12" s="56" t="n"/>
      <c r="F12" s="57">
        <f>PRODUCT(D12,E12)</f>
        <v/>
      </c>
      <c r="H12" s="58" t="n">
        <v>1</v>
      </c>
      <c r="I12" s="59" t="n">
        <v>18000</v>
      </c>
      <c r="J12" s="59">
        <f>I12*H12</f>
        <v/>
      </c>
      <c r="T12" s="60" t="inlineStr">
        <is>
          <t>GRIS: Partida GLOBAL de Postor A. Precio global de la montante (1 glb x S/ 18,000.00): incluye tubería de cobre, válvulas y prueba de hermeticidad, sin desagregar. Comparar por SUBTOTAL del capítulo.</t>
        </is>
      </c>
    </row>
    <row r="13" ht="30" customHeight="1">
      <c r="B13" s="61" t="inlineStr">
        <is>
          <t>Tubería Cu tipo L 3/4" vertical en ducto técnico</t>
        </is>
      </c>
      <c r="C13" s="61" t="inlineStr">
        <is>
          <t>m</t>
        </is>
      </c>
      <c r="D13" s="61" t="n"/>
      <c r="E13" s="59" t="n"/>
      <c r="F13" s="59">
        <f>PRODUCT(D13,E13)</f>
        <v/>
      </c>
      <c r="K13" s="58">
        <f>'POSTOR B'!E7</f>
        <v/>
      </c>
      <c r="L13" s="59">
        <f>IFERROR(('POSTOR B'!G7)/K13,0)</f>
        <v/>
      </c>
      <c r="M13" s="59">
        <f>K13*L13</f>
        <v/>
      </c>
      <c r="N13" s="62">
        <f>'POSTOR C'!E6</f>
        <v/>
      </c>
      <c r="O13" s="59">
        <f>IFERROR(('POSTOR C'!G6)/N13,0)</f>
        <v/>
      </c>
      <c r="P13" s="59">
        <f>N13*O13</f>
        <v/>
      </c>
      <c r="Q13" s="59">
        <f>O13*(1-$Q$9)</f>
        <v/>
      </c>
      <c r="R13" s="59">
        <f>Q13*N13</f>
        <v/>
      </c>
      <c r="T13" s="60" t="inlineStr">
        <is>
          <t>Postor A no la detalla: incluida en su precio global del capítulo.
AZUL (cant. Postor C): metrado 25.00 vs base 30.00 (-17%).</t>
        </is>
      </c>
    </row>
    <row r="14" ht="17" customHeight="1">
      <c r="B14" s="61" t="inlineStr">
        <is>
          <t>Tubería Cu tipo L 1" vertical en ducto técnico</t>
        </is>
      </c>
      <c r="C14" s="61" t="inlineStr">
        <is>
          <t>m</t>
        </is>
      </c>
      <c r="D14" s="61" t="n"/>
      <c r="E14" s="59" t="n"/>
      <c r="F14" s="59">
        <f>PRODUCT(D14,E14)</f>
        <v/>
      </c>
      <c r="K14" s="58">
        <f>'POSTOR B'!E8</f>
        <v/>
      </c>
      <c r="L14" s="59">
        <f>IFERROR(('POSTOR B'!G8)/K14,0)</f>
        <v/>
      </c>
      <c r="M14" s="59">
        <f>K14*L14</f>
        <v/>
      </c>
      <c r="N14" s="58">
        <f>'POSTOR C'!E7</f>
        <v/>
      </c>
      <c r="O14" s="59">
        <f>IFERROR(('POSTOR C'!G7)/N14,0)</f>
        <v/>
      </c>
      <c r="P14" s="59">
        <f>N14*O14</f>
        <v/>
      </c>
      <c r="Q14" s="59">
        <f>O14*(1-$Q$9)</f>
        <v/>
      </c>
      <c r="R14" s="59">
        <f>Q14*N14</f>
        <v/>
      </c>
      <c r="T14" s="60" t="inlineStr">
        <is>
          <t>Postor A no la detalla: incluida en su precio global del capítulo.</t>
        </is>
      </c>
    </row>
    <row r="15" ht="30" customHeight="1">
      <c r="B15" s="63" t="inlineStr">
        <is>
          <t>Válvula de corte general de montante</t>
        </is>
      </c>
      <c r="C15" s="61" t="inlineStr">
        <is>
          <t>und</t>
        </is>
      </c>
      <c r="D15" s="61" t="n"/>
      <c r="E15" s="59" t="n"/>
      <c r="F15" s="59">
        <f>PRODUCT(D15,E15)</f>
        <v/>
      </c>
      <c r="N15" s="58">
        <f>'POSTOR C'!E8</f>
        <v/>
      </c>
      <c r="O15" s="59">
        <f>IFERROR(('POSTOR C'!G8)/N15,0)</f>
        <v/>
      </c>
      <c r="P15" s="59">
        <f>N15*O15</f>
        <v/>
      </c>
      <c r="Q15" s="59">
        <f>O15*(1-$Q$9)</f>
        <v/>
      </c>
      <c r="R15" s="59">
        <f>Q15*N15</f>
        <v/>
      </c>
      <c r="T15" s="60" t="inlineStr">
        <is>
          <t>ROJO/DORADO: partida cotizada SOLO por Postor C (fuera de la base). Confirmar si se requiere.
Postor A no la detalla: incluida en su precio global del capítulo.</t>
        </is>
      </c>
    </row>
    <row r="16" ht="30" customHeight="1">
      <c r="B16" s="64" t="inlineStr">
        <is>
          <t>Pintura para tubería Cu en ducto técnico</t>
        </is>
      </c>
      <c r="C16" s="61" t="inlineStr">
        <is>
          <t>glb</t>
        </is>
      </c>
      <c r="D16" s="61" t="n"/>
      <c r="E16" s="59" t="n"/>
      <c r="F16" s="59">
        <f>PRODUCT(D16,E16)</f>
        <v/>
      </c>
      <c r="K16" s="58">
        <f>'POSTOR B'!E9</f>
        <v/>
      </c>
      <c r="L16" s="59">
        <f>IFERROR(('POSTOR B'!G9)/K16,0)</f>
        <v/>
      </c>
      <c r="M16" s="59">
        <f>K16*L16</f>
        <v/>
      </c>
      <c r="T16" s="60" t="inlineStr">
        <is>
          <t>CELESTE: partida no cotizada por Postor C (se valoriza en la NIVELACIÓN).
Postor A no la detalla: incluida en su precio global del capítulo.</t>
        </is>
      </c>
    </row>
    <row r="17" ht="17" customHeight="1">
      <c r="B17" s="61" t="inlineStr">
        <is>
          <t>Prueba de hermeticidad de línea montante</t>
        </is>
      </c>
      <c r="C17" s="61" t="inlineStr">
        <is>
          <t>glb</t>
        </is>
      </c>
      <c r="D17" s="61" t="n"/>
      <c r="E17" s="59" t="n"/>
      <c r="F17" s="59">
        <f>PRODUCT(D17,E17)</f>
        <v/>
      </c>
      <c r="K17" s="58">
        <f>'POSTOR B'!E10</f>
        <v/>
      </c>
      <c r="L17" s="59">
        <f>IFERROR(('POSTOR B'!G10)/K17,0)</f>
        <v/>
      </c>
      <c r="M17" s="59">
        <f>K17*L17</f>
        <v/>
      </c>
      <c r="N17" s="58">
        <f>'POSTOR C'!E9</f>
        <v/>
      </c>
      <c r="O17" s="59">
        <f>IFERROR(('POSTOR C'!G9)/N17,0)</f>
        <v/>
      </c>
      <c r="P17" s="59">
        <f>N17*O17</f>
        <v/>
      </c>
      <c r="Q17" s="59">
        <f>O17*(1-$Q$9)</f>
        <v/>
      </c>
      <c r="R17" s="59">
        <f>Q17*N17</f>
        <v/>
      </c>
      <c r="T17" s="60" t="inlineStr">
        <is>
          <t>Postor A no la detalla: incluida en su precio global del capítulo.</t>
        </is>
      </c>
    </row>
    <row r="18">
      <c r="B18" s="54" t="inlineStr">
        <is>
          <t>INSTALACION DE LAS REDES INTERNAS</t>
        </is>
      </c>
      <c r="C18" s="54" t="n"/>
      <c r="D18" s="55" t="n"/>
      <c r="E18" s="55" t="n"/>
      <c r="F18" s="55">
        <f>SUM(F19:F24)</f>
        <v/>
      </c>
      <c r="G18" s="52" t="n"/>
      <c r="H18" s="55" t="n"/>
      <c r="I18" s="55" t="n"/>
      <c r="J18" s="55">
        <f>SUM(J19:J24)</f>
        <v/>
      </c>
      <c r="K18" s="55" t="n"/>
      <c r="L18" s="55" t="n"/>
      <c r="M18" s="55">
        <f>SUM(M19:M24)</f>
        <v/>
      </c>
      <c r="N18" s="55" t="n"/>
      <c r="O18" s="55" t="n"/>
      <c r="P18" s="55">
        <f>SUM(P19:P24)</f>
        <v/>
      </c>
      <c r="Q18" s="55" t="n"/>
      <c r="R18" s="55">
        <f>SUM(R19:R24)</f>
        <v/>
      </c>
    </row>
    <row r="19" ht="43" customHeight="1">
      <c r="B19" s="56" t="inlineStr">
        <is>
          <t>INSTALACION DE LAS REDES INTERNAS - PRECIO GLOBAL POSTOR A</t>
        </is>
      </c>
      <c r="C19" s="56" t="inlineStr">
        <is>
          <t>dpto</t>
        </is>
      </c>
      <c r="D19" s="56" t="n"/>
      <c r="E19" s="56" t="n"/>
      <c r="F19" s="57">
        <f>PRODUCT(D19,E19)</f>
        <v/>
      </c>
      <c r="H19" s="58" t="n">
        <v>120</v>
      </c>
      <c r="I19" s="59" t="n">
        <v>900</v>
      </c>
      <c r="J19" s="59">
        <f>I19*H19</f>
        <v/>
      </c>
      <c r="T19" s="60" t="inlineStr">
        <is>
          <t>GRIS: Partida GLOBAL de Postor A. Precio global por departamento (120 und x S/ 900.00): incluye tuberías PE-AL-PE, salidas, válvulas y pruebas, sin desagregar. Comparar por SUBTOTAL del capítulo.</t>
        </is>
      </c>
    </row>
    <row r="20" ht="43" customHeight="1">
      <c r="B20" s="65" t="inlineStr">
        <is>
          <t>Tubería PE-AL-PE 2025 empotrada en losa y muro</t>
        </is>
      </c>
      <c r="C20" s="61" t="inlineStr">
        <is>
          <t>m</t>
        </is>
      </c>
      <c r="D20" s="61" t="n"/>
      <c r="E20" s="59" t="n"/>
      <c r="F20" s="59">
        <f>PRODUCT(D20,E20)</f>
        <v/>
      </c>
      <c r="K20" s="58">
        <f>'POSTOR B'!E12</f>
        <v/>
      </c>
      <c r="L20" s="59">
        <f>IFERROR(('POSTOR B'!G12)/K20,0)</f>
        <v/>
      </c>
      <c r="M20" s="59">
        <f>K20*L20</f>
        <v/>
      </c>
      <c r="N20" s="62">
        <f>'POSTOR C'!E10</f>
        <v/>
      </c>
      <c r="O20" s="59">
        <f>IFERROR(('POSTOR C'!G10)/N20,0)</f>
        <v/>
      </c>
      <c r="P20" s="59">
        <f>N20*O20</f>
        <v/>
      </c>
      <c r="Q20" s="59">
        <f>O20*(1-$Q$9)</f>
        <v/>
      </c>
      <c r="R20" s="59">
        <f>Q20*N20</f>
        <v/>
      </c>
      <c r="T20" s="60" t="inlineStr">
        <is>
          <t>AMARILLO CLARO: ALTO IMPACTO, diferencia de S/ 12,440 entre Postor B y Postor C.
Postor A no la detalla: incluida en su precio global del capítulo.
AZUL (cant. Postor C): metrado 2,300.00 vs base 2,000.00 (+15%).</t>
        </is>
      </c>
    </row>
    <row r="21" ht="17" customHeight="1">
      <c r="B21" s="61" t="inlineStr">
        <is>
          <t>Tubería PE-AL-PE 1216 empotrada en losa y muro</t>
        </is>
      </c>
      <c r="C21" s="61" t="inlineStr">
        <is>
          <t>m</t>
        </is>
      </c>
      <c r="D21" s="61" t="n"/>
      <c r="E21" s="59" t="n"/>
      <c r="F21" s="59">
        <f>PRODUCT(D21,E21)</f>
        <v/>
      </c>
      <c r="K21" s="58">
        <f>'POSTOR B'!E13</f>
        <v/>
      </c>
      <c r="L21" s="59">
        <f>IFERROR(('POSTOR B'!G13)/K21,0)</f>
        <v/>
      </c>
      <c r="M21" s="59">
        <f>K21*L21</f>
        <v/>
      </c>
      <c r="N21" s="58">
        <f>'POSTOR C'!E11</f>
        <v/>
      </c>
      <c r="O21" s="59">
        <f>IFERROR(('POSTOR C'!G11)/N21,0)</f>
        <v/>
      </c>
      <c r="P21" s="59">
        <f>N21*O21</f>
        <v/>
      </c>
      <c r="Q21" s="59">
        <f>O21*(1-$Q$9)</f>
        <v/>
      </c>
      <c r="R21" s="59">
        <f>Q21*N21</f>
        <v/>
      </c>
      <c r="T21" s="60" t="inlineStr">
        <is>
          <t>Postor A no la detalla: incluida en su precio global del capítulo.</t>
        </is>
      </c>
    </row>
    <row r="22" ht="17" customHeight="1">
      <c r="B22" s="61" t="inlineStr">
        <is>
          <t>Salidas para terma, cocina y horno</t>
        </is>
      </c>
      <c r="C22" s="61" t="inlineStr">
        <is>
          <t>pto</t>
        </is>
      </c>
      <c r="D22" s="61" t="n"/>
      <c r="E22" s="59" t="n"/>
      <c r="F22" s="59">
        <f>PRODUCT(D22,E22)</f>
        <v/>
      </c>
      <c r="K22" s="58">
        <f>'POSTOR B'!E14</f>
        <v/>
      </c>
      <c r="L22" s="59">
        <f>IFERROR(('POSTOR B'!G14)/K22,0)</f>
        <v/>
      </c>
      <c r="M22" s="59">
        <f>K22*L22</f>
        <v/>
      </c>
      <c r="N22" s="58">
        <f>'POSTOR C'!E12</f>
        <v/>
      </c>
      <c r="O22" s="59">
        <f>IFERROR(('POSTOR C'!G12)/N22,0)</f>
        <v/>
      </c>
      <c r="P22" s="59">
        <f>N22*O22</f>
        <v/>
      </c>
      <c r="Q22" s="59">
        <f>O22*(1-$Q$9)</f>
        <v/>
      </c>
      <c r="R22" s="59">
        <f>Q22*N22</f>
        <v/>
      </c>
      <c r="T22" s="60" t="inlineStr">
        <is>
          <t>Postor A no la detalla: incluida en su precio global del capítulo.</t>
        </is>
      </c>
    </row>
    <row r="23" ht="17" customHeight="1">
      <c r="B23" s="61" t="inlineStr">
        <is>
          <t>Válvula de corte de artefacto</t>
        </is>
      </c>
      <c r="C23" s="61" t="inlineStr">
        <is>
          <t>und</t>
        </is>
      </c>
      <c r="D23" s="61" t="n"/>
      <c r="E23" s="59" t="n"/>
      <c r="F23" s="59">
        <f>PRODUCT(D23,E23)</f>
        <v/>
      </c>
      <c r="K23" s="58">
        <f>'POSTOR B'!E15</f>
        <v/>
      </c>
      <c r="L23" s="59">
        <f>IFERROR(('POSTOR B'!G15)/K23,0)</f>
        <v/>
      </c>
      <c r="M23" s="59">
        <f>K23*L23</f>
        <v/>
      </c>
      <c r="N23" s="58">
        <f>'POSTOR C'!E13</f>
        <v/>
      </c>
      <c r="O23" s="59">
        <f>IFERROR(('POSTOR C'!G13)/N23,0)</f>
        <v/>
      </c>
      <c r="P23" s="59">
        <f>N23*O23</f>
        <v/>
      </c>
      <c r="Q23" s="59">
        <f>O23*(1-$Q$9)</f>
        <v/>
      </c>
      <c r="R23" s="59">
        <f>Q23*N23</f>
        <v/>
      </c>
      <c r="T23" s="60" t="inlineStr">
        <is>
          <t>Postor A no la detalla: incluida en su precio global del capítulo.</t>
        </is>
      </c>
    </row>
    <row r="24" ht="17" customHeight="1">
      <c r="B24" s="61" t="inlineStr">
        <is>
          <t>Prueba de hermeticidad departamentos</t>
        </is>
      </c>
      <c r="C24" s="61" t="inlineStr">
        <is>
          <t>und</t>
        </is>
      </c>
      <c r="D24" s="61" t="n"/>
      <c r="E24" s="59" t="n"/>
      <c r="F24" s="59">
        <f>PRODUCT(D24,E24)</f>
        <v/>
      </c>
      <c r="K24" s="58">
        <f>'POSTOR B'!E16</f>
        <v/>
      </c>
      <c r="L24" s="59">
        <f>IFERROR(('POSTOR B'!G16)/K24,0)</f>
        <v/>
      </c>
      <c r="M24" s="59">
        <f>K24*L24</f>
        <v/>
      </c>
      <c r="N24" s="58">
        <f>'POSTOR C'!E14</f>
        <v/>
      </c>
      <c r="O24" s="59">
        <f>IFERROR(('POSTOR C'!G14)/N24,0)</f>
        <v/>
      </c>
      <c r="P24" s="59">
        <f>N24*O24</f>
        <v/>
      </c>
      <c r="Q24" s="59">
        <f>O24*(1-$Q$9)</f>
        <v/>
      </c>
      <c r="R24" s="59">
        <f>Q24*N24</f>
        <v/>
      </c>
      <c r="T24" s="60" t="inlineStr">
        <is>
          <t>Postor A no la detalla: incluida en su precio global del capítulo.</t>
        </is>
      </c>
    </row>
    <row r="25">
      <c r="B25" s="54" t="inlineStr">
        <is>
          <t>CENTRO DE MEDICIÓN Y GABINETES</t>
        </is>
      </c>
      <c r="C25" s="54" t="n"/>
      <c r="D25" s="55" t="n"/>
      <c r="E25" s="55" t="n"/>
      <c r="F25" s="55">
        <f>SUM(F26:F27)</f>
        <v/>
      </c>
      <c r="G25" s="52" t="n"/>
      <c r="H25" s="55" t="n"/>
      <c r="I25" s="55" t="n"/>
      <c r="J25" s="55">
        <f>SUM(J26:J27)</f>
        <v/>
      </c>
      <c r="K25" s="55" t="n"/>
      <c r="L25" s="55" t="n"/>
      <c r="M25" s="55">
        <f>SUM(M26:M27)</f>
        <v/>
      </c>
      <c r="N25" s="55" t="n"/>
      <c r="O25" s="55" t="n"/>
      <c r="P25" s="55">
        <f>SUM(P26:P27)</f>
        <v/>
      </c>
      <c r="Q25" s="55" t="n"/>
      <c r="R25" s="55">
        <f>SUM(R26:R27)</f>
        <v/>
      </c>
    </row>
    <row r="26" ht="30" customHeight="1">
      <c r="B26" s="64" t="inlineStr">
        <is>
          <t>Suministro e instalación de gabinetes</t>
        </is>
      </c>
      <c r="C26" s="61" t="inlineStr">
        <is>
          <t>und</t>
        </is>
      </c>
      <c r="D26" s="61" t="n"/>
      <c r="E26" s="59" t="n"/>
      <c r="F26" s="59">
        <f>PRODUCT(D26,E26)</f>
        <v/>
      </c>
      <c r="K26" s="58">
        <f>'POSTOR B'!E18</f>
        <v/>
      </c>
      <c r="L26" s="59">
        <f>IFERROR(('POSTOR B'!G18)/K26,0)</f>
        <v/>
      </c>
      <c r="M26" s="59">
        <f>K26*L26</f>
        <v/>
      </c>
      <c r="N26" s="62">
        <f>'POSTOR C'!E15</f>
        <v/>
      </c>
      <c r="O26" s="59">
        <f>IFERROR(('POSTOR C'!G15)/N26,0)</f>
        <v/>
      </c>
      <c r="P26" s="59">
        <f>N26*O26</f>
        <v/>
      </c>
      <c r="Q26" s="59">
        <f>O26*(1-$Q$9)</f>
        <v/>
      </c>
      <c r="R26" s="59">
        <f>Q26*N26</f>
        <v/>
      </c>
      <c r="T26" s="60" t="inlineStr">
        <is>
          <t>CELESTE: partida no cotizada por Postor A (se valoriza en la NIVELACIÓN).
AZUL (cant. Postor C): metrado 3.00 vs base 2.00 (+50%).</t>
        </is>
      </c>
    </row>
    <row r="27" ht="30" customHeight="1">
      <c r="B27" s="64" t="inlineStr">
        <is>
          <t>Meter conector para gabinetes</t>
        </is>
      </c>
      <c r="C27" s="61" t="inlineStr">
        <is>
          <t>und</t>
        </is>
      </c>
      <c r="D27" s="61" t="n"/>
      <c r="E27" s="59" t="n"/>
      <c r="F27" s="59">
        <f>PRODUCT(D27,E27)</f>
        <v/>
      </c>
      <c r="K27" s="58">
        <f>'POSTOR B'!E19</f>
        <v/>
      </c>
      <c r="L27" s="59">
        <f>IFERROR(('POSTOR B'!G19)/K27,0)</f>
        <v/>
      </c>
      <c r="M27" s="59">
        <f>K27*L27</f>
        <v/>
      </c>
      <c r="N27" s="43" t="inlineStr">
        <is>
          <t>INCL.</t>
        </is>
      </c>
      <c r="T27" s="60" t="inlineStr">
        <is>
          <t>CELESTE: partida no cotizada por Postor A (se valoriza en la NIVELACIÓN).
Postor C: Incluido en su partida de gabinetes (según su texto).</t>
        </is>
      </c>
    </row>
    <row r="30">
      <c r="B30" s="66" t="inlineStr">
        <is>
          <t>COSTO DIRECTO (SIN IGV)</t>
        </is>
      </c>
      <c r="F30" s="52">
        <f>F9</f>
        <v/>
      </c>
      <c r="J30" s="67">
        <f>J9</f>
        <v/>
      </c>
      <c r="M30" s="67">
        <f>M9</f>
        <v/>
      </c>
      <c r="R30" s="67">
        <f>R9</f>
        <v/>
      </c>
    </row>
    <row r="31" ht="30" customHeight="1">
      <c r="B31" s="66" t="inlineStr">
        <is>
          <t>GASTOS GENERALES</t>
        </is>
      </c>
      <c r="F31" s="52" t="n">
        <v>0</v>
      </c>
      <c r="I31" s="68" t="n">
        <v>0</v>
      </c>
      <c r="J31" s="67">
        <f>I31*J30</f>
        <v/>
      </c>
      <c r="L31" s="68" t="n">
        <v>0</v>
      </c>
      <c r="M31" s="67">
        <f>L31*M30</f>
        <v/>
      </c>
      <c r="Q31" s="68" t="n">
        <v>0</v>
      </c>
      <c r="R31" s="67">
        <f>Q31*R30</f>
        <v/>
      </c>
      <c r="T31" s="60" t="inlineStr">
        <is>
          <t>GG + utilidad por postor (números azules editables): Postor A 0% + 0% · Postor B 0% + 0% · Postor C 0% + 0%.</t>
        </is>
      </c>
    </row>
    <row r="32">
      <c r="B32" s="66" t="inlineStr">
        <is>
          <t>UTILIDAD</t>
        </is>
      </c>
      <c r="F32" s="52" t="n">
        <v>0</v>
      </c>
      <c r="I32" s="68" t="n">
        <v>0</v>
      </c>
      <c r="J32" s="67">
        <f>I32*J30</f>
        <v/>
      </c>
      <c r="L32" s="68" t="n">
        <v>0</v>
      </c>
      <c r="M32" s="67">
        <f>L32*M30</f>
        <v/>
      </c>
      <c r="Q32" s="68" t="n">
        <v>0</v>
      </c>
      <c r="R32" s="67">
        <f>Q32*R30</f>
        <v/>
      </c>
    </row>
    <row r="33" ht="30" customHeight="1">
      <c r="B33" s="66" t="inlineStr">
        <is>
          <t>SUBTOTAL (SIN IGV)</t>
        </is>
      </c>
      <c r="F33" s="52">
        <f>SUM(F30:F32)</f>
        <v/>
      </c>
      <c r="J33" s="67">
        <f>SUM(J30:J32)</f>
        <v/>
      </c>
      <c r="M33" s="67">
        <f>SUM(M30:M32)</f>
        <v/>
      </c>
      <c r="R33" s="67">
        <f>SUM(R30:R32)</f>
        <v/>
      </c>
      <c r="T33" s="60" t="inlineStr">
        <is>
          <t>Debe cuadrar con cada cotización (sin IGV): Postor A S/ 126,000.00 · Postor B S/ 122,000.00 · Postor C S/ 131,917.00.</t>
        </is>
      </c>
    </row>
    <row r="34">
      <c r="B34" s="66" t="inlineStr">
        <is>
          <t>IGV (18%)</t>
        </is>
      </c>
      <c r="F34" s="52">
        <f>F33*0.18</f>
        <v/>
      </c>
      <c r="J34" s="67">
        <f>J33*0.18</f>
        <v/>
      </c>
      <c r="M34" s="67">
        <f>M33*0.18</f>
        <v/>
      </c>
      <c r="R34" s="67">
        <f>R33*0.18</f>
        <v/>
      </c>
    </row>
    <row r="35">
      <c r="B35" s="66" t="inlineStr">
        <is>
          <t>TOTAL INC. IGV</t>
        </is>
      </c>
      <c r="F35" s="52">
        <f>F33+F34</f>
        <v/>
      </c>
      <c r="J35" s="67">
        <f>J33+J34</f>
        <v/>
      </c>
      <c r="M35" s="67">
        <f>M33+M34</f>
        <v/>
      </c>
      <c r="R35" s="67">
        <f>R33+R34</f>
        <v/>
      </c>
    </row>
    <row r="37">
      <c r="B37" s="66" t="inlineStr">
        <is>
          <t>DELTA (PRESUPUESTO META - POSTOR, INC. IGV)</t>
        </is>
      </c>
      <c r="H37" s="69">
        <f>IF($F$35=0,"Falta ppto. meta",$F$35-J35)</f>
        <v/>
      </c>
      <c r="I37" s="33" t="n"/>
      <c r="J37" s="33" t="n"/>
      <c r="K37" s="69">
        <f>IF($F$35=0,"Falta ppto. meta",$F$35-M35)</f>
        <v/>
      </c>
      <c r="L37" s="33" t="n"/>
      <c r="M37" s="33" t="n"/>
      <c r="N37" s="69">
        <f>IF($F$35=0,"Falta ppto. meta",$F$35-R35)</f>
        <v/>
      </c>
      <c r="O37" s="33" t="n"/>
      <c r="P37" s="33" t="n"/>
      <c r="Q37" s="33" t="n"/>
      <c r="R37" s="33" t="n"/>
    </row>
    <row r="38">
      <c r="B38" s="66" t="inlineStr">
        <is>
          <t>DIFERENCIA vs. MENOR OFERTA (INC. IGV)</t>
        </is>
      </c>
      <c r="H38" s="69">
        <f>J35-MIN($J$35,$M$35,$R$35)</f>
        <v/>
      </c>
      <c r="I38" s="33" t="n"/>
      <c r="J38" s="33" t="n"/>
      <c r="K38" s="69">
        <f>M35-MIN($J$35,$M$35,$R$35)</f>
        <v/>
      </c>
      <c r="L38" s="33" t="n"/>
      <c r="M38" s="33" t="n"/>
      <c r="N38" s="69">
        <f>R35-MIN($J$35,$M$35,$R$35)</f>
        <v/>
      </c>
      <c r="O38" s="33" t="n"/>
      <c r="P38" s="33" t="n"/>
      <c r="Q38" s="33" t="n"/>
      <c r="R38" s="33" t="n"/>
    </row>
    <row r="39">
      <c r="B39" s="66" t="inlineStr">
        <is>
          <t>VARIACIÓN % vs. MENOR OFERTA</t>
        </is>
      </c>
      <c r="H39" s="70">
        <f>J35/MIN($J$35,$M$35,$R$35)-1</f>
        <v/>
      </c>
      <c r="I39" s="33" t="n"/>
      <c r="J39" s="33" t="n"/>
      <c r="K39" s="70">
        <f>M35/MIN($J$35,$M$35,$R$35)-1</f>
        <v/>
      </c>
      <c r="L39" s="33" t="n"/>
      <c r="M39" s="33" t="n"/>
      <c r="N39" s="70">
        <f>R35/MIN($J$35,$M$35,$R$35)-1</f>
        <v/>
      </c>
      <c r="O39" s="33" t="n"/>
      <c r="P39" s="33" t="n"/>
      <c r="Q39" s="33" t="n"/>
      <c r="R39" s="33" t="n"/>
    </row>
    <row r="41">
      <c r="B41" s="66" t="inlineStr">
        <is>
          <t>ANÁLISIS DE PRECIOS UNITARIOS Y RATIOS (SIN IGV)</t>
        </is>
      </c>
      <c r="H41" s="44" t="inlineStr">
        <is>
          <t>Postor A</t>
        </is>
      </c>
      <c r="I41" s="45" t="n"/>
      <c r="J41" s="45" t="n"/>
      <c r="K41" s="44" t="inlineStr">
        <is>
          <t>Postor B</t>
        </is>
      </c>
      <c r="L41" s="45" t="n"/>
      <c r="M41" s="45" t="n"/>
      <c r="N41" s="44" t="inlineStr">
        <is>
          <t>Postor C</t>
        </is>
      </c>
      <c r="O41" s="45" t="n"/>
      <c r="P41" s="45" t="n"/>
      <c r="Q41" s="45" t="n"/>
      <c r="R41" s="45" t="n"/>
    </row>
    <row r="42">
      <c r="B42" s="71" t="inlineStr">
        <is>
          <t>COSTO POR DEPARTAMENTO (S/, SIN IGV)</t>
        </is>
      </c>
      <c r="H42" s="72">
        <f>J33/120</f>
        <v/>
      </c>
      <c r="K42" s="72">
        <f>M33/120</f>
        <v/>
      </c>
      <c r="N42" s="72">
        <f>R33/120</f>
        <v/>
      </c>
    </row>
    <row r="43">
      <c r="B43" s="71" t="inlineStr">
        <is>
          <t>COSTO POR PUNTO DE CONSUMO (S/, SIN IGV)</t>
        </is>
      </c>
      <c r="H43" s="72">
        <f>J33/360</f>
        <v/>
      </c>
      <c r="K43" s="72">
        <f>M33/360</f>
        <v/>
      </c>
      <c r="N43" s="72">
        <f>R33/360</f>
        <v/>
      </c>
    </row>
    <row r="44">
      <c r="B44" s="71" t="inlineStr">
        <is>
          <t>Capítulo INSTALACION EN LA RED MONTANTE (S/, sin IGV)</t>
        </is>
      </c>
      <c r="H44" s="72">
        <f>J11</f>
        <v/>
      </c>
      <c r="K44" s="72">
        <f>M11</f>
        <v/>
      </c>
      <c r="N44" s="72">
        <f>R11</f>
        <v/>
      </c>
    </row>
    <row r="45">
      <c r="B45" s="71" t="inlineStr">
        <is>
          <t>Capítulo INSTALACION DE LAS REDES INTERNAS (S/, sin IGV)</t>
        </is>
      </c>
      <c r="H45" s="72">
        <f>J18</f>
        <v/>
      </c>
      <c r="K45" s="72">
        <f>M18</f>
        <v/>
      </c>
      <c r="N45" s="72">
        <f>R18</f>
        <v/>
      </c>
    </row>
    <row r="46">
      <c r="B46" s="71" t="inlineStr">
        <is>
          <t>Capítulo CENTRO DE MEDICIÓN Y GABINETES (S/, sin IGV)</t>
        </is>
      </c>
      <c r="H46" s="72">
        <f>J25</f>
        <v/>
      </c>
      <c r="K46" s="72">
        <f>M25</f>
        <v/>
      </c>
      <c r="N46" s="72">
        <f>R25</f>
        <v/>
      </c>
    </row>
    <row r="48">
      <c r="B48" s="66" t="inlineStr">
        <is>
          <t>NIVELACIÓN POR ALCANCE (SIN IGV)</t>
        </is>
      </c>
      <c r="H48" s="44" t="inlineStr">
        <is>
          <t>Postor A</t>
        </is>
      </c>
      <c r="I48" s="45" t="n"/>
      <c r="J48" s="45" t="n"/>
      <c r="K48" s="44" t="inlineStr">
        <is>
          <t>Postor B</t>
        </is>
      </c>
      <c r="L48" s="45" t="n"/>
      <c r="M48" s="45" t="n"/>
      <c r="N48" s="44" t="inlineStr">
        <is>
          <t>Postor C</t>
        </is>
      </c>
      <c r="O48" s="45" t="n"/>
      <c r="P48" s="45" t="n"/>
      <c r="Q48" s="45" t="n"/>
      <c r="R48" s="45" t="n"/>
    </row>
    <row r="49" ht="30" customHeight="1">
      <c r="B49" s="43" t="inlineStr">
        <is>
          <t>(+) Partidas no cotizadas (celestes y rojo/dorado), al menor precio de los otros postores</t>
        </is>
      </c>
      <c r="H49" s="73">
        <f>MIN(M26,R26)+M27</f>
        <v/>
      </c>
      <c r="K49" s="73">
        <f>R15</f>
        <v/>
      </c>
      <c r="N49" s="73">
        <f>M16</f>
        <v/>
      </c>
      <c r="T49" s="60" t="inlineStr">
        <is>
          <t>Escenario conservador: a cada postor se le suman las partidas que no cotiza ni declara incluidas, al menor precio neto de los demás postores.</t>
        </is>
      </c>
    </row>
    <row r="50">
      <c r="B50" s="71" t="inlineStr">
        <is>
          <t>PRECIO NIVELADO (SIN IGV)</t>
        </is>
      </c>
      <c r="H50" s="72">
        <f>J33+H49</f>
        <v/>
      </c>
      <c r="K50" s="72">
        <f>M33+K49</f>
        <v/>
      </c>
      <c r="N50" s="72">
        <f>R33+N49</f>
        <v/>
      </c>
    </row>
    <row r="51">
      <c r="B51" s="71" t="inlineStr">
        <is>
          <t>PRECIO NIVELADO INC. IGV</t>
        </is>
      </c>
      <c r="H51" s="72">
        <f>H50*1.18</f>
        <v/>
      </c>
      <c r="K51" s="72">
        <f>K50*1.18</f>
        <v/>
      </c>
      <c r="N51" s="72">
        <f>N50*1.18</f>
        <v/>
      </c>
    </row>
    <row r="52">
      <c r="B52" s="71" t="inlineStr">
        <is>
          <t>VARIACIÓN % NIVELADA vs. MENOR</t>
        </is>
      </c>
      <c r="H52" s="74">
        <f>H50/MIN($H$50,$K$50,$N$50)-1</f>
        <v/>
      </c>
      <c r="K52" s="74">
        <f>K50/MIN($H$50,$K$50,$N$50)-1</f>
        <v/>
      </c>
      <c r="N52" s="74">
        <f>N50/MIN($H$50,$K$50,$N$50)-1</f>
        <v/>
      </c>
    </row>
    <row r="54" ht="30" customHeight="1">
      <c r="B54" s="66" t="inlineStr">
        <is>
          <t>CRITERIOS COMERCIALES Y TÉCNICOS</t>
        </is>
      </c>
      <c r="H54" s="44" t="inlineStr">
        <is>
          <t>Postor A</t>
        </is>
      </c>
      <c r="I54" s="45" t="n"/>
      <c r="J54" s="45" t="n"/>
      <c r="K54" s="44" t="inlineStr">
        <is>
          <t>Postor B</t>
        </is>
      </c>
      <c r="L54" s="45" t="n"/>
      <c r="M54" s="45" t="n"/>
      <c r="N54" s="44" t="inlineStr">
        <is>
          <t>Postor C</t>
        </is>
      </c>
      <c r="O54" s="45" t="n"/>
      <c r="P54" s="45" t="n"/>
      <c r="Q54" s="45" t="n"/>
      <c r="R54" s="45" t="n"/>
      <c r="T54" s="75" t="inlineStr">
        <is>
          <t>Color del texto: AZUL negrita = ventaja / cumple · ROJO negrita = desventaja / riesgo de costo · NEGRO negrita = dato faltante o a confirmar · negro normal = informativo</t>
        </is>
      </c>
    </row>
    <row r="55" ht="43" customHeight="1">
      <c r="B55" s="71" t="inlineStr">
        <is>
          <t>EMPRESA / RUC / CONTACTO</t>
        </is>
      </c>
      <c r="H55" s="76" t="inlineStr">
        <is>
          <t>POSTOR A S.A.C. - RUC: por confirmar
Empresa: POSTOR A S.A.C. - Contacto: (nombre) - Correo: ventas@postor-a.example</t>
        </is>
      </c>
      <c r="K55" s="77" t="inlineStr">
        <is>
          <t>POSTOR B S.A.C. - RUC 20000000001
Empresa: POSTOR B S.A.C. - Contacto: (nombre) - Correo: costos@postor-b.example</t>
        </is>
      </c>
      <c r="N55" s="77" t="inlineStr">
        <is>
          <t>POSTOR C S.A.C. - RUC 20000000002
Empresa: POSTOR C S.A.C. - Contacto: (nombre) - Correo: propuestas@postor-c.example</t>
        </is>
      </c>
    </row>
    <row r="56" ht="18" customHeight="1">
      <c r="B56" s="71" t="inlineStr">
        <is>
          <t>FECHA / N° / VERSIÓN</t>
        </is>
      </c>
      <c r="H56" s="77" t="inlineStr">
        <is>
          <t>Cotización N° 001-2026 del 10/10/2026.</t>
        </is>
      </c>
      <c r="K56" s="77" t="inlineStr">
        <is>
          <t>Presupuesto Rev. 01 del 15/10/2026 (la más reciente).</t>
        </is>
      </c>
      <c r="N56" s="77" t="inlineStr">
        <is>
          <t>Propuesta del 12/10/2026 con 5% de descuento.</t>
        </is>
      </c>
    </row>
    <row r="57" ht="30" customHeight="1">
      <c r="B57" s="71" t="inlineStr">
        <is>
          <t>MODALIDAD / ALCANCE</t>
        </is>
      </c>
      <c r="H57" s="76" t="inlineStr">
        <is>
          <t>Suma alzada en 2 partidas globales (montante y red interna por dpto). Sin metrados.</t>
        </is>
      </c>
      <c r="K57" s="78" t="inlineStr">
        <is>
          <t>Suma alzada con metrado y P.U. por partida.</t>
        </is>
      </c>
      <c r="N57" s="77" t="inlineStr">
        <is>
          <t>Suma alzada con metrado y P.U.; descuento 5% sobre el total.</t>
        </is>
      </c>
    </row>
    <row r="58" ht="18" customHeight="1">
      <c r="B58" s="71" t="inlineStr">
        <is>
          <t>GG / UTILIDAD / DESCUENTO</t>
        </is>
      </c>
      <c r="H58" s="77" t="inlineStr">
        <is>
          <t>GG 0% · Utilidad 0% · Descuento 0.00%</t>
        </is>
      </c>
      <c r="K58" s="77" t="inlineStr">
        <is>
          <t>GG 0% · Utilidad 0% · Descuento 0.00%</t>
        </is>
      </c>
      <c r="N58" s="77" t="inlineStr">
        <is>
          <t>GG 0% · Utilidad 0% · Descuento 5.00%</t>
        </is>
      </c>
    </row>
    <row r="59" ht="18" customHeight="1">
      <c r="B59" s="71" t="inlineStr">
        <is>
          <t>ADELANTO / TIPO DE GARANTIA</t>
        </is>
      </c>
      <c r="H59" s="76" t="inlineStr">
        <is>
          <t>No indica adelanto</t>
        </is>
      </c>
      <c r="K59" s="78" t="inlineStr">
        <is>
          <t>Adelanto 0%</t>
        </is>
      </c>
      <c r="N59" s="79" t="inlineStr">
        <is>
          <t>Adelanto 30% contra carta fianza</t>
        </is>
      </c>
    </row>
    <row r="60" ht="18" customHeight="1">
      <c r="B60" s="71" t="inlineStr">
        <is>
          <t>FRECUENCIA DE VALORIZACIONES</t>
        </is>
      </c>
      <c r="H60" s="77" t="inlineStr">
        <is>
          <t>Valorizaciones quincenales</t>
        </is>
      </c>
      <c r="K60" s="77" t="inlineStr">
        <is>
          <t>Quincenal; pago a 15 días</t>
        </is>
      </c>
      <c r="N60" s="79" t="inlineStr">
        <is>
          <t>Mensual; pago a 7 días</t>
        </is>
      </c>
    </row>
    <row r="61" ht="18" customHeight="1">
      <c r="B61" s="71" t="inlineStr">
        <is>
          <t>FONDO DE GARANTIA</t>
        </is>
      </c>
      <c r="H61" s="78" t="inlineStr">
        <is>
          <t>5% devuelto a los 12 meses</t>
        </is>
      </c>
      <c r="K61" s="78" t="inlineStr">
        <is>
          <t>5% devuelto a los 18 meses</t>
        </is>
      </c>
      <c r="N61" s="79" t="inlineStr">
        <is>
          <t>No acepta fondo de garantía</t>
        </is>
      </c>
    </row>
    <row r="62" ht="18" customHeight="1">
      <c r="B62" s="71" t="inlineStr">
        <is>
          <t>N° DE OBRAS ACTUALES EN EJECUCION</t>
        </is>
      </c>
      <c r="H62" s="76" t="inlineStr">
        <is>
          <t>No indica</t>
        </is>
      </c>
      <c r="K62" s="76" t="inlineStr">
        <is>
          <t>Por confirmar</t>
        </is>
      </c>
      <c r="N62" s="77" t="inlineStr">
        <is>
          <t>4 obras en ejecución (según carta)</t>
        </is>
      </c>
    </row>
    <row r="63" ht="18" customHeight="1">
      <c r="B63" s="71" t="inlineStr">
        <is>
          <t>VALIDEZ DE LA OFERTA</t>
        </is>
      </c>
      <c r="H63" s="79" t="inlineStr">
        <is>
          <t>10 días: vence pronto, confirmar vigencia</t>
        </is>
      </c>
      <c r="K63" s="76" t="inlineStr">
        <is>
          <t>No indica</t>
        </is>
      </c>
      <c r="N63" s="78" t="inlineStr">
        <is>
          <t>30 días</t>
        </is>
      </c>
    </row>
    <row r="64" ht="18" customHeight="1">
      <c r="B64" s="71" t="inlineStr">
        <is>
          <t>PLAZO DE EJECUCION</t>
        </is>
      </c>
      <c r="H64" s="77" t="inlineStr">
        <is>
          <t>Según avance de obra</t>
        </is>
      </c>
      <c r="K64" s="77" t="inlineStr">
        <is>
          <t>Según cronograma de obra</t>
        </is>
      </c>
      <c r="N64" s="76" t="inlineStr">
        <is>
          <t>No indica</t>
        </is>
      </c>
    </row>
    <row r="65" ht="18" customHeight="1">
      <c r="B65" s="71" t="inlineStr">
        <is>
          <t>GARANTIA DE LA INSTALACION</t>
        </is>
      </c>
      <c r="H65" s="79" t="inlineStr">
        <is>
          <t>2 años</t>
        </is>
      </c>
      <c r="K65" s="78" t="inlineStr">
        <is>
          <t>3 años</t>
        </is>
      </c>
      <c r="N65" s="78" t="inlineStr">
        <is>
          <t>3 años</t>
        </is>
      </c>
    </row>
    <row r="66" ht="18" customHeight="1">
      <c r="B66" s="71" t="inlineStr">
        <is>
          <t>PRUEBAS DE HERMETICIDAD</t>
        </is>
      </c>
      <c r="H66" s="77" t="inlineStr">
        <is>
          <t>Una por montante y una por dpto.</t>
        </is>
      </c>
      <c r="K66" s="78" t="inlineStr">
        <is>
          <t>3 por dpto y 2 en montante.</t>
        </is>
      </c>
      <c r="N66" s="78" t="inlineStr">
        <is>
          <t>4 por dpto y 1 por montante.</t>
        </is>
      </c>
    </row>
    <row r="67" ht="18" customHeight="1">
      <c r="B67" s="71" t="inlineStr">
        <is>
          <t>EXPEDIENTE / GESTIÓN CON LA CONCESIONARIA</t>
        </is>
      </c>
      <c r="H67" s="78" t="inlineStr">
        <is>
          <t>Incluye expediente y habilitación.</t>
        </is>
      </c>
      <c r="K67" s="77" t="inlineStr">
        <is>
          <t>Incluye expediente y su aprobación.</t>
        </is>
      </c>
      <c r="N67" s="79" t="inlineStr">
        <is>
          <t>No incluye la habilitación del servicio.</t>
        </is>
      </c>
    </row>
    <row r="68" ht="56" customHeight="1">
      <c r="B68" s="71" t="inlineStr">
        <is>
          <t>CONSIDERACIONES Y EXCLUSIONES</t>
        </is>
      </c>
      <c r="H68" s="77" t="inlineStr">
        <is>
          <t>- Precio global por departamento y por montante, sin desagregar.
- No incluye rejillas de ventilación ni obra civil.</t>
        </is>
      </c>
      <c r="K68" s="77" t="inlineStr">
        <is>
          <t>- Presupuesto con metrados y P.U. desagregados.
- Incluye gabinetes y pintura de tubería de cobre.
- No incluye rejillas de ventilación ni arena y cemento.</t>
        </is>
      </c>
      <c r="N68" s="77" t="inlineStr">
        <is>
          <t>- Metrado de PE-AL-PE 2025 15% mayor que la base.
- Cotiza válvula de corte general de montante (no está en la base).
- No incluye pintura de tubería de cobre.</t>
        </is>
      </c>
    </row>
    <row r="70" ht="30" customHeight="1">
      <c r="B70" s="66" t="inlineStr">
        <is>
          <t>RECOMENDACIÓN</t>
        </is>
      </c>
      <c r="H70" s="75" t="inlineStr">
        <is>
          <t>1° Postor B (VERDE INTENSO, RECOMENDADO): menor precio, metrado y P.U. por partida, adelanto 0% y garantía de 3 años. Confirmar validez de la oferta y obras en ejecución. 2° Postor A como alternativa si desagrega su precio.</t>
        </is>
      </c>
    </row>
  </sheetData>
  <mergeCells count="93">
    <mergeCell ref="K46:M46"/>
    <mergeCell ref="N63:R63"/>
    <mergeCell ref="N41:R41"/>
    <mergeCell ref="N50:R50"/>
    <mergeCell ref="K56:M56"/>
    <mergeCell ref="N51:R51"/>
    <mergeCell ref="N43:R43"/>
    <mergeCell ref="H66:J66"/>
    <mergeCell ref="N42:R42"/>
    <mergeCell ref="K57:M57"/>
    <mergeCell ref="K66:M66"/>
    <mergeCell ref="N44:R44"/>
    <mergeCell ref="N67:R67"/>
    <mergeCell ref="N60:R60"/>
    <mergeCell ref="K68:M68"/>
    <mergeCell ref="H38:J38"/>
    <mergeCell ref="B6:F6"/>
    <mergeCell ref="H44:J44"/>
    <mergeCell ref="N6:R6"/>
    <mergeCell ref="K45:M45"/>
    <mergeCell ref="H58:J58"/>
    <mergeCell ref="K60:M60"/>
    <mergeCell ref="H64:J64"/>
    <mergeCell ref="N55:R55"/>
    <mergeCell ref="H51:J51"/>
    <mergeCell ref="H60:J60"/>
    <mergeCell ref="K44:M44"/>
    <mergeCell ref="N54:R54"/>
    <mergeCell ref="N56:R56"/>
    <mergeCell ref="H57:J57"/>
    <mergeCell ref="N58:R58"/>
    <mergeCell ref="K65:M65"/>
    <mergeCell ref="H42:J42"/>
    <mergeCell ref="K62:M62"/>
    <mergeCell ref="N57:R57"/>
    <mergeCell ref="K49:M49"/>
    <mergeCell ref="N59:R59"/>
    <mergeCell ref="H67:J67"/>
    <mergeCell ref="N49:R49"/>
    <mergeCell ref="N45:R45"/>
    <mergeCell ref="H59:J59"/>
    <mergeCell ref="H6:J6"/>
    <mergeCell ref="H46:J46"/>
    <mergeCell ref="H52:J52"/>
    <mergeCell ref="H61:J61"/>
    <mergeCell ref="K67:M67"/>
    <mergeCell ref="K59:M59"/>
    <mergeCell ref="N37:R37"/>
    <mergeCell ref="H45:J45"/>
    <mergeCell ref="H65:J65"/>
    <mergeCell ref="K61:M61"/>
    <mergeCell ref="K39:M39"/>
    <mergeCell ref="N62:R62"/>
    <mergeCell ref="K48:M48"/>
    <mergeCell ref="K38:M38"/>
    <mergeCell ref="N64:R64"/>
    <mergeCell ref="T6:T7"/>
    <mergeCell ref="H63:J63"/>
    <mergeCell ref="H50:J50"/>
    <mergeCell ref="H55:J55"/>
    <mergeCell ref="K51:M51"/>
    <mergeCell ref="H39:J39"/>
    <mergeCell ref="K63:M63"/>
    <mergeCell ref="H49:J49"/>
    <mergeCell ref="K41:M41"/>
    <mergeCell ref="K50:M50"/>
    <mergeCell ref="K43:M43"/>
    <mergeCell ref="K58:M58"/>
    <mergeCell ref="N66:R66"/>
    <mergeCell ref="K52:M52"/>
    <mergeCell ref="K42:M42"/>
    <mergeCell ref="H37:J37"/>
    <mergeCell ref="N68:R68"/>
    <mergeCell ref="N46:R46"/>
    <mergeCell ref="N52:R52"/>
    <mergeCell ref="H48:J48"/>
    <mergeCell ref="N61:R61"/>
    <mergeCell ref="N39:R39"/>
    <mergeCell ref="N48:R48"/>
    <mergeCell ref="H62:J62"/>
    <mergeCell ref="K6:M6"/>
    <mergeCell ref="K37:M37"/>
    <mergeCell ref="N38:R38"/>
    <mergeCell ref="H43:J43"/>
    <mergeCell ref="H54:J54"/>
    <mergeCell ref="H41:J41"/>
    <mergeCell ref="K54:M54"/>
    <mergeCell ref="H70:T70"/>
    <mergeCell ref="K55:M55"/>
    <mergeCell ref="K64:M64"/>
    <mergeCell ref="H56:J56"/>
    <mergeCell ref="H68:J68"/>
    <mergeCell ref="N65:R65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22" customWidth="1" min="3" max="3"/>
    <col width="22" customWidth="1" min="4" max="4"/>
    <col width="22" customWidth="1" min="5" max="5"/>
    <col width="60" customWidth="1" min="6" max="6"/>
  </cols>
  <sheetData>
    <row r="2">
      <c r="B2" s="4" t="inlineStr">
        <is>
          <t>LEYENDA Y NOTAS - COMPARATIVO - SISTEMA DE INSTALACIONES DE GAS</t>
        </is>
      </c>
    </row>
    <row r="3">
      <c r="B3" s="80" t="inlineStr">
        <is>
          <t>Estándar de colores del cuadro comparativo. Cada fila resaltada de la Hoja 2 explica su motivo en OBSERVACIONES.</t>
        </is>
      </c>
    </row>
    <row r="5">
      <c r="B5" s="43" t="inlineStr">
        <is>
          <t>1. CÓDIGO DE COLORES</t>
        </is>
      </c>
    </row>
    <row r="6">
      <c r="B6" s="81" t="inlineStr">
        <is>
          <t>Formato (muestra)</t>
        </is>
      </c>
      <c r="C6" s="81" t="inlineStr">
        <is>
          <t>Dónde se aplica</t>
        </is>
      </c>
      <c r="D6" s="81" t="n"/>
      <c r="E6" s="81" t="n"/>
      <c r="F6" s="81" t="inlineStr">
        <is>
          <t>Qué significa / qué hacer</t>
        </is>
      </c>
    </row>
    <row r="7">
      <c r="B7" s="82" t="inlineStr">
        <is>
          <t>Azul marino, letra blanca</t>
        </is>
      </c>
      <c r="C7" s="83" t="inlineStr">
        <is>
          <t>Columnas D-F, títulos de bloque</t>
        </is>
      </c>
      <c r="F7" s="60" t="inlineStr">
        <is>
          <t>Presupuesto meta (referencia). Si está vacío, falta el ppto. meta.</t>
        </is>
      </c>
    </row>
    <row r="8">
      <c r="B8" s="84" t="inlineStr">
        <is>
          <t>Verde intenso, letra blanca</t>
        </is>
      </c>
      <c r="C8" s="83" t="inlineStr">
        <is>
          <t>Encabezado de postor (Hoja 2)</t>
        </is>
      </c>
      <c r="F8" s="60" t="inlineStr">
        <is>
          <t>Postor recomendado (mejor relación precio / alcance / control).</t>
        </is>
      </c>
    </row>
    <row r="9">
      <c r="B9" s="85" t="inlineStr">
        <is>
          <t>Verde limón</t>
        </is>
      </c>
      <c r="C9" s="83" t="inlineStr">
        <is>
          <t>Encabezado de postor / DELTA</t>
        </is>
      </c>
      <c r="F9" s="60" t="inlineStr">
        <is>
          <t>Menor precio ofertado o bajo meta.</t>
        </is>
      </c>
    </row>
    <row r="10">
      <c r="B10" s="86" t="inlineStr">
        <is>
          <t>Amarillo</t>
        </is>
      </c>
      <c r="C10" s="83" t="inlineStr">
        <is>
          <t>Encabezado de postor (Hoja 2)</t>
        </is>
      </c>
      <c r="F10" s="60" t="inlineStr">
        <is>
          <t>Postor en negociación u observado.</t>
        </is>
      </c>
    </row>
    <row r="11">
      <c r="B11" s="87" t="inlineStr">
        <is>
          <t>Naranja, letra roja</t>
        </is>
      </c>
      <c r="C11" s="83" t="inlineStr">
        <is>
          <t>Encabezado de postor (Hoja 2)</t>
        </is>
      </c>
      <c r="F11" s="60" t="inlineStr">
        <is>
          <t>Oferta más cara / sobre meta.</t>
        </is>
      </c>
    </row>
    <row r="12">
      <c r="B12" s="88" t="inlineStr">
        <is>
          <t>Negro, letra amarilla</t>
        </is>
      </c>
      <c r="C12" s="83" t="inlineStr">
        <is>
          <t>Encabezado de postor</t>
        </is>
      </c>
      <c r="F12" s="60" t="inlineStr">
        <is>
          <t>Versión anterior de una oferta.</t>
        </is>
      </c>
    </row>
    <row r="13">
      <c r="B13" s="89" t="inlineStr">
        <is>
          <t>Gris, negrita</t>
        </is>
      </c>
      <c r="C13" s="83" t="inlineStr">
        <is>
          <t>Descripción</t>
        </is>
      </c>
      <c r="F13" s="60" t="inlineStr">
        <is>
          <t>Precio global que cubre varias partidas: comparar por subtotal del capítulo.</t>
        </is>
      </c>
    </row>
    <row r="14">
      <c r="B14" s="90" t="inlineStr">
        <is>
          <t>Descripción roja sobre dorado claro</t>
        </is>
      </c>
      <c r="C14" s="83" t="inlineStr">
        <is>
          <t>Descripción</t>
        </is>
      </c>
      <c r="F14" s="60" t="inlineStr">
        <is>
          <t>Partida fuera de la base cotizada por UN solo postor. Decidir si se necesita.</t>
        </is>
      </c>
    </row>
    <row r="15">
      <c r="B15" s="91" t="inlineStr">
        <is>
          <t>Descripción azul sobre dorado claro</t>
        </is>
      </c>
      <c r="C15" s="83" t="inlineStr">
        <is>
          <t>Descripción</t>
        </is>
      </c>
      <c r="F15" s="60" t="inlineStr">
        <is>
          <t>Fuera de la base pero la cotizan VARIOS postores: alcance real no considerado.</t>
        </is>
      </c>
    </row>
    <row r="16">
      <c r="B16" s="92" t="inlineStr">
        <is>
          <t>Fondo celeste</t>
        </is>
      </c>
      <c r="C16" s="83" t="inlineStr">
        <is>
          <t>Descripción</t>
        </is>
      </c>
      <c r="F16" s="60" t="inlineStr">
        <is>
          <t>Partida de la base que algún postor no cotiza ni declara incluida. Se valoriza en la NIVELACIÓN.</t>
        </is>
      </c>
    </row>
    <row r="17">
      <c r="B17" s="93" t="inlineStr">
        <is>
          <t>Fondo amarillo claro</t>
        </is>
      </c>
      <c r="C17" s="83" t="inlineStr">
        <is>
          <t>Descripción</t>
        </is>
      </c>
      <c r="F17" s="60" t="inlineStr">
        <is>
          <t>Alto impacto: diferencia mayor al umbral entre postores.</t>
        </is>
      </c>
    </row>
    <row r="18">
      <c r="B18" s="94" t="inlineStr">
        <is>
          <t>Rojo sobre amarillo intenso</t>
        </is>
      </c>
      <c r="C18" s="83" t="inlineStr">
        <is>
          <t>Descripción o P.U.</t>
        </is>
      </c>
      <c r="F18" s="60" t="inlineStr">
        <is>
          <t>Alerta crítica: total que no cuadra, duplicado, unidades distintas, metrado sin precio.</t>
        </is>
      </c>
    </row>
    <row r="19">
      <c r="B19" s="86" t="inlineStr">
        <is>
          <t>Celda amarilla "INCL.?"</t>
        </is>
      </c>
      <c r="C19" s="83" t="inlineStr">
        <is>
          <t>Cantidad</t>
        </is>
      </c>
      <c r="F19" s="60" t="inlineStr">
        <is>
          <t>El postor no la separa; se asume incluida. Confirmar.</t>
        </is>
      </c>
    </row>
    <row r="20">
      <c r="B20" s="95" t="inlineStr">
        <is>
          <t>Cantidad en azul</t>
        </is>
      </c>
      <c r="C20" s="83" t="inlineStr">
        <is>
          <t>Columna Cant.</t>
        </is>
      </c>
      <c r="F20" s="60" t="inlineStr">
        <is>
          <t>Metrado del postor difiere más de 2% del de la base.</t>
        </is>
      </c>
    </row>
    <row r="21">
      <c r="B21" s="96" t="inlineStr">
        <is>
          <t>P.U. rojo negrita</t>
        </is>
      </c>
      <c r="C21" s="83" t="inlineStr">
        <is>
          <t>Columna P.U.</t>
        </is>
      </c>
      <c r="F21" s="60" t="inlineStr">
        <is>
          <t>P.U. 30% o más sobre el menor de los postores. Punto a negociar.</t>
        </is>
      </c>
    </row>
    <row r="22">
      <c r="B22" s="97" t="inlineStr">
        <is>
          <t>Número azul</t>
        </is>
      </c>
      <c r="C22" s="83" t="inlineStr">
        <is>
          <t>GG / Util. / % dscto / TC</t>
        </is>
      </c>
      <c r="F22" s="60" t="inlineStr">
        <is>
          <t>Dato editable: simular descuentos o cambiar supuestos.</t>
        </is>
      </c>
    </row>
    <row r="23">
      <c r="B23" s="97" t="inlineStr">
        <is>
          <t>Texto azul negrita (criterios)</t>
        </is>
      </c>
      <c r="C23" s="83" t="inlineStr">
        <is>
          <t>Bloque de criterios</t>
        </is>
      </c>
      <c r="F23" s="60" t="inlineStr">
        <is>
          <t>Ventaja / cumple requerimiento.</t>
        </is>
      </c>
    </row>
    <row r="24">
      <c r="B24" s="96" t="inlineStr">
        <is>
          <t>Texto rojo negrita (criterios)</t>
        </is>
      </c>
      <c r="C24" s="83" t="inlineStr">
        <is>
          <t>Bloque de criterios</t>
        </is>
      </c>
      <c r="F24" s="60" t="inlineStr">
        <is>
          <t>Desventaja / riesgo de costo adicional.</t>
        </is>
      </c>
    </row>
    <row r="25">
      <c r="B25" s="98" t="inlineStr">
        <is>
          <t>Texto negro negrita (criterios)</t>
        </is>
      </c>
      <c r="C25" s="83" t="inlineStr">
        <is>
          <t>Bloque de criterios</t>
        </is>
      </c>
      <c r="F25" s="60" t="inlineStr">
        <is>
          <t>Dato faltante o a confirmar con el postor.</t>
        </is>
      </c>
    </row>
    <row r="27">
      <c r="B27" s="43" t="inlineStr">
        <is>
          <t>2. RESULTADO (vinculado al cuadro desglosado)</t>
        </is>
      </c>
    </row>
    <row r="28">
      <c r="B28" s="81" t="inlineStr">
        <is>
          <t>Concepto</t>
        </is>
      </c>
      <c r="C28" s="81" t="inlineStr">
        <is>
          <t>Postor A</t>
        </is>
      </c>
      <c r="D28" s="81" t="inlineStr">
        <is>
          <t>Postor B</t>
        </is>
      </c>
      <c r="E28" s="81" t="inlineStr">
        <is>
          <t>Postor C</t>
        </is>
      </c>
    </row>
    <row r="29">
      <c r="B29" s="99" t="inlineStr">
        <is>
          <t>Precio ofertado sin IGV</t>
        </is>
      </c>
      <c r="C29" s="100">
        <f>'CC_GAS_PROYX'!J33</f>
        <v/>
      </c>
      <c r="D29" s="100">
        <f>'CC_GAS_PROYX'!M33</f>
        <v/>
      </c>
      <c r="E29" s="100">
        <f>'CC_GAS_PROYX'!R33</f>
        <v/>
      </c>
    </row>
    <row r="30">
      <c r="B30" s="99" t="inlineStr">
        <is>
          <t>Precio nivelado por alcance sin IGV</t>
        </is>
      </c>
      <c r="C30" s="100">
        <f>'CC_GAS_PROYX'!H50</f>
        <v/>
      </c>
      <c r="D30" s="100">
        <f>'CC_GAS_PROYX'!K50</f>
        <v/>
      </c>
      <c r="E30" s="100">
        <f>'CC_GAS_PROYX'!N50</f>
        <v/>
      </c>
    </row>
    <row r="31">
      <c r="B31" s="99" t="inlineStr">
        <is>
          <t>Variación % nivelada vs. menor</t>
        </is>
      </c>
      <c r="C31" s="101">
        <f>'CC_GAS_PROYX'!H52</f>
        <v/>
      </c>
      <c r="D31" s="101">
        <f>'CC_GAS_PROYX'!K52</f>
        <v/>
      </c>
      <c r="E31" s="101">
        <f>'CC_GAS_PROYX'!N52</f>
        <v/>
      </c>
    </row>
    <row r="33">
      <c r="B33" s="43" t="inlineStr">
        <is>
          <t>3. CONCLUSIONES DEL INGENIERO DE COSTOS</t>
        </is>
      </c>
    </row>
    <row r="34" ht="16" customHeight="1">
      <c r="B34" s="60" t="inlineStr">
        <is>
          <t>• Postor B es la menor oferta (S/ 122,000 sin IGV) y la única con metrado completo: es la base de homologación.</t>
        </is>
      </c>
    </row>
    <row r="35" ht="16" customHeight="1">
      <c r="B35" s="60" t="inlineStr">
        <is>
          <t>• Postor A queda 3.3% arriba y cotiza en globales: no permite controlar valorizaciones ni adicionales.</t>
        </is>
      </c>
    </row>
    <row r="36" ht="16" customHeight="1">
      <c r="B36" s="60" t="inlineStr">
        <is>
          <t>• Postor C es el más caro aun con 5% de descuento y pide 30% de adelanto sin fondo de garantía.</t>
        </is>
      </c>
    </row>
  </sheetData>
  <mergeCells count="3">
    <mergeCell ref="B34:F34"/>
    <mergeCell ref="B36:F36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70" customWidth="1" min="3" max="3"/>
    <col width="8" customWidth="1" min="4" max="4"/>
    <col width="12" customWidth="1" min="5" max="5"/>
    <col width="14" customWidth="1" min="6" max="6"/>
    <col width="16" customWidth="1" min="7" max="7"/>
    <col width="14" customWidth="1" min="8" max="8"/>
  </cols>
  <sheetData>
    <row r="1">
      <c r="B1" s="43" t="inlineStr">
        <is>
          <t>POSTOR A S.A.C. - COTIZACIÓN N° 001-2026 (transcrita del PDF)</t>
        </is>
      </c>
    </row>
    <row r="2">
      <c r="B2" s="99" t="inlineStr">
        <is>
          <t>RUC</t>
        </is>
      </c>
      <c r="C2" s="83" t="inlineStr">
        <is>
          <t>Por confirmar</t>
        </is>
      </c>
    </row>
    <row r="3">
      <c r="B3" s="99" t="inlineStr">
        <is>
          <t>Fecha</t>
        </is>
      </c>
      <c r="C3" s="83" t="inlineStr">
        <is>
          <t>10/10/2026</t>
        </is>
      </c>
    </row>
    <row r="5">
      <c r="B5" s="81" t="inlineStr">
        <is>
          <t>Ítem</t>
        </is>
      </c>
      <c r="C5" s="81" t="inlineStr">
        <is>
          <t>Descripción</t>
        </is>
      </c>
      <c r="D5" s="81" t="inlineStr">
        <is>
          <t>Und</t>
        </is>
      </c>
      <c r="E5" s="81" t="inlineStr">
        <is>
          <t>Metrado</t>
        </is>
      </c>
      <c r="F5" s="81" t="inlineStr">
        <is>
          <t>P.U. (S/)</t>
        </is>
      </c>
      <c r="G5" s="81" t="inlineStr">
        <is>
          <t>Parcial (S/)</t>
        </is>
      </c>
      <c r="H5" s="81" t="inlineStr">
        <is>
          <t>Control E×F-G</t>
        </is>
      </c>
    </row>
    <row r="6">
      <c r="B6" s="83" t="inlineStr">
        <is>
          <t>1.0</t>
        </is>
      </c>
      <c r="C6" s="83" t="inlineStr">
        <is>
          <t>Red montante (global)</t>
        </is>
      </c>
      <c r="D6" s="83" t="inlineStr">
        <is>
          <t>glb</t>
        </is>
      </c>
      <c r="E6" s="102" t="n">
        <v>1</v>
      </c>
      <c r="F6" s="102" t="n">
        <v>18000</v>
      </c>
      <c r="G6" s="102">
        <f>E6*F6</f>
        <v/>
      </c>
      <c r="H6" s="102">
        <f>E6*F6-G6</f>
        <v/>
      </c>
    </row>
    <row r="7">
      <c r="B7" s="83" t="inlineStr">
        <is>
          <t>2.0</t>
        </is>
      </c>
      <c r="C7" s="83" t="inlineStr">
        <is>
          <t>Redes internas por departamento (global)</t>
        </is>
      </c>
      <c r="D7" s="83" t="inlineStr">
        <is>
          <t>dpto</t>
        </is>
      </c>
      <c r="E7" s="102" t="n">
        <v>120</v>
      </c>
      <c r="F7" s="102" t="n">
        <v>900</v>
      </c>
      <c r="G7" s="102">
        <f>E7*F7</f>
        <v/>
      </c>
      <c r="H7" s="102">
        <f>E7*F7-G7</f>
        <v/>
      </c>
    </row>
    <row r="8">
      <c r="C8" s="99" t="inlineStr">
        <is>
          <t>SUBTOTAL (suma de partidas)</t>
        </is>
      </c>
      <c r="G8" s="103">
        <f>SUM(G6:G7)</f>
        <v/>
      </c>
    </row>
    <row r="9">
      <c r="C9" s="99" t="inlineStr">
        <is>
          <t>TOTAL DECLARADO SIN IGV</t>
        </is>
      </c>
      <c r="G9" s="103" t="n">
        <v>126000</v>
      </c>
    </row>
    <row r="10">
      <c r="C10" s="99" t="inlineStr">
        <is>
          <t>DIFERENCIA (declarado - suma)</t>
        </is>
      </c>
      <c r="G10" s="103">
        <f>G9-G8</f>
        <v/>
      </c>
    </row>
    <row r="12">
      <c r="C12" s="60" t="inlineStr">
        <is>
          <t>* No incluye rejillas de ventilación.</t>
        </is>
      </c>
    </row>
    <row r="13">
      <c r="C13" s="60" t="inlineStr">
        <is>
          <t>* Validez: 10 días.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70" customWidth="1" min="3" max="3"/>
    <col width="8" customWidth="1" min="4" max="4"/>
    <col width="12" customWidth="1" min="5" max="5"/>
    <col width="14" customWidth="1" min="6" max="6"/>
    <col width="16" customWidth="1" min="7" max="7"/>
    <col width="14" customWidth="1" min="8" max="8"/>
  </cols>
  <sheetData>
    <row r="1">
      <c r="B1" s="43" t="inlineStr">
        <is>
          <t>POSTOR B S.A.C. - PRESUPUESTO REV. 01 (transcrito)</t>
        </is>
      </c>
    </row>
    <row r="2">
      <c r="B2" s="99" t="inlineStr">
        <is>
          <t>RUC</t>
        </is>
      </c>
      <c r="C2" s="83" t="inlineStr">
        <is>
          <t>20000000001</t>
        </is>
      </c>
    </row>
    <row r="3">
      <c r="B3" s="99" t="inlineStr">
        <is>
          <t>Fecha</t>
        </is>
      </c>
      <c r="C3" s="83" t="inlineStr">
        <is>
          <t>15/10/2026</t>
        </is>
      </c>
    </row>
    <row r="5">
      <c r="B5" s="81" t="inlineStr">
        <is>
          <t>Ítem</t>
        </is>
      </c>
      <c r="C5" s="81" t="inlineStr">
        <is>
          <t>Descripción</t>
        </is>
      </c>
      <c r="D5" s="81" t="inlineStr">
        <is>
          <t>Und</t>
        </is>
      </c>
      <c r="E5" s="81" t="inlineStr">
        <is>
          <t>Metrado</t>
        </is>
      </c>
      <c r="F5" s="81" t="inlineStr">
        <is>
          <t>P.U. (S/)</t>
        </is>
      </c>
      <c r="G5" s="81" t="inlineStr">
        <is>
          <t>Parcial (S/)</t>
        </is>
      </c>
      <c r="H5" s="81" t="inlineStr">
        <is>
          <t>Control E×F-G</t>
        </is>
      </c>
    </row>
    <row r="6">
      <c r="B6" s="99" t="inlineStr">
        <is>
          <t>1</t>
        </is>
      </c>
      <c r="C6" s="99" t="inlineStr">
        <is>
          <t>RED MONTANTE</t>
        </is>
      </c>
      <c r="D6" s="99" t="n"/>
      <c r="E6" s="99" t="n"/>
      <c r="F6" s="99" t="n"/>
      <c r="G6" s="99" t="n"/>
      <c r="H6" s="99" t="n"/>
    </row>
    <row r="7">
      <c r="B7" s="83" t="inlineStr">
        <is>
          <t>1.01</t>
        </is>
      </c>
      <c r="C7" s="83" t="inlineStr">
        <is>
          <t>Tubería Cu tipo L 3/4"</t>
        </is>
      </c>
      <c r="D7" s="83" t="inlineStr">
        <is>
          <t>m</t>
        </is>
      </c>
      <c r="E7" s="102" t="n">
        <v>30</v>
      </c>
      <c r="F7" s="102" t="n">
        <v>90</v>
      </c>
      <c r="G7" s="102">
        <f>E7*F7</f>
        <v/>
      </c>
      <c r="H7" s="102">
        <f>E7*F7-G7</f>
        <v/>
      </c>
    </row>
    <row r="8">
      <c r="B8" s="83" t="inlineStr">
        <is>
          <t>1.02</t>
        </is>
      </c>
      <c r="C8" s="83" t="inlineStr">
        <is>
          <t>Tubería Cu tipo L 1"</t>
        </is>
      </c>
      <c r="D8" s="83" t="inlineStr">
        <is>
          <t>m</t>
        </is>
      </c>
      <c r="E8" s="102" t="n">
        <v>40</v>
      </c>
      <c r="F8" s="102" t="n">
        <v>105</v>
      </c>
      <c r="G8" s="102">
        <f>E8*F8</f>
        <v/>
      </c>
      <c r="H8" s="102">
        <f>E8*F8-G8</f>
        <v/>
      </c>
    </row>
    <row r="9">
      <c r="B9" s="83" t="inlineStr">
        <is>
          <t>1.03</t>
        </is>
      </c>
      <c r="C9" s="83" t="inlineStr">
        <is>
          <t>Pintura de tubería Cu</t>
        </is>
      </c>
      <c r="D9" s="83" t="inlineStr">
        <is>
          <t>glb</t>
        </is>
      </c>
      <c r="E9" s="102" t="n">
        <v>1</v>
      </c>
      <c r="F9" s="102" t="n">
        <v>600</v>
      </c>
      <c r="G9" s="102">
        <f>E9*F9</f>
        <v/>
      </c>
      <c r="H9" s="102">
        <f>E9*F9-G9</f>
        <v/>
      </c>
    </row>
    <row r="10">
      <c r="B10" s="83" t="inlineStr">
        <is>
          <t>1.04</t>
        </is>
      </c>
      <c r="C10" s="83" t="inlineStr">
        <is>
          <t>Prueba de hermeticidad de montante</t>
        </is>
      </c>
      <c r="D10" s="83" t="inlineStr">
        <is>
          <t>glb</t>
        </is>
      </c>
      <c r="E10" s="102" t="n">
        <v>1</v>
      </c>
      <c r="F10" s="102" t="n">
        <v>500</v>
      </c>
      <c r="G10" s="102">
        <f>E10*F10</f>
        <v/>
      </c>
      <c r="H10" s="102">
        <f>E10*F10-G10</f>
        <v/>
      </c>
    </row>
    <row r="11">
      <c r="B11" s="99" t="inlineStr">
        <is>
          <t>2</t>
        </is>
      </c>
      <c r="C11" s="99" t="inlineStr">
        <is>
          <t>REDES INTERNAS</t>
        </is>
      </c>
      <c r="D11" s="99" t="n"/>
      <c r="E11" s="99" t="n"/>
      <c r="F11" s="99" t="n"/>
      <c r="G11" s="99" t="n"/>
      <c r="H11" s="99" t="n"/>
    </row>
    <row r="12">
      <c r="B12" s="83" t="inlineStr">
        <is>
          <t>2.01</t>
        </is>
      </c>
      <c r="C12" s="83" t="inlineStr">
        <is>
          <t>Tubería PE-AL-PE 2025</t>
        </is>
      </c>
      <c r="D12" s="83" t="inlineStr">
        <is>
          <t>m</t>
        </is>
      </c>
      <c r="E12" s="102" t="n">
        <v>2000</v>
      </c>
      <c r="F12" s="102" t="n">
        <v>20</v>
      </c>
      <c r="G12" s="102">
        <f>E12*F12</f>
        <v/>
      </c>
      <c r="H12" s="102">
        <f>E12*F12-G12</f>
        <v/>
      </c>
    </row>
    <row r="13">
      <c r="B13" s="83" t="inlineStr">
        <is>
          <t>2.02</t>
        </is>
      </c>
      <c r="C13" s="83" t="inlineStr">
        <is>
          <t>Tubería PE-AL-PE 1216</t>
        </is>
      </c>
      <c r="D13" s="83" t="inlineStr">
        <is>
          <t>m</t>
        </is>
      </c>
      <c r="E13" s="102" t="n">
        <v>2600</v>
      </c>
      <c r="F13" s="102" t="n">
        <v>18</v>
      </c>
      <c r="G13" s="102">
        <f>E13*F13</f>
        <v/>
      </c>
      <c r="H13" s="102">
        <f>E13*F13-G13</f>
        <v/>
      </c>
    </row>
    <row r="14">
      <c r="B14" s="83" t="inlineStr">
        <is>
          <t>2.03</t>
        </is>
      </c>
      <c r="C14" s="83" t="inlineStr">
        <is>
          <t>Salidas para terma, cocina y horno</t>
        </is>
      </c>
      <c r="D14" s="83" t="inlineStr">
        <is>
          <t>pto</t>
        </is>
      </c>
      <c r="E14" s="102" t="n">
        <v>360</v>
      </c>
      <c r="F14" s="102" t="n">
        <v>32</v>
      </c>
      <c r="G14" s="102">
        <f>E14*F14</f>
        <v/>
      </c>
      <c r="H14" s="102">
        <f>E14*F14-G14</f>
        <v/>
      </c>
    </row>
    <row r="15">
      <c r="B15" s="83" t="inlineStr">
        <is>
          <t>2.04</t>
        </is>
      </c>
      <c r="C15" s="83" t="inlineStr">
        <is>
          <t>Válvula de corte de artefacto</t>
        </is>
      </c>
      <c r="D15" s="83" t="inlineStr">
        <is>
          <t>und</t>
        </is>
      </c>
      <c r="E15" s="102" t="n">
        <v>240</v>
      </c>
      <c r="F15" s="102" t="n">
        <v>33</v>
      </c>
      <c r="G15" s="102">
        <f>E15*F15</f>
        <v/>
      </c>
      <c r="H15" s="102">
        <f>E15*F15-G15</f>
        <v/>
      </c>
    </row>
    <row r="16">
      <c r="B16" s="83" t="inlineStr">
        <is>
          <t>2.05</t>
        </is>
      </c>
      <c r="C16" s="83" t="inlineStr">
        <is>
          <t>Prueba de hermeticidad de departamentos</t>
        </is>
      </c>
      <c r="D16" s="83" t="inlineStr">
        <is>
          <t>und</t>
        </is>
      </c>
      <c r="E16" s="102" t="n">
        <v>120</v>
      </c>
      <c r="F16" s="102" t="n">
        <v>45</v>
      </c>
      <c r="G16" s="102">
        <f>E16*F16</f>
        <v/>
      </c>
      <c r="H16" s="102">
        <f>E16*F16-G16</f>
        <v/>
      </c>
    </row>
    <row r="17">
      <c r="B17" s="99" t="inlineStr">
        <is>
          <t>3</t>
        </is>
      </c>
      <c r="C17" s="99" t="inlineStr">
        <is>
          <t>CENTRO DE MEDICIÓN</t>
        </is>
      </c>
      <c r="D17" s="99" t="n"/>
      <c r="E17" s="99" t="n"/>
      <c r="F17" s="99" t="n"/>
      <c r="G17" s="99" t="n"/>
      <c r="H17" s="99" t="n"/>
    </row>
    <row r="18">
      <c r="B18" s="83" t="inlineStr">
        <is>
          <t>3.01</t>
        </is>
      </c>
      <c r="C18" s="83" t="inlineStr">
        <is>
          <t>Gabinetes</t>
        </is>
      </c>
      <c r="D18" s="83" t="inlineStr">
        <is>
          <t>und</t>
        </is>
      </c>
      <c r="E18" s="102" t="n">
        <v>2</v>
      </c>
      <c r="F18" s="102" t="n">
        <v>160</v>
      </c>
      <c r="G18" s="102">
        <f>E18*F18</f>
        <v/>
      </c>
      <c r="H18" s="102">
        <f>E18*F18-G18</f>
        <v/>
      </c>
    </row>
    <row r="19">
      <c r="B19" s="83" t="inlineStr">
        <is>
          <t>3.02</t>
        </is>
      </c>
      <c r="C19" s="83" t="inlineStr">
        <is>
          <t>Meter conector</t>
        </is>
      </c>
      <c r="D19" s="83" t="inlineStr">
        <is>
          <t>und</t>
        </is>
      </c>
      <c r="E19" s="102" t="n">
        <v>120</v>
      </c>
      <c r="F19" s="102" t="n">
        <v>17</v>
      </c>
      <c r="G19" s="102">
        <f>E19*F19</f>
        <v/>
      </c>
      <c r="H19" s="102">
        <f>E19*F19-G19</f>
        <v/>
      </c>
    </row>
    <row r="20">
      <c r="C20" s="99" t="inlineStr">
        <is>
          <t>SUBTOTAL (suma de partidas)</t>
        </is>
      </c>
      <c r="G20" s="103">
        <f>SUM(G6:G19)</f>
        <v/>
      </c>
    </row>
    <row r="21">
      <c r="C21" s="99" t="inlineStr">
        <is>
          <t>TOTAL DECLARADO SIN IGV</t>
        </is>
      </c>
      <c r="G21" s="103" t="n">
        <v>122000</v>
      </c>
    </row>
    <row r="22">
      <c r="C22" s="99" t="inlineStr">
        <is>
          <t>DIFERENCIA (declarado - suma)</t>
        </is>
      </c>
      <c r="G22" s="103">
        <f>G21-G20</f>
        <v/>
      </c>
    </row>
    <row r="24">
      <c r="C24" s="60" t="inlineStr">
        <is>
          <t>* Garantía 3 años.</t>
        </is>
      </c>
    </row>
    <row r="25">
      <c r="C25" s="60" t="inlineStr">
        <is>
          <t>* Adelanto 0%; fondo de garantía 5% a 18 meses.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70" customWidth="1" min="3" max="3"/>
    <col width="8" customWidth="1" min="4" max="4"/>
    <col width="12" customWidth="1" min="5" max="5"/>
    <col width="14" customWidth="1" min="6" max="6"/>
    <col width="16" customWidth="1" min="7" max="7"/>
    <col width="14" customWidth="1" min="8" max="8"/>
  </cols>
  <sheetData>
    <row r="1">
      <c r="B1" s="43" t="inlineStr">
        <is>
          <t>POSTOR C S.A.C. - PROPUESTA (transcrita del PDF)</t>
        </is>
      </c>
    </row>
    <row r="2">
      <c r="B2" s="99" t="inlineStr">
        <is>
          <t>RUC</t>
        </is>
      </c>
      <c r="C2" s="83" t="inlineStr">
        <is>
          <t>20000000002</t>
        </is>
      </c>
    </row>
    <row r="3">
      <c r="B3" s="99" t="inlineStr">
        <is>
          <t>Fecha</t>
        </is>
      </c>
      <c r="C3" s="83" t="inlineStr">
        <is>
          <t>12/10/2026</t>
        </is>
      </c>
    </row>
    <row r="5">
      <c r="B5" s="81" t="inlineStr">
        <is>
          <t>Ítem</t>
        </is>
      </c>
      <c r="C5" s="81" t="inlineStr">
        <is>
          <t>Descripción</t>
        </is>
      </c>
      <c r="D5" s="81" t="inlineStr">
        <is>
          <t>Und</t>
        </is>
      </c>
      <c r="E5" s="81" t="inlineStr">
        <is>
          <t>Metrado</t>
        </is>
      </c>
      <c r="F5" s="81" t="inlineStr">
        <is>
          <t>P.U. (S/)</t>
        </is>
      </c>
      <c r="G5" s="81" t="inlineStr">
        <is>
          <t>Parcial (S/)</t>
        </is>
      </c>
      <c r="H5" s="81" t="inlineStr">
        <is>
          <t>Control E×F-G</t>
        </is>
      </c>
    </row>
    <row r="6">
      <c r="B6" s="83" t="inlineStr">
        <is>
          <t>01.01</t>
        </is>
      </c>
      <c r="C6" s="83" t="inlineStr">
        <is>
          <t>Tubería cobre 3/4"</t>
        </is>
      </c>
      <c r="D6" s="83" t="inlineStr">
        <is>
          <t>m</t>
        </is>
      </c>
      <c r="E6" s="102" t="n">
        <v>25</v>
      </c>
      <c r="F6" s="102" t="n">
        <v>110</v>
      </c>
      <c r="G6" s="102">
        <f>E6*F6</f>
        <v/>
      </c>
      <c r="H6" s="102">
        <f>E6*F6-G6</f>
        <v/>
      </c>
    </row>
    <row r="7">
      <c r="B7" s="83" t="inlineStr">
        <is>
          <t>01.02</t>
        </is>
      </c>
      <c r="C7" s="83" t="inlineStr">
        <is>
          <t>Tubería cobre 1"</t>
        </is>
      </c>
      <c r="D7" s="83" t="inlineStr">
        <is>
          <t>m</t>
        </is>
      </c>
      <c r="E7" s="102" t="n">
        <v>40</v>
      </c>
      <c r="F7" s="102" t="n">
        <v>140</v>
      </c>
      <c r="G7" s="102">
        <f>E7*F7</f>
        <v/>
      </c>
      <c r="H7" s="102">
        <f>E7*F7-G7</f>
        <v/>
      </c>
    </row>
    <row r="8">
      <c r="B8" s="83" t="inlineStr">
        <is>
          <t>01.03</t>
        </is>
      </c>
      <c r="C8" s="83" t="inlineStr">
        <is>
          <t>Válvula de corte general de montante</t>
        </is>
      </c>
      <c r="D8" s="83" t="inlineStr">
        <is>
          <t>und</t>
        </is>
      </c>
      <c r="E8" s="102" t="n">
        <v>1</v>
      </c>
      <c r="F8" s="102" t="n">
        <v>120</v>
      </c>
      <c r="G8" s="102">
        <f>E8*F8</f>
        <v/>
      </c>
      <c r="H8" s="102">
        <f>E8*F8-G8</f>
        <v/>
      </c>
    </row>
    <row r="9">
      <c r="B9" s="83" t="inlineStr">
        <is>
          <t>01.04</t>
        </is>
      </c>
      <c r="C9" s="83" t="inlineStr">
        <is>
          <t>Prueba de hermeticidad</t>
        </is>
      </c>
      <c r="D9" s="83" t="inlineStr">
        <is>
          <t>glb</t>
        </is>
      </c>
      <c r="E9" s="102" t="n">
        <v>1</v>
      </c>
      <c r="F9" s="102" t="n">
        <v>650</v>
      </c>
      <c r="G9" s="102">
        <f>E9*F9</f>
        <v/>
      </c>
      <c r="H9" s="102">
        <f>E9*F9-G9</f>
        <v/>
      </c>
    </row>
    <row r="10">
      <c r="B10" s="83" t="inlineStr">
        <is>
          <t>02.01</t>
        </is>
      </c>
      <c r="C10" s="83" t="inlineStr">
        <is>
          <t>Tubería PE-AL-PE 2025</t>
        </is>
      </c>
      <c r="D10" s="83" t="inlineStr">
        <is>
          <t>m</t>
        </is>
      </c>
      <c r="E10" s="102" t="n">
        <v>2300</v>
      </c>
      <c r="F10" s="102" t="n">
        <v>24</v>
      </c>
      <c r="G10" s="102">
        <f>E10*F10</f>
        <v/>
      </c>
      <c r="H10" s="102">
        <f>E10*F10-G10</f>
        <v/>
      </c>
    </row>
    <row r="11">
      <c r="B11" s="83" t="inlineStr">
        <is>
          <t>02.02</t>
        </is>
      </c>
      <c r="C11" s="83" t="inlineStr">
        <is>
          <t>Tubería PE-AL-PE 1216</t>
        </is>
      </c>
      <c r="D11" s="83" t="inlineStr">
        <is>
          <t>m</t>
        </is>
      </c>
      <c r="E11" s="102" t="n">
        <v>2600</v>
      </c>
      <c r="F11" s="102" t="n">
        <v>19</v>
      </c>
      <c r="G11" s="102">
        <f>E11*F11</f>
        <v/>
      </c>
      <c r="H11" s="102">
        <f>E11*F11-G11</f>
        <v/>
      </c>
    </row>
    <row r="12">
      <c r="B12" s="83" t="inlineStr">
        <is>
          <t>02.03</t>
        </is>
      </c>
      <c r="C12" s="83" t="inlineStr">
        <is>
          <t>Salidas</t>
        </is>
      </c>
      <c r="D12" s="83" t="inlineStr">
        <is>
          <t>pto</t>
        </is>
      </c>
      <c r="E12" s="102" t="n">
        <v>360</v>
      </c>
      <c r="F12" s="102" t="n">
        <v>30</v>
      </c>
      <c r="G12" s="102">
        <f>E12*F12</f>
        <v/>
      </c>
      <c r="H12" s="102">
        <f>E12*F12-G12</f>
        <v/>
      </c>
    </row>
    <row r="13">
      <c r="B13" s="83" t="inlineStr">
        <is>
          <t>02.04</t>
        </is>
      </c>
      <c r="C13" s="83" t="inlineStr">
        <is>
          <t>Válvula de artefacto</t>
        </is>
      </c>
      <c r="D13" s="83" t="inlineStr">
        <is>
          <t>und</t>
        </is>
      </c>
      <c r="E13" s="102" t="n">
        <v>240</v>
      </c>
      <c r="F13" s="102" t="n">
        <v>35</v>
      </c>
      <c r="G13" s="102">
        <f>E13*F13</f>
        <v/>
      </c>
      <c r="H13" s="102">
        <f>E13*F13-G13</f>
        <v/>
      </c>
    </row>
    <row r="14">
      <c r="B14" s="83" t="inlineStr">
        <is>
          <t>02.05</t>
        </is>
      </c>
      <c r="C14" s="83" t="inlineStr">
        <is>
          <t>Prueba de hermeticidad por dpto</t>
        </is>
      </c>
      <c r="D14" s="83" t="inlineStr">
        <is>
          <t>und</t>
        </is>
      </c>
      <c r="E14" s="102" t="n">
        <v>120</v>
      </c>
      <c r="F14" s="102" t="n">
        <v>45</v>
      </c>
      <c r="G14" s="102">
        <f>E14*F14</f>
        <v/>
      </c>
      <c r="H14" s="102">
        <f>E14*F14-G14</f>
        <v/>
      </c>
    </row>
    <row r="15">
      <c r="B15" s="83" t="inlineStr">
        <is>
          <t>03.01</t>
        </is>
      </c>
      <c r="C15" s="83" t="inlineStr">
        <is>
          <t>Gabinetes</t>
        </is>
      </c>
      <c r="D15" s="83" t="inlineStr">
        <is>
          <t>und</t>
        </is>
      </c>
      <c r="E15" s="102" t="n">
        <v>3</v>
      </c>
      <c r="F15" s="102" t="n">
        <v>180</v>
      </c>
      <c r="G15" s="102">
        <f>E15*F15</f>
        <v/>
      </c>
      <c r="H15" s="102">
        <f>E15*F15-G15</f>
        <v/>
      </c>
    </row>
    <row r="16">
      <c r="C16" s="99" t="inlineStr">
        <is>
          <t>SUBTOTAL (suma de partidas)</t>
        </is>
      </c>
      <c r="G16" s="103">
        <f>SUM(G6:G15)</f>
        <v/>
      </c>
    </row>
    <row r="17">
      <c r="C17" s="99" t="inlineStr">
        <is>
          <t>TOTAL DECLARADO SIN IGV</t>
        </is>
      </c>
      <c r="G17" s="103" t="n">
        <v>131917</v>
      </c>
    </row>
    <row r="18">
      <c r="C18" s="99" t="inlineStr">
        <is>
          <t>DIFERENCIA (declarado - suma)</t>
        </is>
      </c>
      <c r="G18" s="103">
        <f>G17-G16</f>
        <v/>
      </c>
    </row>
    <row r="20">
      <c r="C20" s="60" t="inlineStr">
        <is>
          <t>* Descuento 5% sobre el total: S/ 138,860.00 - 5% = S/ 131,917.00 + IGV.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2026-10-26T11:07:07Z</dcterms:created>
  <dcterms:modified xmlns:dcterms="http://purl.org/dc/terms/" xmlns:xsi="http://www.w3.org/2001/XMLSchema-instance" xsi:type="dcterms:W3CDTF">2026-10-26T11:07:07Z</dcterms:modified>
</cp:coreProperties>
</file>